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C34160B7-FEB1-475E-B2F3-BE07D55B85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" sheetId="1" r:id="rId1"/>
    <sheet name="Lookup" sheetId="4" r:id="rId2"/>
    <sheet name="Products" sheetId="2" r:id="rId3"/>
    <sheet name="Stores" sheetId="3" r:id="rId4"/>
  </sheets>
  <definedNames>
    <definedName name="Target">Lookup!$A$2:$B$7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23" i="1" l="1"/>
  <c r="G4" i="1"/>
  <c r="R4" i="1" s="1"/>
  <c r="G5" i="1"/>
  <c r="R5" i="1" s="1"/>
  <c r="G6" i="1"/>
  <c r="R6" i="1" s="1"/>
  <c r="G7" i="1"/>
  <c r="R7" i="1" s="1"/>
  <c r="G8" i="1"/>
  <c r="R8" i="1" s="1"/>
  <c r="G9" i="1"/>
  <c r="R9" i="1" s="1"/>
  <c r="G10" i="1"/>
  <c r="R10" i="1" s="1"/>
  <c r="G11" i="1"/>
  <c r="R11" i="1" s="1"/>
  <c r="G12" i="1"/>
  <c r="R12" i="1" s="1"/>
  <c r="G13" i="1"/>
  <c r="R13" i="1" s="1"/>
  <c r="G14" i="1"/>
  <c r="R14" i="1" s="1"/>
  <c r="G15" i="1"/>
  <c r="R15" i="1" s="1"/>
  <c r="G16" i="1"/>
  <c r="R16" i="1" s="1"/>
  <c r="G17" i="1"/>
  <c r="R17" i="1" s="1"/>
  <c r="G18" i="1"/>
  <c r="R18" i="1" s="1"/>
  <c r="G19" i="1"/>
  <c r="R19" i="1" s="1"/>
  <c r="G20" i="1"/>
  <c r="R20" i="1" s="1"/>
  <c r="G21" i="1"/>
  <c r="R21" i="1" s="1"/>
  <c r="G22" i="1"/>
  <c r="R22" i="1" s="1"/>
  <c r="G23" i="1"/>
  <c r="R23" i="1" s="1"/>
  <c r="G24" i="1"/>
  <c r="R24" i="1" s="1"/>
  <c r="G25" i="1"/>
  <c r="R25" i="1" s="1"/>
  <c r="G26" i="1"/>
  <c r="R26" i="1" s="1"/>
  <c r="G27" i="1"/>
  <c r="R27" i="1" s="1"/>
  <c r="G28" i="1"/>
  <c r="R28" i="1" s="1"/>
  <c r="G29" i="1"/>
  <c r="R29" i="1" s="1"/>
  <c r="G30" i="1"/>
  <c r="R30" i="1" s="1"/>
  <c r="G31" i="1"/>
  <c r="R31" i="1" s="1"/>
  <c r="G32" i="1"/>
  <c r="R32" i="1" s="1"/>
  <c r="G33" i="1"/>
  <c r="R33" i="1" s="1"/>
  <c r="G34" i="1"/>
  <c r="R34" i="1" s="1"/>
  <c r="G35" i="1"/>
  <c r="R35" i="1" s="1"/>
  <c r="G36" i="1"/>
  <c r="R36" i="1" s="1"/>
  <c r="G37" i="1"/>
  <c r="R37" i="1" s="1"/>
  <c r="G38" i="1"/>
  <c r="R38" i="1" s="1"/>
  <c r="G39" i="1"/>
  <c r="R39" i="1" s="1"/>
  <c r="G40" i="1"/>
  <c r="R40" i="1" s="1"/>
  <c r="G41" i="1"/>
  <c r="R41" i="1" s="1"/>
  <c r="G42" i="1"/>
  <c r="R42" i="1" s="1"/>
  <c r="G43" i="1"/>
  <c r="R43" i="1" s="1"/>
  <c r="G44" i="1"/>
  <c r="R44" i="1" s="1"/>
  <c r="G45" i="1"/>
  <c r="R45" i="1" s="1"/>
  <c r="G46" i="1"/>
  <c r="R46" i="1" s="1"/>
  <c r="G47" i="1"/>
  <c r="R47" i="1" s="1"/>
  <c r="G48" i="1"/>
  <c r="R48" i="1" s="1"/>
  <c r="G49" i="1"/>
  <c r="R49" i="1" s="1"/>
  <c r="G50" i="1"/>
  <c r="R50" i="1" s="1"/>
  <c r="G51" i="1"/>
  <c r="R51" i="1" s="1"/>
  <c r="G52" i="1"/>
  <c r="R52" i="1" s="1"/>
  <c r="G53" i="1"/>
  <c r="R53" i="1" s="1"/>
  <c r="G54" i="1"/>
  <c r="R54" i="1" s="1"/>
  <c r="G55" i="1"/>
  <c r="R55" i="1" s="1"/>
  <c r="G56" i="1"/>
  <c r="R56" i="1" s="1"/>
  <c r="G57" i="1"/>
  <c r="R57" i="1" s="1"/>
  <c r="G58" i="1"/>
  <c r="R58" i="1" s="1"/>
  <c r="G59" i="1"/>
  <c r="R59" i="1" s="1"/>
  <c r="G60" i="1"/>
  <c r="R60" i="1" s="1"/>
  <c r="G61" i="1"/>
  <c r="R61" i="1" s="1"/>
  <c r="G62" i="1"/>
  <c r="R62" i="1" s="1"/>
  <c r="G63" i="1"/>
  <c r="R63" i="1" s="1"/>
  <c r="G64" i="1"/>
  <c r="R64" i="1" s="1"/>
  <c r="G65" i="1"/>
  <c r="R65" i="1" s="1"/>
  <c r="G66" i="1"/>
  <c r="R66" i="1" s="1"/>
  <c r="G67" i="1"/>
  <c r="R67" i="1" s="1"/>
  <c r="G68" i="1"/>
  <c r="R68" i="1" s="1"/>
  <c r="G69" i="1"/>
  <c r="R69" i="1" s="1"/>
  <c r="G70" i="1"/>
  <c r="R70" i="1" s="1"/>
  <c r="G71" i="1"/>
  <c r="R71" i="1" s="1"/>
  <c r="G72" i="1"/>
  <c r="R72" i="1" s="1"/>
  <c r="G73" i="1"/>
  <c r="R73" i="1" s="1"/>
  <c r="G74" i="1"/>
  <c r="R74" i="1" s="1"/>
  <c r="G75" i="1"/>
  <c r="R75" i="1" s="1"/>
  <c r="G76" i="1"/>
  <c r="R76" i="1" s="1"/>
  <c r="G77" i="1"/>
  <c r="R77" i="1" s="1"/>
  <c r="G78" i="1"/>
  <c r="R78" i="1" s="1"/>
  <c r="G79" i="1"/>
  <c r="R79" i="1" s="1"/>
  <c r="G80" i="1"/>
  <c r="R80" i="1" s="1"/>
  <c r="G81" i="1"/>
  <c r="R81" i="1" s="1"/>
  <c r="G82" i="1"/>
  <c r="R82" i="1" s="1"/>
  <c r="G83" i="1"/>
  <c r="R83" i="1" s="1"/>
  <c r="G84" i="1"/>
  <c r="R84" i="1" s="1"/>
  <c r="G85" i="1"/>
  <c r="R85" i="1" s="1"/>
  <c r="G86" i="1"/>
  <c r="R86" i="1" s="1"/>
  <c r="G87" i="1"/>
  <c r="R87" i="1" s="1"/>
  <c r="G88" i="1"/>
  <c r="R88" i="1" s="1"/>
  <c r="G89" i="1"/>
  <c r="R89" i="1" s="1"/>
  <c r="G90" i="1"/>
  <c r="R90" i="1" s="1"/>
  <c r="G91" i="1"/>
  <c r="R91" i="1" s="1"/>
  <c r="G92" i="1"/>
  <c r="R92" i="1" s="1"/>
  <c r="G93" i="1"/>
  <c r="R93" i="1" s="1"/>
  <c r="G94" i="1"/>
  <c r="R94" i="1" s="1"/>
  <c r="G95" i="1"/>
  <c r="R95" i="1" s="1"/>
  <c r="G96" i="1"/>
  <c r="R96" i="1" s="1"/>
  <c r="G97" i="1"/>
  <c r="R97" i="1" s="1"/>
  <c r="G98" i="1"/>
  <c r="R98" i="1" s="1"/>
  <c r="G99" i="1"/>
  <c r="R99" i="1" s="1"/>
  <c r="G100" i="1"/>
  <c r="R100" i="1" s="1"/>
  <c r="G101" i="1"/>
  <c r="R101" i="1" s="1"/>
  <c r="G102" i="1"/>
  <c r="R102" i="1" s="1"/>
  <c r="G103" i="1"/>
  <c r="R103" i="1" s="1"/>
  <c r="G104" i="1"/>
  <c r="R104" i="1" s="1"/>
  <c r="G105" i="1"/>
  <c r="R105" i="1" s="1"/>
  <c r="G106" i="1"/>
  <c r="R106" i="1" s="1"/>
  <c r="G107" i="1"/>
  <c r="R107" i="1" s="1"/>
  <c r="G108" i="1"/>
  <c r="R108" i="1" s="1"/>
  <c r="G109" i="1"/>
  <c r="R109" i="1" s="1"/>
  <c r="G110" i="1"/>
  <c r="R110" i="1" s="1"/>
  <c r="G111" i="1"/>
  <c r="R111" i="1" s="1"/>
  <c r="G112" i="1"/>
  <c r="R112" i="1" s="1"/>
  <c r="G113" i="1"/>
  <c r="R113" i="1" s="1"/>
  <c r="G114" i="1"/>
  <c r="R114" i="1" s="1"/>
  <c r="G115" i="1"/>
  <c r="R115" i="1" s="1"/>
  <c r="G116" i="1"/>
  <c r="R116" i="1" s="1"/>
  <c r="G117" i="1"/>
  <c r="R117" i="1" s="1"/>
  <c r="G118" i="1"/>
  <c r="R118" i="1" s="1"/>
  <c r="G119" i="1"/>
  <c r="R119" i="1" s="1"/>
  <c r="G120" i="1"/>
  <c r="R120" i="1" s="1"/>
  <c r="G121" i="1"/>
  <c r="R121" i="1" s="1"/>
  <c r="G122" i="1"/>
  <c r="R122" i="1" s="1"/>
  <c r="G123" i="1"/>
  <c r="R123" i="1" s="1"/>
  <c r="G124" i="1"/>
  <c r="R124" i="1" s="1"/>
  <c r="G125" i="1"/>
  <c r="R125" i="1" s="1"/>
  <c r="G126" i="1"/>
  <c r="R126" i="1" s="1"/>
  <c r="G127" i="1"/>
  <c r="R127" i="1" s="1"/>
  <c r="G128" i="1"/>
  <c r="R128" i="1" s="1"/>
  <c r="G129" i="1"/>
  <c r="R129" i="1" s="1"/>
  <c r="G130" i="1"/>
  <c r="R130" i="1" s="1"/>
  <c r="G131" i="1"/>
  <c r="R131" i="1" s="1"/>
  <c r="G132" i="1"/>
  <c r="R132" i="1" s="1"/>
  <c r="G133" i="1"/>
  <c r="R133" i="1" s="1"/>
  <c r="G134" i="1"/>
  <c r="R134" i="1" s="1"/>
  <c r="G135" i="1"/>
  <c r="R135" i="1" s="1"/>
  <c r="G136" i="1"/>
  <c r="R136" i="1" s="1"/>
  <c r="G137" i="1"/>
  <c r="R137" i="1" s="1"/>
  <c r="G138" i="1"/>
  <c r="R138" i="1" s="1"/>
  <c r="G139" i="1"/>
  <c r="R139" i="1" s="1"/>
  <c r="G140" i="1"/>
  <c r="R140" i="1" s="1"/>
  <c r="G141" i="1"/>
  <c r="R141" i="1" s="1"/>
  <c r="G142" i="1"/>
  <c r="R142" i="1" s="1"/>
  <c r="G143" i="1"/>
  <c r="R143" i="1" s="1"/>
  <c r="G144" i="1"/>
  <c r="R144" i="1" s="1"/>
  <c r="G145" i="1"/>
  <c r="R145" i="1" s="1"/>
  <c r="G146" i="1"/>
  <c r="R146" i="1" s="1"/>
  <c r="G147" i="1"/>
  <c r="R147" i="1" s="1"/>
  <c r="G148" i="1"/>
  <c r="R148" i="1" s="1"/>
  <c r="G149" i="1"/>
  <c r="R149" i="1" s="1"/>
  <c r="G150" i="1"/>
  <c r="R150" i="1" s="1"/>
  <c r="G151" i="1"/>
  <c r="R151" i="1" s="1"/>
  <c r="G152" i="1"/>
  <c r="R152" i="1" s="1"/>
  <c r="G153" i="1"/>
  <c r="R153" i="1" s="1"/>
  <c r="G154" i="1"/>
  <c r="R154" i="1" s="1"/>
  <c r="G155" i="1"/>
  <c r="R155" i="1" s="1"/>
  <c r="G156" i="1"/>
  <c r="R156" i="1" s="1"/>
  <c r="G157" i="1"/>
  <c r="R157" i="1" s="1"/>
  <c r="G158" i="1"/>
  <c r="R158" i="1" s="1"/>
  <c r="G159" i="1"/>
  <c r="R159" i="1" s="1"/>
  <c r="G160" i="1"/>
  <c r="R160" i="1" s="1"/>
  <c r="G161" i="1"/>
  <c r="R161" i="1" s="1"/>
  <c r="G162" i="1"/>
  <c r="R162" i="1" s="1"/>
  <c r="G163" i="1"/>
  <c r="R163" i="1" s="1"/>
  <c r="G164" i="1"/>
  <c r="R164" i="1" s="1"/>
  <c r="G165" i="1"/>
  <c r="R165" i="1" s="1"/>
  <c r="G166" i="1"/>
  <c r="R166" i="1" s="1"/>
  <c r="G167" i="1"/>
  <c r="R167" i="1" s="1"/>
  <c r="G168" i="1"/>
  <c r="R168" i="1" s="1"/>
  <c r="G169" i="1"/>
  <c r="R169" i="1" s="1"/>
  <c r="G170" i="1"/>
  <c r="R170" i="1" s="1"/>
  <c r="G171" i="1"/>
  <c r="R171" i="1" s="1"/>
  <c r="G172" i="1"/>
  <c r="R172" i="1" s="1"/>
  <c r="G173" i="1"/>
  <c r="R173" i="1" s="1"/>
  <c r="G174" i="1"/>
  <c r="R174" i="1" s="1"/>
  <c r="G175" i="1"/>
  <c r="R175" i="1" s="1"/>
  <c r="G176" i="1"/>
  <c r="R176" i="1" s="1"/>
  <c r="G177" i="1"/>
  <c r="R177" i="1" s="1"/>
  <c r="G178" i="1"/>
  <c r="R178" i="1" s="1"/>
  <c r="G179" i="1"/>
  <c r="R179" i="1" s="1"/>
  <c r="G180" i="1"/>
  <c r="R180" i="1" s="1"/>
  <c r="G181" i="1"/>
  <c r="R181" i="1" s="1"/>
  <c r="G182" i="1"/>
  <c r="R182" i="1" s="1"/>
  <c r="G183" i="1"/>
  <c r="R183" i="1" s="1"/>
  <c r="G184" i="1"/>
  <c r="R184" i="1" s="1"/>
  <c r="G185" i="1"/>
  <c r="R185" i="1" s="1"/>
  <c r="G186" i="1"/>
  <c r="R186" i="1" s="1"/>
  <c r="G187" i="1"/>
  <c r="R187" i="1" s="1"/>
  <c r="G188" i="1"/>
  <c r="R188" i="1" s="1"/>
  <c r="G189" i="1"/>
  <c r="R189" i="1" s="1"/>
  <c r="G190" i="1"/>
  <c r="R190" i="1" s="1"/>
  <c r="G191" i="1"/>
  <c r="R191" i="1" s="1"/>
  <c r="G192" i="1"/>
  <c r="R192" i="1" s="1"/>
  <c r="G193" i="1"/>
  <c r="R193" i="1" s="1"/>
  <c r="G194" i="1"/>
  <c r="R194" i="1" s="1"/>
  <c r="G195" i="1"/>
  <c r="R195" i="1" s="1"/>
  <c r="G196" i="1"/>
  <c r="R196" i="1" s="1"/>
  <c r="G197" i="1"/>
  <c r="R197" i="1" s="1"/>
  <c r="G198" i="1"/>
  <c r="R198" i="1" s="1"/>
  <c r="G199" i="1"/>
  <c r="R199" i="1" s="1"/>
  <c r="G200" i="1"/>
  <c r="R200" i="1" s="1"/>
  <c r="G201" i="1"/>
  <c r="R201" i="1" s="1"/>
  <c r="G202" i="1"/>
  <c r="R202" i="1" s="1"/>
  <c r="G203" i="1"/>
  <c r="R203" i="1" s="1"/>
  <c r="G204" i="1"/>
  <c r="R204" i="1" s="1"/>
  <c r="G205" i="1"/>
  <c r="R205" i="1" s="1"/>
  <c r="G206" i="1"/>
  <c r="R206" i="1" s="1"/>
  <c r="G207" i="1"/>
  <c r="R207" i="1" s="1"/>
  <c r="G208" i="1"/>
  <c r="R208" i="1" s="1"/>
  <c r="G209" i="1"/>
  <c r="R209" i="1" s="1"/>
  <c r="G210" i="1"/>
  <c r="R210" i="1" s="1"/>
  <c r="G211" i="1"/>
  <c r="R211" i="1" s="1"/>
  <c r="G212" i="1"/>
  <c r="R212" i="1" s="1"/>
  <c r="G213" i="1"/>
  <c r="R213" i="1" s="1"/>
  <c r="G214" i="1"/>
  <c r="R214" i="1" s="1"/>
  <c r="G215" i="1"/>
  <c r="R215" i="1" s="1"/>
  <c r="G216" i="1"/>
  <c r="R216" i="1" s="1"/>
  <c r="G217" i="1"/>
  <c r="R217" i="1" s="1"/>
  <c r="G218" i="1"/>
  <c r="R218" i="1" s="1"/>
  <c r="G219" i="1"/>
  <c r="R219" i="1" s="1"/>
  <c r="G220" i="1"/>
  <c r="R220" i="1" s="1"/>
  <c r="G221" i="1"/>
  <c r="R221" i="1" s="1"/>
  <c r="G222" i="1"/>
  <c r="R222" i="1" s="1"/>
  <c r="G223" i="1"/>
  <c r="R223" i="1" s="1"/>
  <c r="G224" i="1"/>
  <c r="R224" i="1" s="1"/>
  <c r="G225" i="1"/>
  <c r="R225" i="1" s="1"/>
  <c r="G226" i="1"/>
  <c r="R226" i="1" s="1"/>
  <c r="G227" i="1"/>
  <c r="R227" i="1" s="1"/>
  <c r="G228" i="1"/>
  <c r="R228" i="1" s="1"/>
  <c r="G229" i="1"/>
  <c r="R229" i="1" s="1"/>
  <c r="G230" i="1"/>
  <c r="R230" i="1" s="1"/>
  <c r="G231" i="1"/>
  <c r="R231" i="1" s="1"/>
  <c r="G232" i="1"/>
  <c r="R232" i="1" s="1"/>
  <c r="G233" i="1"/>
  <c r="R233" i="1" s="1"/>
  <c r="G234" i="1"/>
  <c r="R234" i="1" s="1"/>
  <c r="G235" i="1"/>
  <c r="R235" i="1" s="1"/>
  <c r="G236" i="1"/>
  <c r="R236" i="1" s="1"/>
  <c r="G237" i="1"/>
  <c r="R237" i="1" s="1"/>
  <c r="G238" i="1"/>
  <c r="R238" i="1" s="1"/>
  <c r="G239" i="1"/>
  <c r="R239" i="1" s="1"/>
  <c r="G240" i="1"/>
  <c r="R240" i="1" s="1"/>
  <c r="G241" i="1"/>
  <c r="R241" i="1" s="1"/>
  <c r="G242" i="1"/>
  <c r="R242" i="1" s="1"/>
  <c r="G243" i="1"/>
  <c r="R243" i="1" s="1"/>
  <c r="G244" i="1"/>
  <c r="R244" i="1" s="1"/>
  <c r="G245" i="1"/>
  <c r="R245" i="1" s="1"/>
  <c r="G246" i="1"/>
  <c r="R246" i="1" s="1"/>
  <c r="G247" i="1"/>
  <c r="R247" i="1" s="1"/>
  <c r="G248" i="1"/>
  <c r="R248" i="1" s="1"/>
  <c r="G249" i="1"/>
  <c r="R249" i="1" s="1"/>
  <c r="G250" i="1"/>
  <c r="R250" i="1" s="1"/>
  <c r="G251" i="1"/>
  <c r="R251" i="1" s="1"/>
  <c r="G252" i="1"/>
  <c r="R252" i="1" s="1"/>
  <c r="G253" i="1"/>
  <c r="R253" i="1" s="1"/>
  <c r="G254" i="1"/>
  <c r="R254" i="1" s="1"/>
  <c r="G255" i="1"/>
  <c r="R255" i="1" s="1"/>
  <c r="G256" i="1"/>
  <c r="R256" i="1" s="1"/>
  <c r="G257" i="1"/>
  <c r="R257" i="1" s="1"/>
  <c r="G258" i="1"/>
  <c r="R258" i="1" s="1"/>
  <c r="G259" i="1"/>
  <c r="R259" i="1" s="1"/>
  <c r="G260" i="1"/>
  <c r="R260" i="1" s="1"/>
  <c r="G261" i="1"/>
  <c r="R261" i="1" s="1"/>
  <c r="G262" i="1"/>
  <c r="R262" i="1" s="1"/>
  <c r="G263" i="1"/>
  <c r="R263" i="1" s="1"/>
  <c r="G264" i="1"/>
  <c r="R264" i="1" s="1"/>
  <c r="G265" i="1"/>
  <c r="R265" i="1" s="1"/>
  <c r="G266" i="1"/>
  <c r="R266" i="1" s="1"/>
  <c r="G267" i="1"/>
  <c r="R267" i="1" s="1"/>
  <c r="G268" i="1"/>
  <c r="R268" i="1" s="1"/>
  <c r="G269" i="1"/>
  <c r="R269" i="1" s="1"/>
  <c r="G270" i="1"/>
  <c r="R270" i="1" s="1"/>
  <c r="G271" i="1"/>
  <c r="R271" i="1" s="1"/>
  <c r="G272" i="1"/>
  <c r="R272" i="1" s="1"/>
  <c r="G273" i="1"/>
  <c r="R273" i="1" s="1"/>
  <c r="G274" i="1"/>
  <c r="R274" i="1" s="1"/>
  <c r="G275" i="1"/>
  <c r="R275" i="1" s="1"/>
  <c r="G276" i="1"/>
  <c r="R276" i="1" s="1"/>
  <c r="G277" i="1"/>
  <c r="R277" i="1" s="1"/>
  <c r="G278" i="1"/>
  <c r="R278" i="1" s="1"/>
  <c r="G279" i="1"/>
  <c r="R279" i="1" s="1"/>
  <c r="G280" i="1"/>
  <c r="R280" i="1" s="1"/>
  <c r="G281" i="1"/>
  <c r="R281" i="1" s="1"/>
  <c r="G282" i="1"/>
  <c r="R282" i="1" s="1"/>
  <c r="G283" i="1"/>
  <c r="R283" i="1" s="1"/>
  <c r="G284" i="1"/>
  <c r="R284" i="1" s="1"/>
  <c r="G285" i="1"/>
  <c r="R285" i="1" s="1"/>
  <c r="G286" i="1"/>
  <c r="R286" i="1" s="1"/>
  <c r="G287" i="1"/>
  <c r="R287" i="1" s="1"/>
  <c r="G288" i="1"/>
  <c r="R288" i="1" s="1"/>
  <c r="G289" i="1"/>
  <c r="R289" i="1" s="1"/>
  <c r="G290" i="1"/>
  <c r="R290" i="1" s="1"/>
  <c r="G291" i="1"/>
  <c r="R291" i="1" s="1"/>
  <c r="G292" i="1"/>
  <c r="R292" i="1" s="1"/>
  <c r="G293" i="1"/>
  <c r="R293" i="1" s="1"/>
  <c r="G294" i="1"/>
  <c r="R294" i="1" s="1"/>
  <c r="G295" i="1"/>
  <c r="R295" i="1" s="1"/>
  <c r="G296" i="1"/>
  <c r="R296" i="1" s="1"/>
  <c r="G297" i="1"/>
  <c r="R297" i="1" s="1"/>
  <c r="G298" i="1"/>
  <c r="R298" i="1" s="1"/>
  <c r="G299" i="1"/>
  <c r="R299" i="1" s="1"/>
  <c r="G300" i="1"/>
  <c r="R300" i="1" s="1"/>
  <c r="G301" i="1"/>
  <c r="R301" i="1" s="1"/>
  <c r="G302" i="1"/>
  <c r="R302" i="1" s="1"/>
  <c r="G303" i="1"/>
  <c r="R303" i="1" s="1"/>
  <c r="G304" i="1"/>
  <c r="R304" i="1" s="1"/>
  <c r="G305" i="1"/>
  <c r="R305" i="1" s="1"/>
  <c r="G306" i="1"/>
  <c r="R306" i="1" s="1"/>
  <c r="G307" i="1"/>
  <c r="R307" i="1" s="1"/>
  <c r="G308" i="1"/>
  <c r="R308" i="1" s="1"/>
  <c r="G309" i="1"/>
  <c r="R309" i="1" s="1"/>
  <c r="G310" i="1"/>
  <c r="R310" i="1" s="1"/>
  <c r="G311" i="1"/>
  <c r="R311" i="1" s="1"/>
  <c r="G312" i="1"/>
  <c r="R312" i="1" s="1"/>
  <c r="G313" i="1"/>
  <c r="R313" i="1" s="1"/>
  <c r="G314" i="1"/>
  <c r="R314" i="1" s="1"/>
  <c r="G315" i="1"/>
  <c r="R315" i="1" s="1"/>
  <c r="G316" i="1"/>
  <c r="R316" i="1" s="1"/>
  <c r="G317" i="1"/>
  <c r="R317" i="1" s="1"/>
  <c r="G318" i="1"/>
  <c r="R318" i="1" s="1"/>
  <c r="G319" i="1"/>
  <c r="R319" i="1" s="1"/>
  <c r="G320" i="1"/>
  <c r="R320" i="1" s="1"/>
  <c r="G321" i="1"/>
  <c r="R321" i="1" s="1"/>
  <c r="G322" i="1"/>
  <c r="R322" i="1" s="1"/>
  <c r="G323" i="1"/>
  <c r="R323" i="1" s="1"/>
  <c r="G324" i="1"/>
  <c r="R324" i="1" s="1"/>
  <c r="G325" i="1"/>
  <c r="R325" i="1" s="1"/>
  <c r="G326" i="1"/>
  <c r="R326" i="1" s="1"/>
  <c r="G327" i="1"/>
  <c r="R327" i="1" s="1"/>
  <c r="G328" i="1"/>
  <c r="R328" i="1" s="1"/>
  <c r="G329" i="1"/>
  <c r="R329" i="1" s="1"/>
  <c r="G330" i="1"/>
  <c r="R330" i="1" s="1"/>
  <c r="G331" i="1"/>
  <c r="R331" i="1" s="1"/>
  <c r="G332" i="1"/>
  <c r="R332" i="1" s="1"/>
  <c r="G333" i="1"/>
  <c r="R333" i="1" s="1"/>
  <c r="G334" i="1"/>
  <c r="R334" i="1" s="1"/>
  <c r="G335" i="1"/>
  <c r="R335" i="1" s="1"/>
  <c r="G336" i="1"/>
  <c r="R336" i="1" s="1"/>
  <c r="G337" i="1"/>
  <c r="R337" i="1" s="1"/>
  <c r="G338" i="1"/>
  <c r="R338" i="1" s="1"/>
  <c r="G339" i="1"/>
  <c r="R339" i="1" s="1"/>
  <c r="G340" i="1"/>
  <c r="R340" i="1" s="1"/>
  <c r="G341" i="1"/>
  <c r="R341" i="1" s="1"/>
  <c r="G342" i="1"/>
  <c r="R342" i="1" s="1"/>
  <c r="G343" i="1"/>
  <c r="R343" i="1" s="1"/>
  <c r="G344" i="1"/>
  <c r="R344" i="1" s="1"/>
  <c r="G345" i="1"/>
  <c r="R345" i="1" s="1"/>
  <c r="G346" i="1"/>
  <c r="R346" i="1" s="1"/>
  <c r="G347" i="1"/>
  <c r="R347" i="1" s="1"/>
  <c r="G348" i="1"/>
  <c r="R348" i="1" s="1"/>
  <c r="G349" i="1"/>
  <c r="R349" i="1" s="1"/>
  <c r="G350" i="1"/>
  <c r="R350" i="1" s="1"/>
  <c r="G351" i="1"/>
  <c r="R351" i="1" s="1"/>
  <c r="G352" i="1"/>
  <c r="R352" i="1" s="1"/>
  <c r="G353" i="1"/>
  <c r="R353" i="1" s="1"/>
  <c r="G354" i="1"/>
  <c r="R354" i="1" s="1"/>
  <c r="G355" i="1"/>
  <c r="R355" i="1" s="1"/>
  <c r="G356" i="1"/>
  <c r="R356" i="1" s="1"/>
  <c r="G357" i="1"/>
  <c r="R357" i="1" s="1"/>
  <c r="G358" i="1"/>
  <c r="R358" i="1" s="1"/>
  <c r="G359" i="1"/>
  <c r="R359" i="1" s="1"/>
  <c r="G360" i="1"/>
  <c r="R360" i="1" s="1"/>
  <c r="G361" i="1"/>
  <c r="R361" i="1" s="1"/>
  <c r="G362" i="1"/>
  <c r="R362" i="1" s="1"/>
  <c r="G363" i="1"/>
  <c r="R363" i="1" s="1"/>
  <c r="G364" i="1"/>
  <c r="R364" i="1" s="1"/>
  <c r="G365" i="1"/>
  <c r="R365" i="1" s="1"/>
  <c r="G366" i="1"/>
  <c r="R366" i="1" s="1"/>
  <c r="G367" i="1"/>
  <c r="R367" i="1" s="1"/>
  <c r="G368" i="1"/>
  <c r="R368" i="1" s="1"/>
  <c r="G369" i="1"/>
  <c r="R369" i="1" s="1"/>
  <c r="G370" i="1"/>
  <c r="R370" i="1" s="1"/>
  <c r="G371" i="1"/>
  <c r="R371" i="1" s="1"/>
  <c r="G372" i="1"/>
  <c r="R372" i="1" s="1"/>
  <c r="G373" i="1"/>
  <c r="R373" i="1" s="1"/>
  <c r="G374" i="1"/>
  <c r="R374" i="1" s="1"/>
  <c r="G375" i="1"/>
  <c r="R375" i="1" s="1"/>
  <c r="G376" i="1"/>
  <c r="R376" i="1" s="1"/>
  <c r="G377" i="1"/>
  <c r="R377" i="1" s="1"/>
  <c r="G378" i="1"/>
  <c r="R378" i="1" s="1"/>
  <c r="G379" i="1"/>
  <c r="R379" i="1" s="1"/>
  <c r="G380" i="1"/>
  <c r="R380" i="1" s="1"/>
  <c r="G381" i="1"/>
  <c r="R381" i="1" s="1"/>
  <c r="G382" i="1"/>
  <c r="R382" i="1" s="1"/>
  <c r="G383" i="1"/>
  <c r="R383" i="1" s="1"/>
  <c r="G384" i="1"/>
  <c r="R384" i="1" s="1"/>
  <c r="G385" i="1"/>
  <c r="R385" i="1" s="1"/>
  <c r="G386" i="1"/>
  <c r="R386" i="1" s="1"/>
  <c r="G387" i="1"/>
  <c r="R387" i="1" s="1"/>
  <c r="G388" i="1"/>
  <c r="R388" i="1" s="1"/>
  <c r="G389" i="1"/>
  <c r="R389" i="1" s="1"/>
  <c r="G390" i="1"/>
  <c r="R390" i="1" s="1"/>
  <c r="G391" i="1"/>
  <c r="R391" i="1" s="1"/>
  <c r="G392" i="1"/>
  <c r="R392" i="1" s="1"/>
  <c r="G393" i="1"/>
  <c r="R393" i="1" s="1"/>
  <c r="G394" i="1"/>
  <c r="R394" i="1" s="1"/>
  <c r="G395" i="1"/>
  <c r="R395" i="1" s="1"/>
  <c r="G396" i="1"/>
  <c r="R396" i="1" s="1"/>
  <c r="G397" i="1"/>
  <c r="R397" i="1" s="1"/>
  <c r="G398" i="1"/>
  <c r="R398" i="1" s="1"/>
  <c r="G399" i="1"/>
  <c r="R399" i="1" s="1"/>
  <c r="G400" i="1"/>
  <c r="R400" i="1" s="1"/>
  <c r="G401" i="1"/>
  <c r="R401" i="1" s="1"/>
  <c r="G402" i="1"/>
  <c r="R402" i="1" s="1"/>
  <c r="G403" i="1"/>
  <c r="R403" i="1" s="1"/>
  <c r="G404" i="1"/>
  <c r="R404" i="1" s="1"/>
  <c r="G405" i="1"/>
  <c r="R405" i="1" s="1"/>
  <c r="G406" i="1"/>
  <c r="R406" i="1" s="1"/>
  <c r="G407" i="1"/>
  <c r="R407" i="1" s="1"/>
  <c r="G408" i="1"/>
  <c r="R408" i="1" s="1"/>
  <c r="G409" i="1"/>
  <c r="R409" i="1" s="1"/>
  <c r="G410" i="1"/>
  <c r="R410" i="1" s="1"/>
  <c r="G411" i="1"/>
  <c r="R411" i="1" s="1"/>
  <c r="G412" i="1"/>
  <c r="R412" i="1" s="1"/>
  <c r="G413" i="1"/>
  <c r="R413" i="1" s="1"/>
  <c r="G414" i="1"/>
  <c r="R414" i="1" s="1"/>
  <c r="G415" i="1"/>
  <c r="R415" i="1" s="1"/>
  <c r="G416" i="1"/>
  <c r="R416" i="1" s="1"/>
  <c r="G417" i="1"/>
  <c r="R417" i="1" s="1"/>
  <c r="G418" i="1"/>
  <c r="R418" i="1" s="1"/>
  <c r="G419" i="1"/>
  <c r="R419" i="1" s="1"/>
  <c r="G420" i="1"/>
  <c r="R420" i="1" s="1"/>
  <c r="G421" i="1"/>
  <c r="R421" i="1" s="1"/>
  <c r="G422" i="1"/>
  <c r="R422" i="1" s="1"/>
  <c r="G423" i="1"/>
  <c r="R423" i="1" s="1"/>
  <c r="G424" i="1"/>
  <c r="R424" i="1" s="1"/>
  <c r="G425" i="1"/>
  <c r="R425" i="1" s="1"/>
  <c r="G426" i="1"/>
  <c r="R426" i="1" s="1"/>
  <c r="G427" i="1"/>
  <c r="R427" i="1" s="1"/>
  <c r="G428" i="1"/>
  <c r="R428" i="1" s="1"/>
  <c r="G429" i="1"/>
  <c r="R429" i="1" s="1"/>
  <c r="G430" i="1"/>
  <c r="R430" i="1" s="1"/>
  <c r="G431" i="1"/>
  <c r="R431" i="1" s="1"/>
  <c r="G432" i="1"/>
  <c r="R432" i="1" s="1"/>
  <c r="G433" i="1"/>
  <c r="R433" i="1" s="1"/>
  <c r="G434" i="1"/>
  <c r="R434" i="1" s="1"/>
  <c r="G435" i="1"/>
  <c r="R435" i="1" s="1"/>
  <c r="G436" i="1"/>
  <c r="R436" i="1" s="1"/>
  <c r="G437" i="1"/>
  <c r="R437" i="1" s="1"/>
  <c r="G438" i="1"/>
  <c r="R438" i="1" s="1"/>
  <c r="G439" i="1"/>
  <c r="R439" i="1" s="1"/>
  <c r="G440" i="1"/>
  <c r="R440" i="1" s="1"/>
  <c r="G441" i="1"/>
  <c r="R441" i="1" s="1"/>
  <c r="G442" i="1"/>
  <c r="R442" i="1" s="1"/>
  <c r="G443" i="1"/>
  <c r="R443" i="1" s="1"/>
  <c r="G444" i="1"/>
  <c r="R444" i="1" s="1"/>
  <c r="G445" i="1"/>
  <c r="R445" i="1" s="1"/>
  <c r="G446" i="1"/>
  <c r="R446" i="1" s="1"/>
  <c r="G447" i="1"/>
  <c r="R447" i="1" s="1"/>
  <c r="G448" i="1"/>
  <c r="R448" i="1" s="1"/>
  <c r="G449" i="1"/>
  <c r="R449" i="1" s="1"/>
  <c r="G450" i="1"/>
  <c r="R450" i="1" s="1"/>
  <c r="G451" i="1"/>
  <c r="R451" i="1" s="1"/>
  <c r="G452" i="1"/>
  <c r="R452" i="1" s="1"/>
  <c r="G453" i="1"/>
  <c r="R453" i="1" s="1"/>
  <c r="G454" i="1"/>
  <c r="R454" i="1" s="1"/>
  <c r="G455" i="1"/>
  <c r="R455" i="1" s="1"/>
  <c r="G456" i="1"/>
  <c r="R456" i="1" s="1"/>
  <c r="G457" i="1"/>
  <c r="R457" i="1" s="1"/>
  <c r="G458" i="1"/>
  <c r="R458" i="1" s="1"/>
  <c r="G459" i="1"/>
  <c r="R459" i="1" s="1"/>
  <c r="G460" i="1"/>
  <c r="R460" i="1" s="1"/>
  <c r="G461" i="1"/>
  <c r="R461" i="1" s="1"/>
  <c r="G462" i="1"/>
  <c r="R462" i="1" s="1"/>
  <c r="G463" i="1"/>
  <c r="R463" i="1" s="1"/>
  <c r="G464" i="1"/>
  <c r="R464" i="1" s="1"/>
  <c r="G465" i="1"/>
  <c r="R465" i="1" s="1"/>
  <c r="G466" i="1"/>
  <c r="R466" i="1" s="1"/>
  <c r="G467" i="1"/>
  <c r="R467" i="1" s="1"/>
  <c r="G468" i="1"/>
  <c r="R468" i="1" s="1"/>
  <c r="G469" i="1"/>
  <c r="R469" i="1" s="1"/>
  <c r="G470" i="1"/>
  <c r="R470" i="1" s="1"/>
  <c r="G471" i="1"/>
  <c r="R471" i="1" s="1"/>
  <c r="G472" i="1"/>
  <c r="R472" i="1" s="1"/>
  <c r="G473" i="1"/>
  <c r="R473" i="1" s="1"/>
  <c r="G474" i="1"/>
  <c r="R474" i="1" s="1"/>
  <c r="G475" i="1"/>
  <c r="R475" i="1" s="1"/>
  <c r="G476" i="1"/>
  <c r="R476" i="1" s="1"/>
  <c r="G477" i="1"/>
  <c r="R477" i="1" s="1"/>
  <c r="G478" i="1"/>
  <c r="R478" i="1" s="1"/>
  <c r="G479" i="1"/>
  <c r="R479" i="1" s="1"/>
  <c r="G480" i="1"/>
  <c r="R480" i="1" s="1"/>
  <c r="G481" i="1"/>
  <c r="R481" i="1" s="1"/>
  <c r="G482" i="1"/>
  <c r="R482" i="1" s="1"/>
  <c r="G483" i="1"/>
  <c r="R483" i="1" s="1"/>
  <c r="G484" i="1"/>
  <c r="R484" i="1" s="1"/>
  <c r="G485" i="1"/>
  <c r="R485" i="1" s="1"/>
  <c r="G486" i="1"/>
  <c r="R486" i="1" s="1"/>
  <c r="G487" i="1"/>
  <c r="R487" i="1" s="1"/>
  <c r="G488" i="1"/>
  <c r="R488" i="1" s="1"/>
  <c r="G489" i="1"/>
  <c r="R489" i="1" s="1"/>
  <c r="G490" i="1"/>
  <c r="R490" i="1" s="1"/>
  <c r="G491" i="1"/>
  <c r="R491" i="1" s="1"/>
  <c r="G492" i="1"/>
  <c r="R492" i="1" s="1"/>
  <c r="G493" i="1"/>
  <c r="R493" i="1" s="1"/>
  <c r="G494" i="1"/>
  <c r="R494" i="1" s="1"/>
  <c r="G495" i="1"/>
  <c r="R495" i="1" s="1"/>
  <c r="G496" i="1"/>
  <c r="R496" i="1" s="1"/>
  <c r="G497" i="1"/>
  <c r="R497" i="1" s="1"/>
  <c r="G498" i="1"/>
  <c r="R498" i="1" s="1"/>
  <c r="G499" i="1"/>
  <c r="R499" i="1" s="1"/>
  <c r="G500" i="1"/>
  <c r="R500" i="1" s="1"/>
  <c r="G501" i="1"/>
  <c r="R501" i="1" s="1"/>
  <c r="G502" i="1"/>
  <c r="R502" i="1" s="1"/>
  <c r="G503" i="1"/>
  <c r="R503" i="1" s="1"/>
  <c r="G504" i="1"/>
  <c r="R504" i="1" s="1"/>
  <c r="G505" i="1"/>
  <c r="R505" i="1" s="1"/>
  <c r="G506" i="1"/>
  <c r="R506" i="1" s="1"/>
  <c r="G507" i="1"/>
  <c r="R507" i="1" s="1"/>
  <c r="G508" i="1"/>
  <c r="R508" i="1" s="1"/>
  <c r="G509" i="1"/>
  <c r="R509" i="1" s="1"/>
  <c r="G510" i="1"/>
  <c r="R510" i="1" s="1"/>
  <c r="G511" i="1"/>
  <c r="R511" i="1" s="1"/>
  <c r="G512" i="1"/>
  <c r="R512" i="1" s="1"/>
  <c r="G513" i="1"/>
  <c r="R513" i="1" s="1"/>
  <c r="G514" i="1"/>
  <c r="R514" i="1" s="1"/>
  <c r="G515" i="1"/>
  <c r="R515" i="1" s="1"/>
  <c r="G516" i="1"/>
  <c r="R516" i="1" s="1"/>
  <c r="G517" i="1"/>
  <c r="R517" i="1" s="1"/>
  <c r="G518" i="1"/>
  <c r="R518" i="1" s="1"/>
  <c r="G519" i="1"/>
  <c r="R519" i="1" s="1"/>
  <c r="G520" i="1"/>
  <c r="R520" i="1" s="1"/>
  <c r="G521" i="1"/>
  <c r="R521" i="1" s="1"/>
  <c r="G522" i="1"/>
  <c r="R522" i="1" s="1"/>
  <c r="G523" i="1"/>
  <c r="R523" i="1" s="1"/>
  <c r="G524" i="1"/>
  <c r="R524" i="1" s="1"/>
  <c r="G525" i="1"/>
  <c r="R525" i="1" s="1"/>
  <c r="G526" i="1"/>
  <c r="R526" i="1" s="1"/>
  <c r="G527" i="1"/>
  <c r="R527" i="1" s="1"/>
  <c r="G528" i="1"/>
  <c r="R528" i="1" s="1"/>
  <c r="G529" i="1"/>
  <c r="R529" i="1" s="1"/>
  <c r="G530" i="1"/>
  <c r="R530" i="1" s="1"/>
  <c r="G531" i="1"/>
  <c r="R531" i="1" s="1"/>
  <c r="G532" i="1"/>
  <c r="R532" i="1" s="1"/>
  <c r="G533" i="1"/>
  <c r="R533" i="1" s="1"/>
  <c r="G534" i="1"/>
  <c r="R534" i="1" s="1"/>
  <c r="G535" i="1"/>
  <c r="R535" i="1" s="1"/>
  <c r="G536" i="1"/>
  <c r="R536" i="1" s="1"/>
  <c r="G537" i="1"/>
  <c r="R537" i="1" s="1"/>
  <c r="G538" i="1"/>
  <c r="R538" i="1" s="1"/>
  <c r="G539" i="1"/>
  <c r="R539" i="1" s="1"/>
  <c r="G540" i="1"/>
  <c r="R540" i="1" s="1"/>
  <c r="G541" i="1"/>
  <c r="R541" i="1" s="1"/>
  <c r="G542" i="1"/>
  <c r="R542" i="1" s="1"/>
  <c r="G543" i="1"/>
  <c r="R543" i="1" s="1"/>
  <c r="G544" i="1"/>
  <c r="R544" i="1" s="1"/>
  <c r="G545" i="1"/>
  <c r="R545" i="1" s="1"/>
  <c r="G546" i="1"/>
  <c r="R546" i="1" s="1"/>
  <c r="G547" i="1"/>
  <c r="R547" i="1" s="1"/>
  <c r="G548" i="1"/>
  <c r="R548" i="1" s="1"/>
  <c r="G549" i="1"/>
  <c r="R549" i="1" s="1"/>
  <c r="G550" i="1"/>
  <c r="R550" i="1" s="1"/>
  <c r="G551" i="1"/>
  <c r="R551" i="1" s="1"/>
  <c r="G552" i="1"/>
  <c r="R552" i="1" s="1"/>
  <c r="G553" i="1"/>
  <c r="R553" i="1" s="1"/>
  <c r="G554" i="1"/>
  <c r="R554" i="1" s="1"/>
  <c r="G555" i="1"/>
  <c r="R555" i="1" s="1"/>
  <c r="G556" i="1"/>
  <c r="R556" i="1" s="1"/>
  <c r="G557" i="1"/>
  <c r="R557" i="1" s="1"/>
  <c r="G558" i="1"/>
  <c r="R558" i="1" s="1"/>
  <c r="G559" i="1"/>
  <c r="R559" i="1" s="1"/>
  <c r="G560" i="1"/>
  <c r="R560" i="1" s="1"/>
  <c r="G561" i="1"/>
  <c r="R561" i="1" s="1"/>
  <c r="G562" i="1"/>
  <c r="R562" i="1" s="1"/>
  <c r="G563" i="1"/>
  <c r="R563" i="1" s="1"/>
  <c r="G564" i="1"/>
  <c r="R564" i="1" s="1"/>
  <c r="G565" i="1"/>
  <c r="R565" i="1" s="1"/>
  <c r="G566" i="1"/>
  <c r="R566" i="1" s="1"/>
  <c r="G567" i="1"/>
  <c r="R567" i="1" s="1"/>
  <c r="G568" i="1"/>
  <c r="R568" i="1" s="1"/>
  <c r="G569" i="1"/>
  <c r="R569" i="1" s="1"/>
  <c r="G570" i="1"/>
  <c r="R570" i="1" s="1"/>
  <c r="G571" i="1"/>
  <c r="R571" i="1" s="1"/>
  <c r="G572" i="1"/>
  <c r="R572" i="1" s="1"/>
  <c r="G573" i="1"/>
  <c r="R573" i="1" s="1"/>
  <c r="G574" i="1"/>
  <c r="R574" i="1" s="1"/>
  <c r="G575" i="1"/>
  <c r="R575" i="1" s="1"/>
  <c r="G576" i="1"/>
  <c r="R576" i="1" s="1"/>
  <c r="G577" i="1"/>
  <c r="R577" i="1" s="1"/>
  <c r="G578" i="1"/>
  <c r="R578" i="1" s="1"/>
  <c r="G579" i="1"/>
  <c r="R579" i="1" s="1"/>
  <c r="G580" i="1"/>
  <c r="R580" i="1" s="1"/>
  <c r="G581" i="1"/>
  <c r="R581" i="1" s="1"/>
  <c r="G582" i="1"/>
  <c r="R582" i="1" s="1"/>
  <c r="G583" i="1"/>
  <c r="R583" i="1" s="1"/>
  <c r="G584" i="1"/>
  <c r="R584" i="1" s="1"/>
  <c r="G585" i="1"/>
  <c r="R585" i="1" s="1"/>
  <c r="G586" i="1"/>
  <c r="R586" i="1" s="1"/>
  <c r="G587" i="1"/>
  <c r="R587" i="1" s="1"/>
  <c r="G588" i="1"/>
  <c r="R588" i="1" s="1"/>
  <c r="G589" i="1"/>
  <c r="R589" i="1" s="1"/>
  <c r="G590" i="1"/>
  <c r="R590" i="1" s="1"/>
  <c r="G591" i="1"/>
  <c r="R591" i="1" s="1"/>
  <c r="G592" i="1"/>
  <c r="R592" i="1" s="1"/>
  <c r="G593" i="1"/>
  <c r="R593" i="1" s="1"/>
  <c r="G594" i="1"/>
  <c r="R594" i="1" s="1"/>
  <c r="G595" i="1"/>
  <c r="R595" i="1" s="1"/>
  <c r="G596" i="1"/>
  <c r="R596" i="1" s="1"/>
  <c r="G597" i="1"/>
  <c r="R597" i="1" s="1"/>
  <c r="G598" i="1"/>
  <c r="R598" i="1" s="1"/>
  <c r="G599" i="1"/>
  <c r="R599" i="1" s="1"/>
  <c r="G600" i="1"/>
  <c r="R600" i="1" s="1"/>
  <c r="G601" i="1"/>
  <c r="R601" i="1" s="1"/>
  <c r="G3" i="1"/>
  <c r="R3" i="1" s="1"/>
  <c r="G2" i="1"/>
  <c r="R2" i="1" s="1"/>
  <c r="H2" i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I2" i="1"/>
  <c r="K3" i="1"/>
  <c r="O3" i="1" s="1" a="1"/>
  <c r="Q3" i="1" s="1"/>
  <c r="K4" i="1"/>
  <c r="O4" i="1" s="1" a="1"/>
  <c r="Q4" i="1" s="1"/>
  <c r="K5" i="1"/>
  <c r="O5" i="1" s="1" a="1"/>
  <c r="Q5" i="1" s="1"/>
  <c r="K6" i="1"/>
  <c r="O6" i="1" s="1" a="1"/>
  <c r="Q6" i="1" s="1"/>
  <c r="K7" i="1"/>
  <c r="O7" i="1" s="1" a="1"/>
  <c r="Q7" i="1" s="1"/>
  <c r="K8" i="1"/>
  <c r="O8" i="1" s="1" a="1"/>
  <c r="Q8" i="1" s="1"/>
  <c r="K9" i="1"/>
  <c r="O9" i="1" s="1" a="1"/>
  <c r="Q9" i="1" s="1"/>
  <c r="K10" i="1"/>
  <c r="O10" i="1" s="1" a="1"/>
  <c r="Q10" i="1" s="1"/>
  <c r="K11" i="1"/>
  <c r="O11" i="1" s="1" a="1"/>
  <c r="Q11" i="1" s="1"/>
  <c r="K12" i="1"/>
  <c r="O12" i="1" s="1" a="1"/>
  <c r="Q12" i="1" s="1"/>
  <c r="K13" i="1"/>
  <c r="O13" i="1" s="1" a="1"/>
  <c r="Q13" i="1" s="1"/>
  <c r="K14" i="1"/>
  <c r="O14" i="1" s="1" a="1"/>
  <c r="Q14" i="1" s="1"/>
  <c r="K15" i="1"/>
  <c r="O15" i="1" s="1" a="1"/>
  <c r="Q15" i="1" s="1"/>
  <c r="K16" i="1"/>
  <c r="O16" i="1" s="1" a="1"/>
  <c r="Q16" i="1" s="1"/>
  <c r="K17" i="1"/>
  <c r="O17" i="1" s="1" a="1"/>
  <c r="Q17" i="1" s="1"/>
  <c r="K18" i="1"/>
  <c r="O18" i="1" s="1" a="1"/>
  <c r="Q18" i="1" s="1"/>
  <c r="K19" i="1"/>
  <c r="O19" i="1" s="1" a="1"/>
  <c r="Q19" i="1" s="1"/>
  <c r="K20" i="1"/>
  <c r="O20" i="1" s="1" a="1"/>
  <c r="Q20" i="1" s="1"/>
  <c r="K21" i="1"/>
  <c r="O21" i="1" s="1" a="1"/>
  <c r="Q21" i="1" s="1"/>
  <c r="K22" i="1"/>
  <c r="O22" i="1" s="1" a="1"/>
  <c r="Q22" i="1" s="1"/>
  <c r="K23" i="1"/>
  <c r="O23" i="1" s="1" a="1"/>
  <c r="Q23" i="1" s="1"/>
  <c r="K24" i="1"/>
  <c r="O24" i="1" s="1" a="1"/>
  <c r="Q24" i="1" s="1"/>
  <c r="K25" i="1"/>
  <c r="O25" i="1" s="1" a="1"/>
  <c r="Q25" i="1" s="1"/>
  <c r="K26" i="1"/>
  <c r="O26" i="1" s="1" a="1"/>
  <c r="Q26" i="1" s="1"/>
  <c r="K27" i="1"/>
  <c r="O27" i="1" s="1" a="1"/>
  <c r="Q27" i="1" s="1"/>
  <c r="K28" i="1"/>
  <c r="O28" i="1" s="1" a="1"/>
  <c r="Q28" i="1" s="1"/>
  <c r="K29" i="1"/>
  <c r="O29" i="1" s="1" a="1"/>
  <c r="Q29" i="1" s="1"/>
  <c r="K30" i="1"/>
  <c r="O30" i="1" s="1" a="1"/>
  <c r="Q30" i="1" s="1"/>
  <c r="K31" i="1"/>
  <c r="O31" i="1" s="1" a="1"/>
  <c r="Q31" i="1" s="1"/>
  <c r="K32" i="1"/>
  <c r="O32" i="1" s="1" a="1"/>
  <c r="Q32" i="1" s="1"/>
  <c r="K33" i="1"/>
  <c r="O33" i="1" s="1" a="1"/>
  <c r="Q33" i="1" s="1"/>
  <c r="K34" i="1"/>
  <c r="O34" i="1" s="1" a="1"/>
  <c r="Q34" i="1" s="1"/>
  <c r="K35" i="1"/>
  <c r="O35" i="1" s="1" a="1"/>
  <c r="Q35" i="1" s="1"/>
  <c r="K36" i="1"/>
  <c r="O36" i="1" s="1" a="1"/>
  <c r="Q36" i="1" s="1"/>
  <c r="K37" i="1"/>
  <c r="O37" i="1" s="1" a="1"/>
  <c r="Q37" i="1" s="1"/>
  <c r="K38" i="1"/>
  <c r="O38" i="1" s="1" a="1"/>
  <c r="Q38" i="1" s="1"/>
  <c r="K39" i="1"/>
  <c r="O39" i="1" s="1" a="1"/>
  <c r="Q39" i="1" s="1"/>
  <c r="K40" i="1"/>
  <c r="O40" i="1" s="1" a="1"/>
  <c r="Q40" i="1" s="1"/>
  <c r="K41" i="1"/>
  <c r="O41" i="1" s="1" a="1"/>
  <c r="Q41" i="1" s="1"/>
  <c r="K42" i="1"/>
  <c r="O42" i="1" s="1" a="1"/>
  <c r="Q42" i="1" s="1"/>
  <c r="K43" i="1"/>
  <c r="O43" i="1" s="1" a="1"/>
  <c r="Q43" i="1" s="1"/>
  <c r="K44" i="1"/>
  <c r="O44" i="1" s="1" a="1"/>
  <c r="Q44" i="1" s="1"/>
  <c r="K45" i="1"/>
  <c r="O45" i="1" s="1" a="1"/>
  <c r="Q45" i="1" s="1"/>
  <c r="K46" i="1"/>
  <c r="O46" i="1" s="1" a="1"/>
  <c r="Q46" i="1" s="1"/>
  <c r="K47" i="1"/>
  <c r="O47" i="1" s="1" a="1"/>
  <c r="Q47" i="1" s="1"/>
  <c r="K48" i="1"/>
  <c r="O48" i="1" s="1" a="1"/>
  <c r="Q48" i="1" s="1"/>
  <c r="K49" i="1"/>
  <c r="O49" i="1" s="1" a="1"/>
  <c r="Q49" i="1" s="1"/>
  <c r="K50" i="1"/>
  <c r="O50" i="1" s="1" a="1"/>
  <c r="Q50" i="1" s="1"/>
  <c r="K51" i="1"/>
  <c r="O51" i="1" s="1" a="1"/>
  <c r="Q51" i="1" s="1"/>
  <c r="K52" i="1"/>
  <c r="O52" i="1" s="1" a="1"/>
  <c r="Q52" i="1" s="1"/>
  <c r="K53" i="1"/>
  <c r="O53" i="1" s="1" a="1"/>
  <c r="Q53" i="1" s="1"/>
  <c r="K54" i="1"/>
  <c r="O54" i="1" s="1" a="1"/>
  <c r="Q54" i="1" s="1"/>
  <c r="K55" i="1"/>
  <c r="O55" i="1" s="1" a="1"/>
  <c r="Q55" i="1" s="1"/>
  <c r="K56" i="1"/>
  <c r="O56" i="1" s="1" a="1"/>
  <c r="Q56" i="1" s="1"/>
  <c r="K57" i="1"/>
  <c r="O57" i="1" s="1" a="1"/>
  <c r="Q57" i="1" s="1"/>
  <c r="K58" i="1"/>
  <c r="O58" i="1" s="1" a="1"/>
  <c r="Q58" i="1" s="1"/>
  <c r="K59" i="1"/>
  <c r="O59" i="1" s="1" a="1"/>
  <c r="Q59" i="1" s="1"/>
  <c r="K60" i="1"/>
  <c r="O60" i="1" s="1" a="1"/>
  <c r="Q60" i="1" s="1"/>
  <c r="K61" i="1"/>
  <c r="O61" i="1" s="1" a="1"/>
  <c r="Q61" i="1" s="1"/>
  <c r="K62" i="1"/>
  <c r="O62" i="1" s="1" a="1"/>
  <c r="Q62" i="1" s="1"/>
  <c r="K63" i="1"/>
  <c r="O63" i="1" s="1" a="1"/>
  <c r="Q63" i="1" s="1"/>
  <c r="K64" i="1"/>
  <c r="O64" i="1" s="1" a="1"/>
  <c r="Q64" i="1" s="1"/>
  <c r="K65" i="1"/>
  <c r="O65" i="1" s="1" a="1"/>
  <c r="Q65" i="1" s="1"/>
  <c r="K66" i="1"/>
  <c r="O66" i="1" s="1" a="1"/>
  <c r="Q66" i="1" s="1"/>
  <c r="K67" i="1"/>
  <c r="O67" i="1" s="1" a="1"/>
  <c r="Q67" i="1" s="1"/>
  <c r="K68" i="1"/>
  <c r="O68" i="1" s="1" a="1"/>
  <c r="Q68" i="1" s="1"/>
  <c r="K69" i="1"/>
  <c r="O69" i="1" s="1" a="1"/>
  <c r="Q69" i="1" s="1"/>
  <c r="K70" i="1"/>
  <c r="O70" i="1" s="1" a="1"/>
  <c r="Q70" i="1" s="1"/>
  <c r="K71" i="1"/>
  <c r="O71" i="1" s="1" a="1"/>
  <c r="Q71" i="1" s="1"/>
  <c r="K72" i="1"/>
  <c r="O72" i="1" s="1" a="1"/>
  <c r="Q72" i="1" s="1"/>
  <c r="K73" i="1"/>
  <c r="O73" i="1" s="1" a="1"/>
  <c r="Q73" i="1" s="1"/>
  <c r="K74" i="1"/>
  <c r="O74" i="1" s="1" a="1"/>
  <c r="Q74" i="1" s="1"/>
  <c r="K75" i="1"/>
  <c r="O75" i="1" s="1" a="1"/>
  <c r="Q75" i="1" s="1"/>
  <c r="K76" i="1"/>
  <c r="O76" i="1" s="1" a="1"/>
  <c r="Q76" i="1" s="1"/>
  <c r="K77" i="1"/>
  <c r="O77" i="1" s="1" a="1"/>
  <c r="Q77" i="1" s="1"/>
  <c r="K78" i="1"/>
  <c r="O78" i="1" s="1" a="1"/>
  <c r="Q78" i="1" s="1"/>
  <c r="K79" i="1"/>
  <c r="O79" i="1" s="1" a="1"/>
  <c r="Q79" i="1" s="1"/>
  <c r="K80" i="1"/>
  <c r="O80" i="1" s="1" a="1"/>
  <c r="Q80" i="1" s="1"/>
  <c r="K81" i="1"/>
  <c r="O81" i="1" s="1" a="1"/>
  <c r="Q81" i="1" s="1"/>
  <c r="K82" i="1"/>
  <c r="O82" i="1" s="1" a="1"/>
  <c r="Q82" i="1" s="1"/>
  <c r="K83" i="1"/>
  <c r="O83" i="1" s="1" a="1"/>
  <c r="Q83" i="1" s="1"/>
  <c r="K84" i="1"/>
  <c r="O84" i="1" s="1" a="1"/>
  <c r="Q84" i="1" s="1"/>
  <c r="K85" i="1"/>
  <c r="O85" i="1" s="1" a="1"/>
  <c r="Q85" i="1" s="1"/>
  <c r="K86" i="1"/>
  <c r="O86" i="1" s="1" a="1"/>
  <c r="Q86" i="1" s="1"/>
  <c r="K87" i="1"/>
  <c r="O87" i="1" s="1" a="1"/>
  <c r="Q87" i="1" s="1"/>
  <c r="K88" i="1"/>
  <c r="O88" i="1" s="1" a="1"/>
  <c r="Q88" i="1" s="1"/>
  <c r="K89" i="1"/>
  <c r="O89" i="1" s="1" a="1"/>
  <c r="Q89" i="1" s="1"/>
  <c r="K90" i="1"/>
  <c r="O90" i="1" s="1" a="1"/>
  <c r="Q90" i="1" s="1"/>
  <c r="K91" i="1"/>
  <c r="O91" i="1" s="1" a="1"/>
  <c r="Q91" i="1" s="1"/>
  <c r="K92" i="1"/>
  <c r="O92" i="1" s="1" a="1"/>
  <c r="Q92" i="1" s="1"/>
  <c r="K93" i="1"/>
  <c r="O93" i="1" s="1" a="1"/>
  <c r="Q93" i="1" s="1"/>
  <c r="K94" i="1"/>
  <c r="O94" i="1" s="1" a="1"/>
  <c r="Q94" i="1" s="1"/>
  <c r="K95" i="1"/>
  <c r="O95" i="1" s="1" a="1"/>
  <c r="Q95" i="1" s="1"/>
  <c r="K96" i="1"/>
  <c r="O96" i="1" s="1" a="1"/>
  <c r="Q96" i="1" s="1"/>
  <c r="K97" i="1"/>
  <c r="O97" i="1" s="1" a="1"/>
  <c r="Q97" i="1" s="1"/>
  <c r="K98" i="1"/>
  <c r="O98" i="1" s="1" a="1"/>
  <c r="Q98" i="1" s="1"/>
  <c r="K99" i="1"/>
  <c r="O99" i="1" s="1" a="1"/>
  <c r="Q99" i="1" s="1"/>
  <c r="K100" i="1"/>
  <c r="O100" i="1" s="1" a="1"/>
  <c r="Q100" i="1" s="1"/>
  <c r="K101" i="1"/>
  <c r="O101" i="1" s="1" a="1"/>
  <c r="Q101" i="1" s="1"/>
  <c r="K102" i="1"/>
  <c r="O102" i="1" s="1" a="1"/>
  <c r="Q102" i="1" s="1"/>
  <c r="K103" i="1"/>
  <c r="O103" i="1" s="1" a="1"/>
  <c r="Q103" i="1" s="1"/>
  <c r="K104" i="1"/>
  <c r="O104" i="1" s="1" a="1"/>
  <c r="Q104" i="1" s="1"/>
  <c r="K105" i="1"/>
  <c r="O105" i="1" s="1" a="1"/>
  <c r="Q105" i="1" s="1"/>
  <c r="K106" i="1"/>
  <c r="O106" i="1" s="1" a="1"/>
  <c r="Q106" i="1" s="1"/>
  <c r="K107" i="1"/>
  <c r="O107" i="1" s="1" a="1"/>
  <c r="Q107" i="1" s="1"/>
  <c r="K108" i="1"/>
  <c r="O108" i="1" s="1" a="1"/>
  <c r="Q108" i="1" s="1"/>
  <c r="K109" i="1"/>
  <c r="O109" i="1" s="1" a="1"/>
  <c r="Q109" i="1" s="1"/>
  <c r="K110" i="1"/>
  <c r="O110" i="1" s="1" a="1"/>
  <c r="Q110" i="1" s="1"/>
  <c r="K111" i="1"/>
  <c r="O111" i="1" s="1" a="1"/>
  <c r="Q111" i="1" s="1"/>
  <c r="K112" i="1"/>
  <c r="O112" i="1" s="1" a="1"/>
  <c r="Q112" i="1" s="1"/>
  <c r="K113" i="1"/>
  <c r="O113" i="1" s="1" a="1"/>
  <c r="Q113" i="1" s="1"/>
  <c r="K114" i="1"/>
  <c r="O114" i="1" s="1" a="1"/>
  <c r="Q114" i="1" s="1"/>
  <c r="K115" i="1"/>
  <c r="O115" i="1" s="1" a="1"/>
  <c r="Q115" i="1" s="1"/>
  <c r="K116" i="1"/>
  <c r="O116" i="1" s="1" a="1"/>
  <c r="Q116" i="1" s="1"/>
  <c r="K117" i="1"/>
  <c r="O117" i="1" s="1" a="1"/>
  <c r="Q117" i="1" s="1"/>
  <c r="K118" i="1"/>
  <c r="O118" i="1" s="1" a="1"/>
  <c r="Q118" i="1" s="1"/>
  <c r="K119" i="1"/>
  <c r="O119" i="1" s="1" a="1"/>
  <c r="Q119" i="1" s="1"/>
  <c r="K120" i="1"/>
  <c r="O120" i="1" s="1" a="1"/>
  <c r="Q120" i="1" s="1"/>
  <c r="K121" i="1"/>
  <c r="O121" i="1" s="1" a="1"/>
  <c r="Q121" i="1" s="1"/>
  <c r="K122" i="1"/>
  <c r="O122" i="1" s="1" a="1"/>
  <c r="Q122" i="1" s="1"/>
  <c r="K123" i="1"/>
  <c r="O123" i="1" s="1" a="1"/>
  <c r="Q123" i="1" s="1"/>
  <c r="K124" i="1"/>
  <c r="O124" i="1" s="1" a="1"/>
  <c r="Q124" i="1" s="1"/>
  <c r="K125" i="1"/>
  <c r="O125" i="1" s="1" a="1"/>
  <c r="Q125" i="1" s="1"/>
  <c r="K126" i="1"/>
  <c r="O126" i="1" s="1" a="1"/>
  <c r="Q126" i="1" s="1"/>
  <c r="K127" i="1"/>
  <c r="O127" i="1" s="1" a="1"/>
  <c r="Q127" i="1" s="1"/>
  <c r="K128" i="1"/>
  <c r="O128" i="1" s="1" a="1"/>
  <c r="Q128" i="1" s="1"/>
  <c r="K129" i="1"/>
  <c r="O129" i="1" s="1" a="1"/>
  <c r="Q129" i="1" s="1"/>
  <c r="K130" i="1"/>
  <c r="O130" i="1" s="1" a="1"/>
  <c r="Q130" i="1" s="1"/>
  <c r="K131" i="1"/>
  <c r="O131" i="1" s="1" a="1"/>
  <c r="Q131" i="1" s="1"/>
  <c r="K132" i="1"/>
  <c r="O132" i="1" s="1" a="1"/>
  <c r="Q132" i="1" s="1"/>
  <c r="K133" i="1"/>
  <c r="O133" i="1" s="1" a="1"/>
  <c r="Q133" i="1" s="1"/>
  <c r="K134" i="1"/>
  <c r="O134" i="1" s="1" a="1"/>
  <c r="Q134" i="1" s="1"/>
  <c r="K135" i="1"/>
  <c r="O135" i="1" s="1" a="1"/>
  <c r="Q135" i="1" s="1"/>
  <c r="K136" i="1"/>
  <c r="O136" i="1" s="1" a="1"/>
  <c r="Q136" i="1" s="1"/>
  <c r="K137" i="1"/>
  <c r="O137" i="1" s="1" a="1"/>
  <c r="Q137" i="1" s="1"/>
  <c r="K138" i="1"/>
  <c r="O138" i="1" s="1" a="1"/>
  <c r="Q138" i="1" s="1"/>
  <c r="K139" i="1"/>
  <c r="O139" i="1" s="1" a="1"/>
  <c r="Q139" i="1" s="1"/>
  <c r="K140" i="1"/>
  <c r="O140" i="1" s="1" a="1"/>
  <c r="Q140" i="1" s="1"/>
  <c r="K141" i="1"/>
  <c r="O141" i="1" s="1" a="1"/>
  <c r="Q141" i="1" s="1"/>
  <c r="K142" i="1"/>
  <c r="O142" i="1" s="1" a="1"/>
  <c r="Q142" i="1" s="1"/>
  <c r="K143" i="1"/>
  <c r="O143" i="1" s="1" a="1"/>
  <c r="Q143" i="1" s="1"/>
  <c r="K144" i="1"/>
  <c r="O144" i="1" s="1" a="1"/>
  <c r="Q144" i="1" s="1"/>
  <c r="K145" i="1"/>
  <c r="O145" i="1" s="1" a="1"/>
  <c r="Q145" i="1" s="1"/>
  <c r="K146" i="1"/>
  <c r="O146" i="1" s="1" a="1"/>
  <c r="Q146" i="1" s="1"/>
  <c r="K147" i="1"/>
  <c r="O147" i="1" s="1" a="1"/>
  <c r="Q147" i="1" s="1"/>
  <c r="K148" i="1"/>
  <c r="O148" i="1" s="1" a="1"/>
  <c r="Q148" i="1" s="1"/>
  <c r="K149" i="1"/>
  <c r="O149" i="1" s="1" a="1"/>
  <c r="Q149" i="1" s="1"/>
  <c r="K150" i="1"/>
  <c r="O150" i="1" s="1" a="1"/>
  <c r="Q150" i="1" s="1"/>
  <c r="K151" i="1"/>
  <c r="O151" i="1" s="1" a="1"/>
  <c r="Q151" i="1" s="1"/>
  <c r="K152" i="1"/>
  <c r="O152" i="1" s="1" a="1"/>
  <c r="Q152" i="1" s="1"/>
  <c r="K153" i="1"/>
  <c r="O153" i="1" s="1" a="1"/>
  <c r="Q153" i="1" s="1"/>
  <c r="K154" i="1"/>
  <c r="O154" i="1" s="1" a="1"/>
  <c r="Q154" i="1" s="1"/>
  <c r="K155" i="1"/>
  <c r="O155" i="1" s="1" a="1"/>
  <c r="Q155" i="1" s="1"/>
  <c r="K156" i="1"/>
  <c r="O156" i="1" s="1" a="1"/>
  <c r="Q156" i="1" s="1"/>
  <c r="K157" i="1"/>
  <c r="O157" i="1" s="1" a="1"/>
  <c r="Q157" i="1" s="1"/>
  <c r="K158" i="1"/>
  <c r="O158" i="1" s="1" a="1"/>
  <c r="Q158" i="1" s="1"/>
  <c r="K159" i="1"/>
  <c r="O159" i="1" s="1" a="1"/>
  <c r="Q159" i="1" s="1"/>
  <c r="K160" i="1"/>
  <c r="O160" i="1" s="1" a="1"/>
  <c r="Q160" i="1" s="1"/>
  <c r="K161" i="1"/>
  <c r="O161" i="1" s="1" a="1"/>
  <c r="Q161" i="1" s="1"/>
  <c r="K162" i="1"/>
  <c r="O162" i="1" s="1" a="1"/>
  <c r="Q162" i="1" s="1"/>
  <c r="K163" i="1"/>
  <c r="O163" i="1" s="1" a="1"/>
  <c r="Q163" i="1" s="1"/>
  <c r="K164" i="1"/>
  <c r="O164" i="1" s="1" a="1"/>
  <c r="Q164" i="1" s="1"/>
  <c r="K165" i="1"/>
  <c r="O165" i="1" s="1" a="1"/>
  <c r="Q165" i="1" s="1"/>
  <c r="K166" i="1"/>
  <c r="O166" i="1" s="1" a="1"/>
  <c r="Q166" i="1" s="1"/>
  <c r="K167" i="1"/>
  <c r="O167" i="1" s="1" a="1"/>
  <c r="Q167" i="1" s="1"/>
  <c r="K168" i="1"/>
  <c r="O168" i="1" s="1" a="1"/>
  <c r="Q168" i="1" s="1"/>
  <c r="K169" i="1"/>
  <c r="O169" i="1" s="1" a="1"/>
  <c r="Q169" i="1" s="1"/>
  <c r="K170" i="1"/>
  <c r="O170" i="1" s="1" a="1"/>
  <c r="Q170" i="1" s="1"/>
  <c r="K171" i="1"/>
  <c r="O171" i="1" s="1" a="1"/>
  <c r="Q171" i="1" s="1"/>
  <c r="K172" i="1"/>
  <c r="O172" i="1" s="1" a="1"/>
  <c r="Q172" i="1" s="1"/>
  <c r="K173" i="1"/>
  <c r="O173" i="1" s="1" a="1"/>
  <c r="Q173" i="1" s="1"/>
  <c r="K174" i="1"/>
  <c r="O174" i="1" s="1" a="1"/>
  <c r="Q174" i="1" s="1"/>
  <c r="K175" i="1"/>
  <c r="O175" i="1" s="1" a="1"/>
  <c r="Q175" i="1" s="1"/>
  <c r="K176" i="1"/>
  <c r="O176" i="1" s="1" a="1"/>
  <c r="Q176" i="1" s="1"/>
  <c r="K177" i="1"/>
  <c r="O177" i="1" s="1" a="1"/>
  <c r="Q177" i="1" s="1"/>
  <c r="K178" i="1"/>
  <c r="O178" i="1" s="1" a="1"/>
  <c r="Q178" i="1" s="1"/>
  <c r="K179" i="1"/>
  <c r="O179" i="1" s="1" a="1"/>
  <c r="Q179" i="1" s="1"/>
  <c r="K180" i="1"/>
  <c r="O180" i="1" s="1" a="1"/>
  <c r="Q180" i="1" s="1"/>
  <c r="K181" i="1"/>
  <c r="O181" i="1" s="1" a="1"/>
  <c r="Q181" i="1" s="1"/>
  <c r="K182" i="1"/>
  <c r="O182" i="1" s="1" a="1"/>
  <c r="Q182" i="1" s="1"/>
  <c r="K183" i="1"/>
  <c r="O183" i="1" s="1" a="1"/>
  <c r="Q183" i="1" s="1"/>
  <c r="K184" i="1"/>
  <c r="O184" i="1" s="1" a="1"/>
  <c r="Q184" i="1" s="1"/>
  <c r="K185" i="1"/>
  <c r="O185" i="1" s="1" a="1"/>
  <c r="Q185" i="1" s="1"/>
  <c r="K186" i="1"/>
  <c r="O186" i="1" s="1" a="1"/>
  <c r="Q186" i="1" s="1"/>
  <c r="K187" i="1"/>
  <c r="O187" i="1" s="1" a="1"/>
  <c r="Q187" i="1" s="1"/>
  <c r="K188" i="1"/>
  <c r="O188" i="1" s="1" a="1"/>
  <c r="Q188" i="1" s="1"/>
  <c r="K189" i="1"/>
  <c r="O189" i="1" s="1" a="1"/>
  <c r="Q189" i="1" s="1"/>
  <c r="K190" i="1"/>
  <c r="O190" i="1" s="1" a="1"/>
  <c r="Q190" i="1" s="1"/>
  <c r="K191" i="1"/>
  <c r="O191" i="1" s="1" a="1"/>
  <c r="Q191" i="1" s="1"/>
  <c r="K192" i="1"/>
  <c r="O192" i="1" s="1" a="1"/>
  <c r="Q192" i="1" s="1"/>
  <c r="K193" i="1"/>
  <c r="O193" i="1" s="1" a="1"/>
  <c r="Q193" i="1" s="1"/>
  <c r="K194" i="1"/>
  <c r="O194" i="1" s="1" a="1"/>
  <c r="Q194" i="1" s="1"/>
  <c r="K195" i="1"/>
  <c r="O195" i="1" s="1" a="1"/>
  <c r="Q195" i="1" s="1"/>
  <c r="K196" i="1"/>
  <c r="O196" i="1" s="1" a="1"/>
  <c r="Q196" i="1" s="1"/>
  <c r="K197" i="1"/>
  <c r="O197" i="1" s="1" a="1"/>
  <c r="Q197" i="1" s="1"/>
  <c r="K198" i="1"/>
  <c r="O198" i="1" s="1" a="1"/>
  <c r="Q198" i="1" s="1"/>
  <c r="K199" i="1"/>
  <c r="O199" i="1" s="1" a="1"/>
  <c r="Q199" i="1" s="1"/>
  <c r="K200" i="1"/>
  <c r="O200" i="1" s="1" a="1"/>
  <c r="Q200" i="1" s="1"/>
  <c r="K201" i="1"/>
  <c r="O201" i="1" s="1" a="1"/>
  <c r="Q201" i="1" s="1"/>
  <c r="K202" i="1"/>
  <c r="O202" i="1" s="1" a="1"/>
  <c r="Q202" i="1" s="1"/>
  <c r="K203" i="1"/>
  <c r="O203" i="1" s="1" a="1"/>
  <c r="Q203" i="1" s="1"/>
  <c r="K204" i="1"/>
  <c r="O204" i="1" s="1" a="1"/>
  <c r="Q204" i="1" s="1"/>
  <c r="K205" i="1"/>
  <c r="O205" i="1" s="1" a="1"/>
  <c r="Q205" i="1" s="1"/>
  <c r="K206" i="1"/>
  <c r="O206" i="1" s="1" a="1"/>
  <c r="Q206" i="1" s="1"/>
  <c r="K207" i="1"/>
  <c r="O207" i="1" s="1" a="1"/>
  <c r="Q207" i="1" s="1"/>
  <c r="K208" i="1"/>
  <c r="O208" i="1" s="1" a="1"/>
  <c r="Q208" i="1" s="1"/>
  <c r="K209" i="1"/>
  <c r="O209" i="1" s="1" a="1"/>
  <c r="Q209" i="1" s="1"/>
  <c r="K210" i="1"/>
  <c r="O210" i="1" s="1" a="1"/>
  <c r="Q210" i="1" s="1"/>
  <c r="K211" i="1"/>
  <c r="O211" i="1" s="1" a="1"/>
  <c r="Q211" i="1" s="1"/>
  <c r="K212" i="1"/>
  <c r="O212" i="1" s="1" a="1"/>
  <c r="Q212" i="1" s="1"/>
  <c r="K213" i="1"/>
  <c r="O213" i="1" s="1" a="1"/>
  <c r="Q213" i="1" s="1"/>
  <c r="K214" i="1"/>
  <c r="O214" i="1" s="1" a="1"/>
  <c r="Q214" i="1" s="1"/>
  <c r="K215" i="1"/>
  <c r="O215" i="1" s="1" a="1"/>
  <c r="Q215" i="1" s="1"/>
  <c r="K216" i="1"/>
  <c r="O216" i="1" s="1" a="1"/>
  <c r="Q216" i="1" s="1"/>
  <c r="K217" i="1"/>
  <c r="O217" i="1" s="1" a="1"/>
  <c r="Q217" i="1" s="1"/>
  <c r="K218" i="1"/>
  <c r="O218" i="1" s="1" a="1"/>
  <c r="Q218" i="1" s="1"/>
  <c r="K219" i="1"/>
  <c r="O219" i="1" s="1" a="1"/>
  <c r="Q219" i="1" s="1"/>
  <c r="K220" i="1"/>
  <c r="O220" i="1" s="1" a="1"/>
  <c r="Q220" i="1" s="1"/>
  <c r="K221" i="1"/>
  <c r="O221" i="1" s="1" a="1"/>
  <c r="Q221" i="1" s="1"/>
  <c r="K222" i="1"/>
  <c r="O222" i="1" s="1" a="1"/>
  <c r="Q222" i="1" s="1"/>
  <c r="K223" i="1"/>
  <c r="O223" i="1" s="1" a="1"/>
  <c r="Q223" i="1" s="1"/>
  <c r="K224" i="1"/>
  <c r="O224" i="1" s="1" a="1"/>
  <c r="Q224" i="1" s="1"/>
  <c r="K225" i="1"/>
  <c r="O225" i="1" s="1" a="1"/>
  <c r="Q225" i="1" s="1"/>
  <c r="K226" i="1"/>
  <c r="O226" i="1" s="1" a="1"/>
  <c r="Q226" i="1" s="1"/>
  <c r="K227" i="1"/>
  <c r="O227" i="1" s="1" a="1"/>
  <c r="Q227" i="1" s="1"/>
  <c r="K228" i="1"/>
  <c r="O228" i="1" s="1" a="1"/>
  <c r="Q228" i="1" s="1"/>
  <c r="K229" i="1"/>
  <c r="O229" i="1" s="1" a="1"/>
  <c r="Q229" i="1" s="1"/>
  <c r="K230" i="1"/>
  <c r="O230" i="1" s="1" a="1"/>
  <c r="Q230" i="1" s="1"/>
  <c r="K231" i="1"/>
  <c r="O231" i="1" s="1" a="1"/>
  <c r="Q231" i="1" s="1"/>
  <c r="K232" i="1"/>
  <c r="O232" i="1" s="1" a="1"/>
  <c r="Q232" i="1" s="1"/>
  <c r="K233" i="1"/>
  <c r="O233" i="1" s="1" a="1"/>
  <c r="Q233" i="1" s="1"/>
  <c r="K234" i="1"/>
  <c r="O234" i="1" s="1" a="1"/>
  <c r="Q234" i="1" s="1"/>
  <c r="K235" i="1"/>
  <c r="O235" i="1" s="1" a="1"/>
  <c r="Q235" i="1" s="1"/>
  <c r="K236" i="1"/>
  <c r="O236" i="1" s="1" a="1"/>
  <c r="Q236" i="1" s="1"/>
  <c r="K237" i="1"/>
  <c r="O237" i="1" s="1" a="1"/>
  <c r="Q237" i="1" s="1"/>
  <c r="K238" i="1"/>
  <c r="O238" i="1" s="1" a="1"/>
  <c r="Q238" i="1" s="1"/>
  <c r="K239" i="1"/>
  <c r="O239" i="1" s="1" a="1"/>
  <c r="Q239" i="1" s="1"/>
  <c r="K240" i="1"/>
  <c r="O240" i="1" s="1" a="1"/>
  <c r="Q240" i="1" s="1"/>
  <c r="K241" i="1"/>
  <c r="O241" i="1" s="1" a="1"/>
  <c r="Q241" i="1" s="1"/>
  <c r="K242" i="1"/>
  <c r="O242" i="1" s="1" a="1"/>
  <c r="Q242" i="1" s="1"/>
  <c r="K243" i="1"/>
  <c r="O243" i="1" s="1" a="1"/>
  <c r="Q243" i="1" s="1"/>
  <c r="K244" i="1"/>
  <c r="O244" i="1" s="1" a="1"/>
  <c r="Q244" i="1" s="1"/>
  <c r="K245" i="1"/>
  <c r="O245" i="1" s="1" a="1"/>
  <c r="Q245" i="1" s="1"/>
  <c r="K246" i="1"/>
  <c r="O246" i="1" s="1" a="1"/>
  <c r="Q246" i="1" s="1"/>
  <c r="K247" i="1"/>
  <c r="O247" i="1" s="1" a="1"/>
  <c r="Q247" i="1" s="1"/>
  <c r="K248" i="1"/>
  <c r="O248" i="1" s="1" a="1"/>
  <c r="Q248" i="1" s="1"/>
  <c r="K249" i="1"/>
  <c r="O249" i="1" s="1" a="1"/>
  <c r="Q249" i="1" s="1"/>
  <c r="K250" i="1"/>
  <c r="O250" i="1" s="1" a="1"/>
  <c r="Q250" i="1" s="1"/>
  <c r="K251" i="1"/>
  <c r="O251" i="1" s="1" a="1"/>
  <c r="Q251" i="1" s="1"/>
  <c r="K252" i="1"/>
  <c r="O252" i="1" s="1" a="1"/>
  <c r="Q252" i="1" s="1"/>
  <c r="K253" i="1"/>
  <c r="O253" i="1" s="1" a="1"/>
  <c r="Q253" i="1" s="1"/>
  <c r="K254" i="1"/>
  <c r="O254" i="1" s="1" a="1"/>
  <c r="Q254" i="1" s="1"/>
  <c r="K255" i="1"/>
  <c r="O255" i="1" s="1" a="1"/>
  <c r="Q255" i="1" s="1"/>
  <c r="K256" i="1"/>
  <c r="O256" i="1" s="1" a="1"/>
  <c r="Q256" i="1" s="1"/>
  <c r="K257" i="1"/>
  <c r="O257" i="1" s="1" a="1"/>
  <c r="Q257" i="1" s="1"/>
  <c r="K258" i="1"/>
  <c r="O258" i="1" s="1" a="1"/>
  <c r="Q258" i="1" s="1"/>
  <c r="K259" i="1"/>
  <c r="O259" i="1" s="1" a="1"/>
  <c r="Q259" i="1" s="1"/>
  <c r="K260" i="1"/>
  <c r="O260" i="1" s="1" a="1"/>
  <c r="Q260" i="1" s="1"/>
  <c r="K261" i="1"/>
  <c r="O261" i="1" s="1" a="1"/>
  <c r="Q261" i="1" s="1"/>
  <c r="K262" i="1"/>
  <c r="O262" i="1" s="1" a="1"/>
  <c r="Q262" i="1" s="1"/>
  <c r="K263" i="1"/>
  <c r="O263" i="1" s="1" a="1"/>
  <c r="Q263" i="1" s="1"/>
  <c r="K264" i="1"/>
  <c r="O264" i="1" s="1" a="1"/>
  <c r="Q264" i="1" s="1"/>
  <c r="K265" i="1"/>
  <c r="O265" i="1" s="1" a="1"/>
  <c r="Q265" i="1" s="1"/>
  <c r="K266" i="1"/>
  <c r="O266" i="1" s="1" a="1"/>
  <c r="Q266" i="1" s="1"/>
  <c r="K267" i="1"/>
  <c r="O267" i="1" s="1" a="1"/>
  <c r="Q267" i="1" s="1"/>
  <c r="K268" i="1"/>
  <c r="O268" i="1" s="1" a="1"/>
  <c r="Q268" i="1" s="1"/>
  <c r="K269" i="1"/>
  <c r="O269" i="1" s="1" a="1"/>
  <c r="Q269" i="1" s="1"/>
  <c r="K270" i="1"/>
  <c r="O270" i="1" s="1" a="1"/>
  <c r="Q270" i="1" s="1"/>
  <c r="K271" i="1"/>
  <c r="O271" i="1" s="1" a="1"/>
  <c r="Q271" i="1" s="1"/>
  <c r="K272" i="1"/>
  <c r="O272" i="1" s="1" a="1"/>
  <c r="Q272" i="1" s="1"/>
  <c r="K273" i="1"/>
  <c r="O273" i="1" s="1" a="1"/>
  <c r="Q273" i="1" s="1"/>
  <c r="K274" i="1"/>
  <c r="O274" i="1" s="1" a="1"/>
  <c r="Q274" i="1" s="1"/>
  <c r="K275" i="1"/>
  <c r="O275" i="1" s="1" a="1"/>
  <c r="Q275" i="1" s="1"/>
  <c r="K276" i="1"/>
  <c r="O276" i="1" s="1" a="1"/>
  <c r="Q276" i="1" s="1"/>
  <c r="K277" i="1"/>
  <c r="O277" i="1" s="1" a="1"/>
  <c r="Q277" i="1" s="1"/>
  <c r="K278" i="1"/>
  <c r="O278" i="1" s="1" a="1"/>
  <c r="Q278" i="1" s="1"/>
  <c r="K279" i="1"/>
  <c r="O279" i="1" s="1" a="1"/>
  <c r="Q279" i="1" s="1"/>
  <c r="K280" i="1"/>
  <c r="O280" i="1" s="1" a="1"/>
  <c r="Q280" i="1" s="1"/>
  <c r="K281" i="1"/>
  <c r="O281" i="1" s="1" a="1"/>
  <c r="Q281" i="1" s="1"/>
  <c r="K282" i="1"/>
  <c r="O282" i="1" s="1" a="1"/>
  <c r="Q282" i="1" s="1"/>
  <c r="K283" i="1"/>
  <c r="O283" i="1" s="1" a="1"/>
  <c r="Q283" i="1" s="1"/>
  <c r="K284" i="1"/>
  <c r="O284" i="1" s="1" a="1"/>
  <c r="Q284" i="1" s="1"/>
  <c r="K285" i="1"/>
  <c r="O285" i="1" s="1" a="1"/>
  <c r="Q285" i="1" s="1"/>
  <c r="K286" i="1"/>
  <c r="O286" i="1" s="1" a="1"/>
  <c r="Q286" i="1" s="1"/>
  <c r="K287" i="1"/>
  <c r="O287" i="1" s="1" a="1"/>
  <c r="Q287" i="1" s="1"/>
  <c r="K288" i="1"/>
  <c r="O288" i="1" s="1" a="1"/>
  <c r="Q288" i="1" s="1"/>
  <c r="K289" i="1"/>
  <c r="O289" i="1" s="1" a="1"/>
  <c r="Q289" i="1" s="1"/>
  <c r="K290" i="1"/>
  <c r="O290" i="1" s="1" a="1"/>
  <c r="Q290" i="1" s="1"/>
  <c r="K291" i="1"/>
  <c r="O291" i="1" s="1" a="1"/>
  <c r="Q291" i="1" s="1"/>
  <c r="K292" i="1"/>
  <c r="O292" i="1" s="1" a="1"/>
  <c r="Q292" i="1" s="1"/>
  <c r="K293" i="1"/>
  <c r="O293" i="1" s="1" a="1"/>
  <c r="Q293" i="1" s="1"/>
  <c r="K294" i="1"/>
  <c r="O294" i="1" s="1" a="1"/>
  <c r="Q294" i="1" s="1"/>
  <c r="K295" i="1"/>
  <c r="O295" i="1" s="1" a="1"/>
  <c r="Q295" i="1" s="1"/>
  <c r="K296" i="1"/>
  <c r="O296" i="1" s="1" a="1"/>
  <c r="Q296" i="1" s="1"/>
  <c r="K297" i="1"/>
  <c r="O297" i="1" s="1" a="1"/>
  <c r="Q297" i="1" s="1"/>
  <c r="K298" i="1"/>
  <c r="O298" i="1" s="1" a="1"/>
  <c r="Q298" i="1" s="1"/>
  <c r="K299" i="1"/>
  <c r="O299" i="1" s="1" a="1"/>
  <c r="Q299" i="1" s="1"/>
  <c r="K300" i="1"/>
  <c r="O300" i="1" s="1" a="1"/>
  <c r="Q300" i="1" s="1"/>
  <c r="K301" i="1"/>
  <c r="O301" i="1" s="1" a="1"/>
  <c r="Q301" i="1" s="1"/>
  <c r="K302" i="1"/>
  <c r="O302" i="1" s="1" a="1"/>
  <c r="Q302" i="1" s="1"/>
  <c r="K303" i="1"/>
  <c r="O303" i="1" s="1" a="1"/>
  <c r="Q303" i="1" s="1"/>
  <c r="K304" i="1"/>
  <c r="O304" i="1" s="1" a="1"/>
  <c r="Q304" i="1" s="1"/>
  <c r="K305" i="1"/>
  <c r="O305" i="1" s="1" a="1"/>
  <c r="Q305" i="1" s="1"/>
  <c r="K306" i="1"/>
  <c r="O306" i="1" s="1" a="1"/>
  <c r="Q306" i="1" s="1"/>
  <c r="K307" i="1"/>
  <c r="O307" i="1" s="1" a="1"/>
  <c r="Q307" i="1" s="1"/>
  <c r="K308" i="1"/>
  <c r="O308" i="1" s="1" a="1"/>
  <c r="Q308" i="1" s="1"/>
  <c r="K309" i="1"/>
  <c r="O309" i="1" s="1" a="1"/>
  <c r="Q309" i="1" s="1"/>
  <c r="K310" i="1"/>
  <c r="O310" i="1" s="1" a="1"/>
  <c r="Q310" i="1" s="1"/>
  <c r="K311" i="1"/>
  <c r="O311" i="1" s="1" a="1"/>
  <c r="Q311" i="1" s="1"/>
  <c r="K312" i="1"/>
  <c r="O312" i="1" s="1" a="1"/>
  <c r="Q312" i="1" s="1"/>
  <c r="K313" i="1"/>
  <c r="O313" i="1" s="1" a="1"/>
  <c r="Q313" i="1" s="1"/>
  <c r="K314" i="1"/>
  <c r="O314" i="1" s="1" a="1"/>
  <c r="Q314" i="1" s="1"/>
  <c r="K315" i="1"/>
  <c r="O315" i="1" s="1" a="1"/>
  <c r="Q315" i="1" s="1"/>
  <c r="K316" i="1"/>
  <c r="O316" i="1" s="1" a="1"/>
  <c r="Q316" i="1" s="1"/>
  <c r="K317" i="1"/>
  <c r="O317" i="1" s="1" a="1"/>
  <c r="Q317" i="1" s="1"/>
  <c r="K318" i="1"/>
  <c r="O318" i="1" s="1" a="1"/>
  <c r="Q318" i="1" s="1"/>
  <c r="K319" i="1"/>
  <c r="O319" i="1" s="1" a="1"/>
  <c r="Q319" i="1" s="1"/>
  <c r="K320" i="1"/>
  <c r="O320" i="1" s="1" a="1"/>
  <c r="Q320" i="1" s="1"/>
  <c r="K321" i="1"/>
  <c r="O321" i="1" s="1" a="1"/>
  <c r="Q321" i="1" s="1"/>
  <c r="K322" i="1"/>
  <c r="O322" i="1" s="1" a="1"/>
  <c r="Q322" i="1" s="1"/>
  <c r="K323" i="1"/>
  <c r="O323" i="1" s="1" a="1"/>
  <c r="Q323" i="1" s="1"/>
  <c r="K324" i="1"/>
  <c r="O324" i="1" s="1" a="1"/>
  <c r="Q324" i="1" s="1"/>
  <c r="K325" i="1"/>
  <c r="O325" i="1" s="1" a="1"/>
  <c r="Q325" i="1" s="1"/>
  <c r="K326" i="1"/>
  <c r="O326" i="1" s="1" a="1"/>
  <c r="Q326" i="1" s="1"/>
  <c r="K327" i="1"/>
  <c r="O327" i="1" s="1" a="1"/>
  <c r="Q327" i="1" s="1"/>
  <c r="K328" i="1"/>
  <c r="O328" i="1" s="1" a="1"/>
  <c r="Q328" i="1" s="1"/>
  <c r="K329" i="1"/>
  <c r="O329" i="1" s="1" a="1"/>
  <c r="Q329" i="1" s="1"/>
  <c r="K330" i="1"/>
  <c r="O330" i="1" s="1" a="1"/>
  <c r="Q330" i="1" s="1"/>
  <c r="K331" i="1"/>
  <c r="O331" i="1" s="1" a="1"/>
  <c r="Q331" i="1" s="1"/>
  <c r="K332" i="1"/>
  <c r="O332" i="1" s="1" a="1"/>
  <c r="Q332" i="1" s="1"/>
  <c r="K333" i="1"/>
  <c r="O333" i="1" s="1" a="1"/>
  <c r="Q333" i="1" s="1"/>
  <c r="K334" i="1"/>
  <c r="O334" i="1" s="1" a="1"/>
  <c r="Q334" i="1" s="1"/>
  <c r="K335" i="1"/>
  <c r="O335" i="1" s="1" a="1"/>
  <c r="Q335" i="1" s="1"/>
  <c r="K336" i="1"/>
  <c r="O336" i="1" s="1" a="1"/>
  <c r="Q336" i="1" s="1"/>
  <c r="K337" i="1"/>
  <c r="O337" i="1" s="1" a="1"/>
  <c r="Q337" i="1" s="1"/>
  <c r="K338" i="1"/>
  <c r="O338" i="1" s="1" a="1"/>
  <c r="Q338" i="1" s="1"/>
  <c r="K339" i="1"/>
  <c r="O339" i="1" s="1" a="1"/>
  <c r="Q339" i="1" s="1"/>
  <c r="K340" i="1"/>
  <c r="O340" i="1" s="1" a="1"/>
  <c r="Q340" i="1" s="1"/>
  <c r="K341" i="1"/>
  <c r="O341" i="1" s="1" a="1"/>
  <c r="Q341" i="1" s="1"/>
  <c r="K342" i="1"/>
  <c r="O342" i="1" s="1" a="1"/>
  <c r="Q342" i="1" s="1"/>
  <c r="K343" i="1"/>
  <c r="O343" i="1" s="1" a="1"/>
  <c r="Q343" i="1" s="1"/>
  <c r="K344" i="1"/>
  <c r="O344" i="1" s="1" a="1"/>
  <c r="Q344" i="1" s="1"/>
  <c r="K345" i="1"/>
  <c r="O345" i="1" s="1" a="1"/>
  <c r="Q345" i="1" s="1"/>
  <c r="K346" i="1"/>
  <c r="O346" i="1" s="1" a="1"/>
  <c r="Q346" i="1" s="1"/>
  <c r="K347" i="1"/>
  <c r="O347" i="1" s="1" a="1"/>
  <c r="Q347" i="1" s="1"/>
  <c r="K348" i="1"/>
  <c r="O348" i="1" s="1" a="1"/>
  <c r="Q348" i="1" s="1"/>
  <c r="K349" i="1"/>
  <c r="O349" i="1" s="1" a="1"/>
  <c r="Q349" i="1" s="1"/>
  <c r="K350" i="1"/>
  <c r="O350" i="1" s="1" a="1"/>
  <c r="Q350" i="1" s="1"/>
  <c r="K351" i="1"/>
  <c r="O351" i="1" s="1" a="1"/>
  <c r="Q351" i="1" s="1"/>
  <c r="K352" i="1"/>
  <c r="O352" i="1" s="1" a="1"/>
  <c r="Q352" i="1" s="1"/>
  <c r="K353" i="1"/>
  <c r="O353" i="1" s="1" a="1"/>
  <c r="Q353" i="1" s="1"/>
  <c r="K354" i="1"/>
  <c r="O354" i="1" s="1" a="1"/>
  <c r="Q354" i="1" s="1"/>
  <c r="K355" i="1"/>
  <c r="O355" i="1" s="1" a="1"/>
  <c r="Q355" i="1" s="1"/>
  <c r="K356" i="1"/>
  <c r="O356" i="1" s="1" a="1"/>
  <c r="Q356" i="1" s="1"/>
  <c r="K357" i="1"/>
  <c r="O357" i="1" s="1" a="1"/>
  <c r="Q357" i="1" s="1"/>
  <c r="K358" i="1"/>
  <c r="O358" i="1" s="1" a="1"/>
  <c r="Q358" i="1" s="1"/>
  <c r="K359" i="1"/>
  <c r="O359" i="1" s="1" a="1"/>
  <c r="Q359" i="1" s="1"/>
  <c r="K360" i="1"/>
  <c r="O360" i="1" s="1" a="1"/>
  <c r="Q360" i="1" s="1"/>
  <c r="K361" i="1"/>
  <c r="O361" i="1" s="1" a="1"/>
  <c r="Q361" i="1" s="1"/>
  <c r="K362" i="1"/>
  <c r="O362" i="1" s="1" a="1"/>
  <c r="Q362" i="1" s="1"/>
  <c r="K363" i="1"/>
  <c r="O363" i="1" s="1" a="1"/>
  <c r="Q363" i="1" s="1"/>
  <c r="K364" i="1"/>
  <c r="O364" i="1" s="1" a="1"/>
  <c r="Q364" i="1" s="1"/>
  <c r="K365" i="1"/>
  <c r="O365" i="1" s="1" a="1"/>
  <c r="Q365" i="1" s="1"/>
  <c r="K366" i="1"/>
  <c r="O366" i="1" s="1" a="1"/>
  <c r="Q366" i="1" s="1"/>
  <c r="K367" i="1"/>
  <c r="O367" i="1" s="1" a="1"/>
  <c r="Q367" i="1" s="1"/>
  <c r="K368" i="1"/>
  <c r="O368" i="1" s="1" a="1"/>
  <c r="Q368" i="1" s="1"/>
  <c r="K369" i="1"/>
  <c r="O369" i="1" s="1" a="1"/>
  <c r="Q369" i="1" s="1"/>
  <c r="K370" i="1"/>
  <c r="O370" i="1" s="1" a="1"/>
  <c r="Q370" i="1" s="1"/>
  <c r="K371" i="1"/>
  <c r="O371" i="1" s="1" a="1"/>
  <c r="Q371" i="1" s="1"/>
  <c r="K372" i="1"/>
  <c r="O372" i="1" s="1" a="1"/>
  <c r="Q372" i="1" s="1"/>
  <c r="K373" i="1"/>
  <c r="O373" i="1" s="1" a="1"/>
  <c r="Q373" i="1" s="1"/>
  <c r="K374" i="1"/>
  <c r="O374" i="1" s="1" a="1"/>
  <c r="Q374" i="1" s="1"/>
  <c r="K375" i="1"/>
  <c r="O375" i="1" s="1" a="1"/>
  <c r="Q375" i="1" s="1"/>
  <c r="K376" i="1"/>
  <c r="O376" i="1" s="1" a="1"/>
  <c r="Q376" i="1" s="1"/>
  <c r="K377" i="1"/>
  <c r="O377" i="1" s="1" a="1"/>
  <c r="Q377" i="1" s="1"/>
  <c r="K378" i="1"/>
  <c r="O378" i="1" s="1" a="1"/>
  <c r="Q378" i="1" s="1"/>
  <c r="K379" i="1"/>
  <c r="O379" i="1" s="1" a="1"/>
  <c r="Q379" i="1" s="1"/>
  <c r="K380" i="1"/>
  <c r="O380" i="1" s="1" a="1"/>
  <c r="Q380" i="1" s="1"/>
  <c r="K381" i="1"/>
  <c r="O381" i="1" s="1" a="1"/>
  <c r="Q381" i="1" s="1"/>
  <c r="K382" i="1"/>
  <c r="O382" i="1" s="1" a="1"/>
  <c r="Q382" i="1" s="1"/>
  <c r="K383" i="1"/>
  <c r="O383" i="1" s="1" a="1"/>
  <c r="Q383" i="1" s="1"/>
  <c r="K384" i="1"/>
  <c r="O384" i="1" s="1" a="1"/>
  <c r="Q384" i="1" s="1"/>
  <c r="K385" i="1"/>
  <c r="O385" i="1" s="1" a="1"/>
  <c r="Q385" i="1" s="1"/>
  <c r="K386" i="1"/>
  <c r="O386" i="1" s="1" a="1"/>
  <c r="Q386" i="1" s="1"/>
  <c r="K387" i="1"/>
  <c r="O387" i="1" s="1" a="1"/>
  <c r="Q387" i="1" s="1"/>
  <c r="K388" i="1"/>
  <c r="O388" i="1" s="1" a="1"/>
  <c r="Q388" i="1" s="1"/>
  <c r="K389" i="1"/>
  <c r="O389" i="1" s="1" a="1"/>
  <c r="Q389" i="1" s="1"/>
  <c r="K390" i="1"/>
  <c r="O390" i="1" s="1" a="1"/>
  <c r="Q390" i="1" s="1"/>
  <c r="K391" i="1"/>
  <c r="O391" i="1" s="1" a="1"/>
  <c r="Q391" i="1" s="1"/>
  <c r="K392" i="1"/>
  <c r="O392" i="1" s="1" a="1"/>
  <c r="Q392" i="1" s="1"/>
  <c r="K393" i="1"/>
  <c r="O393" i="1" s="1" a="1"/>
  <c r="Q393" i="1" s="1"/>
  <c r="K394" i="1"/>
  <c r="O394" i="1" s="1" a="1"/>
  <c r="Q394" i="1" s="1"/>
  <c r="K395" i="1"/>
  <c r="O395" i="1" s="1" a="1"/>
  <c r="Q395" i="1" s="1"/>
  <c r="K396" i="1"/>
  <c r="O396" i="1" s="1" a="1"/>
  <c r="Q396" i="1" s="1"/>
  <c r="K397" i="1"/>
  <c r="O397" i="1" s="1" a="1"/>
  <c r="Q397" i="1" s="1"/>
  <c r="K398" i="1"/>
  <c r="O398" i="1" s="1" a="1"/>
  <c r="Q398" i="1" s="1"/>
  <c r="K399" i="1"/>
  <c r="O399" i="1" s="1" a="1"/>
  <c r="Q399" i="1" s="1"/>
  <c r="K400" i="1"/>
  <c r="O400" i="1" s="1" a="1"/>
  <c r="Q400" i="1" s="1"/>
  <c r="K401" i="1"/>
  <c r="O401" i="1" s="1" a="1"/>
  <c r="Q401" i="1" s="1"/>
  <c r="K402" i="1"/>
  <c r="O402" i="1" s="1" a="1"/>
  <c r="Q402" i="1" s="1"/>
  <c r="K403" i="1"/>
  <c r="O403" i="1" s="1" a="1"/>
  <c r="Q403" i="1" s="1"/>
  <c r="K404" i="1"/>
  <c r="O404" i="1" s="1" a="1"/>
  <c r="Q404" i="1" s="1"/>
  <c r="K405" i="1"/>
  <c r="O405" i="1" s="1" a="1"/>
  <c r="Q405" i="1" s="1"/>
  <c r="K406" i="1"/>
  <c r="O406" i="1" s="1" a="1"/>
  <c r="Q406" i="1" s="1"/>
  <c r="K407" i="1"/>
  <c r="O407" i="1" s="1" a="1"/>
  <c r="Q407" i="1" s="1"/>
  <c r="K408" i="1"/>
  <c r="O408" i="1" s="1" a="1"/>
  <c r="Q408" i="1" s="1"/>
  <c r="K409" i="1"/>
  <c r="O409" i="1" s="1" a="1"/>
  <c r="Q409" i="1" s="1"/>
  <c r="K410" i="1"/>
  <c r="O410" i="1" s="1" a="1"/>
  <c r="Q410" i="1" s="1"/>
  <c r="K411" i="1"/>
  <c r="O411" i="1" s="1" a="1"/>
  <c r="Q411" i="1" s="1"/>
  <c r="K412" i="1"/>
  <c r="O412" i="1" s="1" a="1"/>
  <c r="Q412" i="1" s="1"/>
  <c r="K413" i="1"/>
  <c r="O413" i="1" s="1" a="1"/>
  <c r="Q413" i="1" s="1"/>
  <c r="K414" i="1"/>
  <c r="O414" i="1" s="1" a="1"/>
  <c r="Q414" i="1" s="1"/>
  <c r="K415" i="1"/>
  <c r="O415" i="1" s="1" a="1"/>
  <c r="Q415" i="1" s="1"/>
  <c r="K416" i="1"/>
  <c r="O416" i="1" s="1" a="1"/>
  <c r="Q416" i="1" s="1"/>
  <c r="K417" i="1"/>
  <c r="O417" i="1" s="1" a="1"/>
  <c r="Q417" i="1" s="1"/>
  <c r="K418" i="1"/>
  <c r="O418" i="1" s="1" a="1"/>
  <c r="Q418" i="1" s="1"/>
  <c r="K419" i="1"/>
  <c r="O419" i="1" s="1" a="1"/>
  <c r="Q419" i="1" s="1"/>
  <c r="K420" i="1"/>
  <c r="O420" i="1" s="1" a="1"/>
  <c r="Q420" i="1" s="1"/>
  <c r="K421" i="1"/>
  <c r="O421" i="1" s="1" a="1"/>
  <c r="Q421" i="1" s="1"/>
  <c r="K422" i="1"/>
  <c r="O422" i="1" s="1" a="1"/>
  <c r="Q422" i="1" s="1"/>
  <c r="K423" i="1"/>
  <c r="O423" i="1" s="1" a="1"/>
  <c r="Q423" i="1" s="1"/>
  <c r="K424" i="1"/>
  <c r="O424" i="1" s="1" a="1"/>
  <c r="Q424" i="1" s="1"/>
  <c r="K425" i="1"/>
  <c r="O425" i="1" s="1" a="1"/>
  <c r="Q425" i="1" s="1"/>
  <c r="K426" i="1"/>
  <c r="O426" i="1" s="1" a="1"/>
  <c r="Q426" i="1" s="1"/>
  <c r="K427" i="1"/>
  <c r="O427" i="1" s="1" a="1"/>
  <c r="Q427" i="1" s="1"/>
  <c r="K428" i="1"/>
  <c r="O428" i="1" s="1" a="1"/>
  <c r="Q428" i="1" s="1"/>
  <c r="K429" i="1"/>
  <c r="O429" i="1" s="1" a="1"/>
  <c r="Q429" i="1" s="1"/>
  <c r="K430" i="1"/>
  <c r="O430" i="1" s="1" a="1"/>
  <c r="Q430" i="1" s="1"/>
  <c r="K431" i="1"/>
  <c r="O431" i="1" s="1" a="1"/>
  <c r="Q431" i="1" s="1"/>
  <c r="K432" i="1"/>
  <c r="O432" i="1" s="1" a="1"/>
  <c r="Q432" i="1" s="1"/>
  <c r="K433" i="1"/>
  <c r="O433" i="1" s="1" a="1"/>
  <c r="Q433" i="1" s="1"/>
  <c r="K434" i="1"/>
  <c r="O434" i="1" s="1" a="1"/>
  <c r="Q434" i="1" s="1"/>
  <c r="K435" i="1"/>
  <c r="O435" i="1" s="1" a="1"/>
  <c r="Q435" i="1" s="1"/>
  <c r="K436" i="1"/>
  <c r="O436" i="1" s="1" a="1"/>
  <c r="Q436" i="1" s="1"/>
  <c r="K437" i="1"/>
  <c r="O437" i="1" s="1" a="1"/>
  <c r="Q437" i="1" s="1"/>
  <c r="K438" i="1"/>
  <c r="O438" i="1" s="1" a="1"/>
  <c r="Q438" i="1" s="1"/>
  <c r="K439" i="1"/>
  <c r="O439" i="1" s="1" a="1"/>
  <c r="Q439" i="1" s="1"/>
  <c r="K440" i="1"/>
  <c r="O440" i="1" s="1" a="1"/>
  <c r="Q440" i="1" s="1"/>
  <c r="K441" i="1"/>
  <c r="O441" i="1" s="1" a="1"/>
  <c r="Q441" i="1" s="1"/>
  <c r="K442" i="1"/>
  <c r="O442" i="1" s="1" a="1"/>
  <c r="Q442" i="1" s="1"/>
  <c r="K443" i="1"/>
  <c r="O443" i="1" s="1" a="1"/>
  <c r="Q443" i="1" s="1"/>
  <c r="K444" i="1"/>
  <c r="O444" i="1" s="1" a="1"/>
  <c r="Q444" i="1" s="1"/>
  <c r="K445" i="1"/>
  <c r="O445" i="1" s="1" a="1"/>
  <c r="Q445" i="1" s="1"/>
  <c r="K446" i="1"/>
  <c r="O446" i="1" s="1" a="1"/>
  <c r="Q446" i="1" s="1"/>
  <c r="K447" i="1"/>
  <c r="O447" i="1" s="1" a="1"/>
  <c r="Q447" i="1" s="1"/>
  <c r="K448" i="1"/>
  <c r="O448" i="1" s="1" a="1"/>
  <c r="Q448" i="1" s="1"/>
  <c r="K449" i="1"/>
  <c r="O449" i="1" s="1" a="1"/>
  <c r="Q449" i="1" s="1"/>
  <c r="K450" i="1"/>
  <c r="O450" i="1" s="1" a="1"/>
  <c r="Q450" i="1" s="1"/>
  <c r="K451" i="1"/>
  <c r="O451" i="1" s="1" a="1"/>
  <c r="Q451" i="1" s="1"/>
  <c r="K452" i="1"/>
  <c r="O452" i="1" s="1" a="1"/>
  <c r="Q452" i="1" s="1"/>
  <c r="K453" i="1"/>
  <c r="O453" i="1" s="1" a="1"/>
  <c r="Q453" i="1" s="1"/>
  <c r="K454" i="1"/>
  <c r="O454" i="1" s="1" a="1"/>
  <c r="Q454" i="1" s="1"/>
  <c r="K455" i="1"/>
  <c r="O455" i="1" s="1" a="1"/>
  <c r="Q455" i="1" s="1"/>
  <c r="K456" i="1"/>
  <c r="O456" i="1" s="1" a="1"/>
  <c r="Q456" i="1" s="1"/>
  <c r="K457" i="1"/>
  <c r="O457" i="1" s="1" a="1"/>
  <c r="Q457" i="1" s="1"/>
  <c r="K458" i="1"/>
  <c r="O458" i="1" s="1" a="1"/>
  <c r="Q458" i="1" s="1"/>
  <c r="K459" i="1"/>
  <c r="O459" i="1" s="1" a="1"/>
  <c r="Q459" i="1" s="1"/>
  <c r="K460" i="1"/>
  <c r="O460" i="1" s="1" a="1"/>
  <c r="Q460" i="1" s="1"/>
  <c r="K461" i="1"/>
  <c r="O461" i="1" s="1" a="1"/>
  <c r="Q461" i="1" s="1"/>
  <c r="K462" i="1"/>
  <c r="O462" i="1" s="1" a="1"/>
  <c r="Q462" i="1" s="1"/>
  <c r="K463" i="1"/>
  <c r="O463" i="1" s="1" a="1"/>
  <c r="Q463" i="1" s="1"/>
  <c r="K464" i="1"/>
  <c r="O464" i="1" s="1" a="1"/>
  <c r="Q464" i="1" s="1"/>
  <c r="K465" i="1"/>
  <c r="O465" i="1" s="1" a="1"/>
  <c r="Q465" i="1" s="1"/>
  <c r="K466" i="1"/>
  <c r="O466" i="1" s="1" a="1"/>
  <c r="Q466" i="1" s="1"/>
  <c r="K467" i="1"/>
  <c r="O467" i="1" s="1" a="1"/>
  <c r="Q467" i="1" s="1"/>
  <c r="K468" i="1"/>
  <c r="O468" i="1" s="1" a="1"/>
  <c r="Q468" i="1" s="1"/>
  <c r="K469" i="1"/>
  <c r="O469" i="1" s="1" a="1"/>
  <c r="Q469" i="1" s="1"/>
  <c r="K470" i="1"/>
  <c r="O470" i="1" s="1" a="1"/>
  <c r="Q470" i="1" s="1"/>
  <c r="K471" i="1"/>
  <c r="O471" i="1" s="1" a="1"/>
  <c r="Q471" i="1" s="1"/>
  <c r="K472" i="1"/>
  <c r="O472" i="1" s="1" a="1"/>
  <c r="Q472" i="1" s="1"/>
  <c r="K473" i="1"/>
  <c r="O473" i="1" s="1" a="1"/>
  <c r="Q473" i="1" s="1"/>
  <c r="K474" i="1"/>
  <c r="O474" i="1" s="1" a="1"/>
  <c r="Q474" i="1" s="1"/>
  <c r="K475" i="1"/>
  <c r="O475" i="1" s="1" a="1"/>
  <c r="Q475" i="1" s="1"/>
  <c r="K476" i="1"/>
  <c r="O476" i="1" s="1" a="1"/>
  <c r="Q476" i="1" s="1"/>
  <c r="K477" i="1"/>
  <c r="O477" i="1" s="1" a="1"/>
  <c r="Q477" i="1" s="1"/>
  <c r="K478" i="1"/>
  <c r="O478" i="1" s="1" a="1"/>
  <c r="Q478" i="1" s="1"/>
  <c r="K479" i="1"/>
  <c r="O479" i="1" s="1" a="1"/>
  <c r="Q479" i="1" s="1"/>
  <c r="K480" i="1"/>
  <c r="O480" i="1" s="1" a="1"/>
  <c r="Q480" i="1" s="1"/>
  <c r="K481" i="1"/>
  <c r="O481" i="1" s="1" a="1"/>
  <c r="Q481" i="1" s="1"/>
  <c r="K482" i="1"/>
  <c r="O482" i="1" s="1" a="1"/>
  <c r="Q482" i="1" s="1"/>
  <c r="K483" i="1"/>
  <c r="O483" i="1" s="1" a="1"/>
  <c r="Q483" i="1" s="1"/>
  <c r="K484" i="1"/>
  <c r="O484" i="1" s="1" a="1"/>
  <c r="Q484" i="1" s="1"/>
  <c r="K485" i="1"/>
  <c r="O485" i="1" s="1" a="1"/>
  <c r="Q485" i="1" s="1"/>
  <c r="K486" i="1"/>
  <c r="O486" i="1" s="1" a="1"/>
  <c r="Q486" i="1" s="1"/>
  <c r="K487" i="1"/>
  <c r="O487" i="1" s="1" a="1"/>
  <c r="Q487" i="1" s="1"/>
  <c r="K488" i="1"/>
  <c r="O488" i="1" s="1" a="1"/>
  <c r="Q488" i="1" s="1"/>
  <c r="K489" i="1"/>
  <c r="O489" i="1" s="1" a="1"/>
  <c r="Q489" i="1" s="1"/>
  <c r="K490" i="1"/>
  <c r="O490" i="1" s="1" a="1"/>
  <c r="Q490" i="1" s="1"/>
  <c r="K491" i="1"/>
  <c r="O491" i="1" s="1" a="1"/>
  <c r="Q491" i="1" s="1"/>
  <c r="K492" i="1"/>
  <c r="O492" i="1" s="1" a="1"/>
  <c r="Q492" i="1" s="1"/>
  <c r="K493" i="1"/>
  <c r="O493" i="1" s="1" a="1"/>
  <c r="Q493" i="1" s="1"/>
  <c r="K494" i="1"/>
  <c r="O494" i="1" s="1" a="1"/>
  <c r="Q494" i="1" s="1"/>
  <c r="K495" i="1"/>
  <c r="O495" i="1" s="1" a="1"/>
  <c r="Q495" i="1" s="1"/>
  <c r="K496" i="1"/>
  <c r="O496" i="1" s="1" a="1"/>
  <c r="Q496" i="1" s="1"/>
  <c r="K497" i="1"/>
  <c r="O497" i="1" s="1" a="1"/>
  <c r="Q497" i="1" s="1"/>
  <c r="K498" i="1"/>
  <c r="O498" i="1" s="1" a="1"/>
  <c r="Q498" i="1" s="1"/>
  <c r="K499" i="1"/>
  <c r="O499" i="1" s="1" a="1"/>
  <c r="Q499" i="1" s="1"/>
  <c r="K500" i="1"/>
  <c r="O500" i="1" s="1" a="1"/>
  <c r="Q500" i="1" s="1"/>
  <c r="K501" i="1"/>
  <c r="O501" i="1" s="1" a="1"/>
  <c r="Q501" i="1" s="1"/>
  <c r="K502" i="1"/>
  <c r="O502" i="1" s="1" a="1"/>
  <c r="Q502" i="1" s="1"/>
  <c r="K503" i="1"/>
  <c r="O503" i="1" s="1" a="1"/>
  <c r="Q503" i="1" s="1"/>
  <c r="K504" i="1"/>
  <c r="O504" i="1" s="1" a="1"/>
  <c r="Q504" i="1" s="1"/>
  <c r="K505" i="1"/>
  <c r="O505" i="1" s="1" a="1"/>
  <c r="Q505" i="1" s="1"/>
  <c r="K506" i="1"/>
  <c r="O506" i="1" s="1" a="1"/>
  <c r="Q506" i="1" s="1"/>
  <c r="K507" i="1"/>
  <c r="O507" i="1" s="1" a="1"/>
  <c r="Q507" i="1" s="1"/>
  <c r="K508" i="1"/>
  <c r="O508" i="1" s="1" a="1"/>
  <c r="Q508" i="1" s="1"/>
  <c r="K509" i="1"/>
  <c r="O509" i="1" s="1" a="1"/>
  <c r="Q509" i="1" s="1"/>
  <c r="K510" i="1"/>
  <c r="O510" i="1" s="1" a="1"/>
  <c r="Q510" i="1" s="1"/>
  <c r="K511" i="1"/>
  <c r="O511" i="1" s="1" a="1"/>
  <c r="Q511" i="1" s="1"/>
  <c r="K512" i="1"/>
  <c r="O512" i="1" s="1" a="1"/>
  <c r="Q512" i="1" s="1"/>
  <c r="K513" i="1"/>
  <c r="O513" i="1" s="1" a="1"/>
  <c r="Q513" i="1" s="1"/>
  <c r="K514" i="1"/>
  <c r="O514" i="1" s="1" a="1"/>
  <c r="Q514" i="1" s="1"/>
  <c r="K515" i="1"/>
  <c r="O515" i="1" s="1" a="1"/>
  <c r="Q515" i="1" s="1"/>
  <c r="K516" i="1"/>
  <c r="O516" i="1" s="1" a="1"/>
  <c r="Q516" i="1" s="1"/>
  <c r="K517" i="1"/>
  <c r="O517" i="1" s="1" a="1"/>
  <c r="Q517" i="1" s="1"/>
  <c r="K518" i="1"/>
  <c r="O518" i="1" s="1" a="1"/>
  <c r="Q518" i="1" s="1"/>
  <c r="K519" i="1"/>
  <c r="O519" i="1" s="1" a="1"/>
  <c r="Q519" i="1" s="1"/>
  <c r="K520" i="1"/>
  <c r="O520" i="1" s="1" a="1"/>
  <c r="Q520" i="1" s="1"/>
  <c r="K521" i="1"/>
  <c r="O521" i="1" s="1" a="1"/>
  <c r="Q521" i="1" s="1"/>
  <c r="K522" i="1"/>
  <c r="O522" i="1" s="1" a="1"/>
  <c r="Q522" i="1" s="1"/>
  <c r="K523" i="1"/>
  <c r="O523" i="1" s="1" a="1"/>
  <c r="Q523" i="1" s="1"/>
  <c r="K524" i="1"/>
  <c r="O524" i="1" s="1" a="1"/>
  <c r="Q524" i="1" s="1"/>
  <c r="K525" i="1"/>
  <c r="O525" i="1" s="1" a="1"/>
  <c r="Q525" i="1" s="1"/>
  <c r="K526" i="1"/>
  <c r="O526" i="1" s="1" a="1"/>
  <c r="Q526" i="1" s="1"/>
  <c r="K527" i="1"/>
  <c r="O527" i="1" s="1" a="1"/>
  <c r="Q527" i="1" s="1"/>
  <c r="K528" i="1"/>
  <c r="O528" i="1" s="1" a="1"/>
  <c r="Q528" i="1" s="1"/>
  <c r="K529" i="1"/>
  <c r="O529" i="1" s="1" a="1"/>
  <c r="Q529" i="1" s="1"/>
  <c r="K530" i="1"/>
  <c r="O530" i="1" s="1" a="1"/>
  <c r="Q530" i="1" s="1"/>
  <c r="K531" i="1"/>
  <c r="O531" i="1" s="1" a="1"/>
  <c r="Q531" i="1" s="1"/>
  <c r="K532" i="1"/>
  <c r="O532" i="1" s="1" a="1"/>
  <c r="Q532" i="1" s="1"/>
  <c r="K533" i="1"/>
  <c r="O533" i="1" s="1" a="1"/>
  <c r="Q533" i="1" s="1"/>
  <c r="K534" i="1"/>
  <c r="O534" i="1" s="1" a="1"/>
  <c r="Q534" i="1" s="1"/>
  <c r="K535" i="1"/>
  <c r="O535" i="1" s="1" a="1"/>
  <c r="Q535" i="1" s="1"/>
  <c r="K536" i="1"/>
  <c r="O536" i="1" s="1" a="1"/>
  <c r="Q536" i="1" s="1"/>
  <c r="K537" i="1"/>
  <c r="O537" i="1" s="1" a="1"/>
  <c r="Q537" i="1" s="1"/>
  <c r="K538" i="1"/>
  <c r="O538" i="1" s="1" a="1"/>
  <c r="Q538" i="1" s="1"/>
  <c r="K539" i="1"/>
  <c r="O539" i="1" s="1" a="1"/>
  <c r="Q539" i="1" s="1"/>
  <c r="K540" i="1"/>
  <c r="O540" i="1" s="1" a="1"/>
  <c r="Q540" i="1" s="1"/>
  <c r="K541" i="1"/>
  <c r="O541" i="1" s="1" a="1"/>
  <c r="Q541" i="1" s="1"/>
  <c r="K542" i="1"/>
  <c r="O542" i="1" s="1" a="1"/>
  <c r="Q542" i="1" s="1"/>
  <c r="K543" i="1"/>
  <c r="O543" i="1" s="1" a="1"/>
  <c r="Q543" i="1" s="1"/>
  <c r="K544" i="1"/>
  <c r="O544" i="1" s="1" a="1"/>
  <c r="Q544" i="1" s="1"/>
  <c r="K545" i="1"/>
  <c r="O545" i="1" s="1" a="1"/>
  <c r="Q545" i="1" s="1"/>
  <c r="K546" i="1"/>
  <c r="O546" i="1" s="1" a="1"/>
  <c r="Q546" i="1" s="1"/>
  <c r="K547" i="1"/>
  <c r="O547" i="1" s="1" a="1"/>
  <c r="Q547" i="1" s="1"/>
  <c r="K548" i="1"/>
  <c r="O548" i="1" s="1" a="1"/>
  <c r="Q548" i="1" s="1"/>
  <c r="K549" i="1"/>
  <c r="O549" i="1" s="1" a="1"/>
  <c r="Q549" i="1" s="1"/>
  <c r="K550" i="1"/>
  <c r="O550" i="1" s="1" a="1"/>
  <c r="Q550" i="1" s="1"/>
  <c r="K551" i="1"/>
  <c r="O551" i="1" s="1" a="1"/>
  <c r="Q551" i="1" s="1"/>
  <c r="K552" i="1"/>
  <c r="O552" i="1" s="1" a="1"/>
  <c r="Q552" i="1" s="1"/>
  <c r="K553" i="1"/>
  <c r="O553" i="1" s="1" a="1"/>
  <c r="Q553" i="1" s="1"/>
  <c r="K554" i="1"/>
  <c r="O554" i="1" s="1" a="1"/>
  <c r="Q554" i="1" s="1"/>
  <c r="K555" i="1"/>
  <c r="O555" i="1" s="1" a="1"/>
  <c r="Q555" i="1" s="1"/>
  <c r="K556" i="1"/>
  <c r="O556" i="1" s="1" a="1"/>
  <c r="Q556" i="1" s="1"/>
  <c r="K557" i="1"/>
  <c r="O557" i="1" s="1" a="1"/>
  <c r="Q557" i="1" s="1"/>
  <c r="K558" i="1"/>
  <c r="O558" i="1" s="1" a="1"/>
  <c r="Q558" i="1" s="1"/>
  <c r="K559" i="1"/>
  <c r="O559" i="1" s="1" a="1"/>
  <c r="Q559" i="1" s="1"/>
  <c r="K560" i="1"/>
  <c r="O560" i="1" s="1" a="1"/>
  <c r="Q560" i="1" s="1"/>
  <c r="K561" i="1"/>
  <c r="O561" i="1" s="1" a="1"/>
  <c r="Q561" i="1" s="1"/>
  <c r="K562" i="1"/>
  <c r="O562" i="1" s="1" a="1"/>
  <c r="Q562" i="1" s="1"/>
  <c r="K563" i="1"/>
  <c r="O563" i="1" s="1" a="1"/>
  <c r="Q563" i="1" s="1"/>
  <c r="K564" i="1"/>
  <c r="O564" i="1" s="1" a="1"/>
  <c r="Q564" i="1" s="1"/>
  <c r="K565" i="1"/>
  <c r="O565" i="1" s="1" a="1"/>
  <c r="Q565" i="1" s="1"/>
  <c r="K566" i="1"/>
  <c r="O566" i="1" s="1" a="1"/>
  <c r="Q566" i="1" s="1"/>
  <c r="K567" i="1"/>
  <c r="O567" i="1" s="1" a="1"/>
  <c r="Q567" i="1" s="1"/>
  <c r="K568" i="1"/>
  <c r="O568" i="1" s="1" a="1"/>
  <c r="Q568" i="1" s="1"/>
  <c r="K569" i="1"/>
  <c r="O569" i="1" s="1" a="1"/>
  <c r="Q569" i="1" s="1"/>
  <c r="K570" i="1"/>
  <c r="O570" i="1" s="1" a="1"/>
  <c r="Q570" i="1" s="1"/>
  <c r="K571" i="1"/>
  <c r="O571" i="1" s="1" a="1"/>
  <c r="Q571" i="1" s="1"/>
  <c r="K572" i="1"/>
  <c r="O572" i="1" s="1" a="1"/>
  <c r="Q572" i="1" s="1"/>
  <c r="K573" i="1"/>
  <c r="O573" i="1" s="1" a="1"/>
  <c r="Q573" i="1" s="1"/>
  <c r="K574" i="1"/>
  <c r="O574" i="1" s="1" a="1"/>
  <c r="Q574" i="1" s="1"/>
  <c r="K575" i="1"/>
  <c r="O575" i="1" s="1" a="1"/>
  <c r="Q575" i="1" s="1"/>
  <c r="K576" i="1"/>
  <c r="O576" i="1" s="1" a="1"/>
  <c r="Q576" i="1" s="1"/>
  <c r="K577" i="1"/>
  <c r="O577" i="1" s="1" a="1"/>
  <c r="Q577" i="1" s="1"/>
  <c r="K578" i="1"/>
  <c r="O578" i="1" s="1" a="1"/>
  <c r="Q578" i="1" s="1"/>
  <c r="K579" i="1"/>
  <c r="O579" i="1" s="1" a="1"/>
  <c r="Q579" i="1" s="1"/>
  <c r="K580" i="1"/>
  <c r="O580" i="1" s="1" a="1"/>
  <c r="Q580" i="1" s="1"/>
  <c r="K581" i="1"/>
  <c r="O581" i="1" s="1" a="1"/>
  <c r="Q581" i="1" s="1"/>
  <c r="K582" i="1"/>
  <c r="O582" i="1" s="1" a="1"/>
  <c r="Q582" i="1" s="1"/>
  <c r="K583" i="1"/>
  <c r="O583" i="1" s="1" a="1"/>
  <c r="Q583" i="1" s="1"/>
  <c r="K584" i="1"/>
  <c r="O584" i="1" s="1" a="1"/>
  <c r="Q584" i="1" s="1"/>
  <c r="K585" i="1"/>
  <c r="O585" i="1" s="1" a="1"/>
  <c r="Q585" i="1" s="1"/>
  <c r="K586" i="1"/>
  <c r="O586" i="1" s="1" a="1"/>
  <c r="Q586" i="1" s="1"/>
  <c r="K587" i="1"/>
  <c r="O587" i="1" s="1" a="1"/>
  <c r="Q587" i="1" s="1"/>
  <c r="K588" i="1"/>
  <c r="O588" i="1" s="1" a="1"/>
  <c r="Q588" i="1" s="1"/>
  <c r="K589" i="1"/>
  <c r="O589" i="1" s="1" a="1"/>
  <c r="Q589" i="1" s="1"/>
  <c r="K590" i="1"/>
  <c r="O590" i="1" s="1" a="1"/>
  <c r="Q590" i="1" s="1"/>
  <c r="K591" i="1"/>
  <c r="O591" i="1" s="1" a="1"/>
  <c r="Q591" i="1" s="1"/>
  <c r="K592" i="1"/>
  <c r="O592" i="1" s="1" a="1"/>
  <c r="Q592" i="1" s="1"/>
  <c r="K593" i="1"/>
  <c r="O593" i="1" s="1" a="1"/>
  <c r="Q593" i="1" s="1"/>
  <c r="K594" i="1"/>
  <c r="O594" i="1" s="1" a="1"/>
  <c r="Q594" i="1" s="1"/>
  <c r="K595" i="1"/>
  <c r="O595" i="1" s="1" a="1"/>
  <c r="Q595" i="1" s="1"/>
  <c r="K596" i="1"/>
  <c r="O596" i="1" s="1" a="1"/>
  <c r="Q596" i="1" s="1"/>
  <c r="K597" i="1"/>
  <c r="O597" i="1" s="1" a="1"/>
  <c r="Q597" i="1" s="1"/>
  <c r="K598" i="1"/>
  <c r="O598" i="1" s="1" a="1"/>
  <c r="Q598" i="1" s="1"/>
  <c r="K599" i="1"/>
  <c r="O599" i="1" s="1" a="1"/>
  <c r="Q599" i="1" s="1"/>
  <c r="K600" i="1"/>
  <c r="O600" i="1" s="1" a="1"/>
  <c r="Q600" i="1" s="1"/>
  <c r="K601" i="1"/>
  <c r="O601" i="1" s="1" a="1"/>
  <c r="Q601" i="1" s="1"/>
  <c r="K2" i="1"/>
  <c r="O2" i="1" s="1" a="1"/>
  <c r="Q2" i="1" s="1"/>
  <c r="O63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O623" i="1" l="1"/>
  <c r="O624" i="1"/>
  <c r="O625" i="1"/>
  <c r="O626" i="1"/>
  <c r="K610" i="1"/>
  <c r="L601" i="1"/>
  <c r="M601" i="1"/>
  <c r="L600" i="1"/>
  <c r="M600" i="1"/>
  <c r="L599" i="1"/>
  <c r="M599" i="1"/>
  <c r="L598" i="1"/>
  <c r="M598" i="1"/>
  <c r="L597" i="1"/>
  <c r="M597" i="1"/>
  <c r="L596" i="1"/>
  <c r="M596" i="1"/>
  <c r="L595" i="1"/>
  <c r="M595" i="1"/>
  <c r="L594" i="1"/>
  <c r="M594" i="1"/>
  <c r="L593" i="1"/>
  <c r="M593" i="1"/>
  <c r="L592" i="1"/>
  <c r="M592" i="1"/>
  <c r="L591" i="1"/>
  <c r="M591" i="1"/>
  <c r="L590" i="1"/>
  <c r="M590" i="1"/>
  <c r="L589" i="1"/>
  <c r="M589" i="1"/>
  <c r="L588" i="1"/>
  <c r="M588" i="1"/>
  <c r="L587" i="1"/>
  <c r="M587" i="1"/>
  <c r="L586" i="1"/>
  <c r="M586" i="1"/>
  <c r="L585" i="1"/>
  <c r="M585" i="1"/>
  <c r="L584" i="1"/>
  <c r="M584" i="1"/>
  <c r="L583" i="1"/>
  <c r="M583" i="1"/>
  <c r="L582" i="1"/>
  <c r="M582" i="1"/>
  <c r="L581" i="1"/>
  <c r="M581" i="1"/>
  <c r="L580" i="1"/>
  <c r="M580" i="1"/>
  <c r="L579" i="1"/>
  <c r="M579" i="1"/>
  <c r="L578" i="1"/>
  <c r="M578" i="1"/>
  <c r="L577" i="1"/>
  <c r="M577" i="1"/>
  <c r="L576" i="1"/>
  <c r="M576" i="1"/>
  <c r="L575" i="1"/>
  <c r="M575" i="1"/>
  <c r="L574" i="1"/>
  <c r="M574" i="1"/>
  <c r="L573" i="1"/>
  <c r="M573" i="1"/>
  <c r="L572" i="1"/>
  <c r="M572" i="1"/>
  <c r="L571" i="1"/>
  <c r="M571" i="1"/>
  <c r="L570" i="1"/>
  <c r="M570" i="1"/>
  <c r="L569" i="1"/>
  <c r="M569" i="1"/>
  <c r="L568" i="1"/>
  <c r="M568" i="1"/>
  <c r="L567" i="1"/>
  <c r="M567" i="1"/>
  <c r="L566" i="1"/>
  <c r="M566" i="1"/>
  <c r="L565" i="1"/>
  <c r="M565" i="1"/>
  <c r="L564" i="1"/>
  <c r="M564" i="1"/>
  <c r="L563" i="1"/>
  <c r="M563" i="1"/>
  <c r="L562" i="1"/>
  <c r="M562" i="1"/>
  <c r="L561" i="1"/>
  <c r="M561" i="1"/>
  <c r="L560" i="1"/>
  <c r="M560" i="1"/>
  <c r="L559" i="1"/>
  <c r="M559" i="1"/>
  <c r="L558" i="1"/>
  <c r="M558" i="1"/>
  <c r="L557" i="1"/>
  <c r="M557" i="1"/>
  <c r="L556" i="1"/>
  <c r="M556" i="1"/>
  <c r="L555" i="1"/>
  <c r="M555" i="1"/>
  <c r="L554" i="1"/>
  <c r="M554" i="1"/>
  <c r="L553" i="1"/>
  <c r="M553" i="1"/>
  <c r="L552" i="1"/>
  <c r="M552" i="1"/>
  <c r="L551" i="1"/>
  <c r="M551" i="1"/>
  <c r="L550" i="1"/>
  <c r="M550" i="1"/>
  <c r="L549" i="1"/>
  <c r="M549" i="1"/>
  <c r="L548" i="1"/>
  <c r="M548" i="1"/>
  <c r="L547" i="1"/>
  <c r="M547" i="1"/>
  <c r="L546" i="1"/>
  <c r="M546" i="1"/>
  <c r="L545" i="1"/>
  <c r="M545" i="1"/>
  <c r="L544" i="1"/>
  <c r="M544" i="1"/>
  <c r="L543" i="1"/>
  <c r="M543" i="1"/>
  <c r="L542" i="1"/>
  <c r="M542" i="1"/>
  <c r="L541" i="1"/>
  <c r="M541" i="1"/>
  <c r="L540" i="1"/>
  <c r="M540" i="1"/>
  <c r="L539" i="1"/>
  <c r="M539" i="1"/>
  <c r="L538" i="1"/>
  <c r="M538" i="1"/>
  <c r="L537" i="1"/>
  <c r="M537" i="1"/>
  <c r="L536" i="1"/>
  <c r="M536" i="1"/>
  <c r="L535" i="1"/>
  <c r="M535" i="1"/>
  <c r="L534" i="1"/>
  <c r="M534" i="1"/>
  <c r="L533" i="1"/>
  <c r="M533" i="1"/>
  <c r="L532" i="1"/>
  <c r="M532" i="1"/>
  <c r="L531" i="1"/>
  <c r="M531" i="1"/>
  <c r="L530" i="1"/>
  <c r="M530" i="1"/>
  <c r="L529" i="1"/>
  <c r="M529" i="1"/>
  <c r="L528" i="1"/>
  <c r="M528" i="1"/>
  <c r="L527" i="1"/>
  <c r="M527" i="1"/>
  <c r="L526" i="1"/>
  <c r="M526" i="1"/>
  <c r="L525" i="1"/>
  <c r="M525" i="1"/>
  <c r="L524" i="1"/>
  <c r="M524" i="1"/>
  <c r="L523" i="1"/>
  <c r="M523" i="1"/>
  <c r="L522" i="1"/>
  <c r="M522" i="1"/>
  <c r="L521" i="1"/>
  <c r="M521" i="1"/>
  <c r="L520" i="1"/>
  <c r="M520" i="1"/>
  <c r="L519" i="1"/>
  <c r="M519" i="1"/>
  <c r="L518" i="1"/>
  <c r="M518" i="1"/>
  <c r="L517" i="1"/>
  <c r="M517" i="1"/>
  <c r="L516" i="1"/>
  <c r="M516" i="1"/>
  <c r="L515" i="1"/>
  <c r="M515" i="1"/>
  <c r="L514" i="1"/>
  <c r="M514" i="1"/>
  <c r="L513" i="1"/>
  <c r="M513" i="1"/>
  <c r="L512" i="1"/>
  <c r="M512" i="1"/>
  <c r="L511" i="1"/>
  <c r="M511" i="1"/>
  <c r="L510" i="1"/>
  <c r="M510" i="1"/>
  <c r="L509" i="1"/>
  <c r="M509" i="1"/>
  <c r="L508" i="1"/>
  <c r="M508" i="1"/>
  <c r="L507" i="1"/>
  <c r="M507" i="1"/>
  <c r="L506" i="1"/>
  <c r="M506" i="1"/>
  <c r="L505" i="1"/>
  <c r="M505" i="1"/>
  <c r="L504" i="1"/>
  <c r="M504" i="1"/>
  <c r="L503" i="1"/>
  <c r="M503" i="1"/>
  <c r="L502" i="1"/>
  <c r="M502" i="1"/>
  <c r="L501" i="1"/>
  <c r="M501" i="1"/>
  <c r="L500" i="1"/>
  <c r="M500" i="1"/>
  <c r="L499" i="1"/>
  <c r="M499" i="1"/>
  <c r="L498" i="1"/>
  <c r="M498" i="1"/>
  <c r="L497" i="1"/>
  <c r="M497" i="1"/>
  <c r="L496" i="1"/>
  <c r="M496" i="1"/>
  <c r="L495" i="1"/>
  <c r="M495" i="1"/>
  <c r="L494" i="1"/>
  <c r="M494" i="1"/>
  <c r="L493" i="1"/>
  <c r="M493" i="1"/>
  <c r="L492" i="1"/>
  <c r="M492" i="1"/>
  <c r="L491" i="1"/>
  <c r="M491" i="1"/>
  <c r="L490" i="1"/>
  <c r="M490" i="1"/>
  <c r="L489" i="1"/>
  <c r="M489" i="1"/>
  <c r="L488" i="1"/>
  <c r="M488" i="1"/>
  <c r="L487" i="1"/>
  <c r="M487" i="1"/>
  <c r="L486" i="1"/>
  <c r="M486" i="1"/>
  <c r="L485" i="1"/>
  <c r="M485" i="1"/>
  <c r="L484" i="1"/>
  <c r="M484" i="1"/>
  <c r="L483" i="1"/>
  <c r="M483" i="1"/>
  <c r="L482" i="1"/>
  <c r="M482" i="1"/>
  <c r="L481" i="1"/>
  <c r="M481" i="1"/>
  <c r="L480" i="1"/>
  <c r="M480" i="1"/>
  <c r="L479" i="1"/>
  <c r="M479" i="1"/>
  <c r="L478" i="1"/>
  <c r="M478" i="1"/>
  <c r="L477" i="1"/>
  <c r="M477" i="1"/>
  <c r="L476" i="1"/>
  <c r="M476" i="1"/>
  <c r="L475" i="1"/>
  <c r="M475" i="1"/>
  <c r="L474" i="1"/>
  <c r="M474" i="1"/>
  <c r="L473" i="1"/>
  <c r="M473" i="1"/>
  <c r="L472" i="1"/>
  <c r="M472" i="1"/>
  <c r="L471" i="1"/>
  <c r="M471" i="1"/>
  <c r="L470" i="1"/>
  <c r="M470" i="1"/>
  <c r="L469" i="1"/>
  <c r="M469" i="1"/>
  <c r="L468" i="1"/>
  <c r="M468" i="1"/>
  <c r="L467" i="1"/>
  <c r="M467" i="1"/>
  <c r="L466" i="1"/>
  <c r="M466" i="1"/>
  <c r="L465" i="1"/>
  <c r="M465" i="1"/>
  <c r="L464" i="1"/>
  <c r="M464" i="1"/>
  <c r="L463" i="1"/>
  <c r="M463" i="1"/>
  <c r="L462" i="1"/>
  <c r="M462" i="1"/>
  <c r="L461" i="1"/>
  <c r="M461" i="1"/>
  <c r="L460" i="1"/>
  <c r="M460" i="1"/>
  <c r="L459" i="1"/>
  <c r="M459" i="1"/>
  <c r="L458" i="1"/>
  <c r="M458" i="1"/>
  <c r="L457" i="1"/>
  <c r="M457" i="1"/>
  <c r="L456" i="1"/>
  <c r="M456" i="1"/>
  <c r="L455" i="1"/>
  <c r="M455" i="1"/>
  <c r="L454" i="1"/>
  <c r="M454" i="1"/>
  <c r="L453" i="1"/>
  <c r="M453" i="1"/>
  <c r="L452" i="1"/>
  <c r="M452" i="1"/>
  <c r="L451" i="1"/>
  <c r="M451" i="1"/>
  <c r="L450" i="1"/>
  <c r="M450" i="1"/>
  <c r="L449" i="1"/>
  <c r="M449" i="1"/>
  <c r="L448" i="1"/>
  <c r="M448" i="1"/>
  <c r="L447" i="1"/>
  <c r="M447" i="1"/>
  <c r="L446" i="1"/>
  <c r="M446" i="1"/>
  <c r="L445" i="1"/>
  <c r="M445" i="1"/>
  <c r="L444" i="1"/>
  <c r="M444" i="1"/>
  <c r="L443" i="1"/>
  <c r="M443" i="1"/>
  <c r="L442" i="1"/>
  <c r="M442" i="1"/>
  <c r="L441" i="1"/>
  <c r="M441" i="1"/>
  <c r="L440" i="1"/>
  <c r="M440" i="1"/>
  <c r="L439" i="1"/>
  <c r="M439" i="1"/>
  <c r="L438" i="1"/>
  <c r="M438" i="1"/>
  <c r="L437" i="1"/>
  <c r="M437" i="1"/>
  <c r="L436" i="1"/>
  <c r="M436" i="1"/>
  <c r="L435" i="1"/>
  <c r="M435" i="1"/>
  <c r="L434" i="1"/>
  <c r="M434" i="1"/>
  <c r="L433" i="1"/>
  <c r="M433" i="1"/>
  <c r="L432" i="1"/>
  <c r="M432" i="1"/>
  <c r="L431" i="1"/>
  <c r="M431" i="1"/>
  <c r="L430" i="1"/>
  <c r="M430" i="1"/>
  <c r="L429" i="1"/>
  <c r="M429" i="1"/>
  <c r="L428" i="1"/>
  <c r="M428" i="1"/>
  <c r="L427" i="1"/>
  <c r="M427" i="1"/>
  <c r="L426" i="1"/>
  <c r="M426" i="1"/>
  <c r="L425" i="1"/>
  <c r="M425" i="1"/>
  <c r="L424" i="1"/>
  <c r="M424" i="1"/>
  <c r="L423" i="1"/>
  <c r="M423" i="1"/>
  <c r="L422" i="1"/>
  <c r="M422" i="1"/>
  <c r="L421" i="1"/>
  <c r="M421" i="1"/>
  <c r="L420" i="1"/>
  <c r="M420" i="1"/>
  <c r="L419" i="1"/>
  <c r="M419" i="1"/>
  <c r="L418" i="1"/>
  <c r="M418" i="1"/>
  <c r="L417" i="1"/>
  <c r="M417" i="1"/>
  <c r="L416" i="1"/>
  <c r="M416" i="1"/>
  <c r="L415" i="1"/>
  <c r="M415" i="1"/>
  <c r="L414" i="1"/>
  <c r="M414" i="1"/>
  <c r="L413" i="1"/>
  <c r="M413" i="1"/>
  <c r="L412" i="1"/>
  <c r="M412" i="1"/>
  <c r="L411" i="1"/>
  <c r="M411" i="1"/>
  <c r="L410" i="1"/>
  <c r="M410" i="1"/>
  <c r="L409" i="1"/>
  <c r="M409" i="1"/>
  <c r="L408" i="1"/>
  <c r="M408" i="1"/>
  <c r="L407" i="1"/>
  <c r="M407" i="1"/>
  <c r="L406" i="1"/>
  <c r="M406" i="1"/>
  <c r="L405" i="1"/>
  <c r="M405" i="1"/>
  <c r="L404" i="1"/>
  <c r="M404" i="1"/>
  <c r="L403" i="1"/>
  <c r="M403" i="1"/>
  <c r="L402" i="1"/>
  <c r="M402" i="1"/>
  <c r="L401" i="1"/>
  <c r="M401" i="1"/>
  <c r="L400" i="1"/>
  <c r="M400" i="1"/>
  <c r="L399" i="1"/>
  <c r="M399" i="1"/>
  <c r="L398" i="1"/>
  <c r="M398" i="1"/>
  <c r="L397" i="1"/>
  <c r="M397" i="1"/>
  <c r="L396" i="1"/>
  <c r="M396" i="1"/>
  <c r="L395" i="1"/>
  <c r="M395" i="1"/>
  <c r="L394" i="1"/>
  <c r="M394" i="1"/>
  <c r="L393" i="1"/>
  <c r="M393" i="1"/>
  <c r="L392" i="1"/>
  <c r="M392" i="1"/>
  <c r="L391" i="1"/>
  <c r="M391" i="1"/>
  <c r="L390" i="1"/>
  <c r="M390" i="1"/>
  <c r="L389" i="1"/>
  <c r="M389" i="1"/>
  <c r="L388" i="1"/>
  <c r="M388" i="1"/>
  <c r="L387" i="1"/>
  <c r="M387" i="1"/>
  <c r="L386" i="1"/>
  <c r="M386" i="1"/>
  <c r="L385" i="1"/>
  <c r="M385" i="1"/>
  <c r="L384" i="1"/>
  <c r="M384" i="1"/>
  <c r="L383" i="1"/>
  <c r="M383" i="1"/>
  <c r="L382" i="1"/>
  <c r="M382" i="1"/>
  <c r="L381" i="1"/>
  <c r="M381" i="1"/>
  <c r="L380" i="1"/>
  <c r="M380" i="1"/>
  <c r="L379" i="1"/>
  <c r="M379" i="1"/>
  <c r="L378" i="1"/>
  <c r="M378" i="1"/>
  <c r="L377" i="1"/>
  <c r="M377" i="1"/>
  <c r="L376" i="1"/>
  <c r="M376" i="1"/>
  <c r="L375" i="1"/>
  <c r="M375" i="1"/>
  <c r="L374" i="1"/>
  <c r="M374" i="1"/>
  <c r="L373" i="1"/>
  <c r="M373" i="1"/>
  <c r="L372" i="1"/>
  <c r="M372" i="1"/>
  <c r="L371" i="1"/>
  <c r="M371" i="1"/>
  <c r="L370" i="1"/>
  <c r="M370" i="1"/>
  <c r="L369" i="1"/>
  <c r="M369" i="1"/>
  <c r="L368" i="1"/>
  <c r="M368" i="1"/>
  <c r="L367" i="1"/>
  <c r="M367" i="1"/>
  <c r="L366" i="1"/>
  <c r="M366" i="1"/>
  <c r="L365" i="1"/>
  <c r="M365" i="1"/>
  <c r="L364" i="1"/>
  <c r="M364" i="1"/>
  <c r="L363" i="1"/>
  <c r="M363" i="1"/>
  <c r="L362" i="1"/>
  <c r="M362" i="1"/>
  <c r="L361" i="1"/>
  <c r="M361" i="1"/>
  <c r="L360" i="1"/>
  <c r="M360" i="1"/>
  <c r="L359" i="1"/>
  <c r="M359" i="1"/>
  <c r="L358" i="1"/>
  <c r="M358" i="1"/>
  <c r="L357" i="1"/>
  <c r="M357" i="1"/>
  <c r="L356" i="1"/>
  <c r="M356" i="1"/>
  <c r="L355" i="1"/>
  <c r="M355" i="1"/>
  <c r="L354" i="1"/>
  <c r="M354" i="1"/>
  <c r="L353" i="1"/>
  <c r="M353" i="1"/>
  <c r="L352" i="1"/>
  <c r="M352" i="1"/>
  <c r="L351" i="1"/>
  <c r="M351" i="1"/>
  <c r="L350" i="1"/>
  <c r="M350" i="1"/>
  <c r="L349" i="1"/>
  <c r="M349" i="1"/>
  <c r="L348" i="1"/>
  <c r="M348" i="1"/>
  <c r="L347" i="1"/>
  <c r="M347" i="1"/>
  <c r="L346" i="1"/>
  <c r="M346" i="1"/>
  <c r="L345" i="1"/>
  <c r="M345" i="1"/>
  <c r="L344" i="1"/>
  <c r="M344" i="1"/>
  <c r="L343" i="1"/>
  <c r="M343" i="1"/>
  <c r="L342" i="1"/>
  <c r="M342" i="1"/>
  <c r="L341" i="1"/>
  <c r="M341" i="1"/>
  <c r="L340" i="1"/>
  <c r="M340" i="1"/>
  <c r="L339" i="1"/>
  <c r="M339" i="1"/>
  <c r="L338" i="1"/>
  <c r="M338" i="1"/>
  <c r="L337" i="1"/>
  <c r="M337" i="1"/>
  <c r="L336" i="1"/>
  <c r="M336" i="1"/>
  <c r="L335" i="1"/>
  <c r="M335" i="1"/>
  <c r="L334" i="1"/>
  <c r="M334" i="1"/>
  <c r="L333" i="1"/>
  <c r="M333" i="1"/>
  <c r="L332" i="1"/>
  <c r="M332" i="1"/>
  <c r="L331" i="1"/>
  <c r="M331" i="1"/>
  <c r="L330" i="1"/>
  <c r="M330" i="1"/>
  <c r="L329" i="1"/>
  <c r="M329" i="1"/>
  <c r="L328" i="1"/>
  <c r="M328" i="1"/>
  <c r="L327" i="1"/>
  <c r="M327" i="1"/>
  <c r="L326" i="1"/>
  <c r="M326" i="1"/>
  <c r="L325" i="1"/>
  <c r="M325" i="1"/>
  <c r="L324" i="1"/>
  <c r="M324" i="1"/>
  <c r="L323" i="1"/>
  <c r="M323" i="1"/>
  <c r="L322" i="1"/>
  <c r="M322" i="1"/>
  <c r="L321" i="1"/>
  <c r="M321" i="1"/>
  <c r="L320" i="1"/>
  <c r="M320" i="1"/>
  <c r="L319" i="1"/>
  <c r="M319" i="1"/>
  <c r="L318" i="1"/>
  <c r="M318" i="1"/>
  <c r="L317" i="1"/>
  <c r="M317" i="1"/>
  <c r="L316" i="1"/>
  <c r="M316" i="1"/>
  <c r="L315" i="1"/>
  <c r="M315" i="1"/>
  <c r="L314" i="1"/>
  <c r="M314" i="1"/>
  <c r="L313" i="1"/>
  <c r="M313" i="1"/>
  <c r="L312" i="1"/>
  <c r="M312" i="1"/>
  <c r="L311" i="1"/>
  <c r="M311" i="1"/>
  <c r="L310" i="1"/>
  <c r="M310" i="1"/>
  <c r="L309" i="1"/>
  <c r="M309" i="1"/>
  <c r="L308" i="1"/>
  <c r="M308" i="1"/>
  <c r="L307" i="1"/>
  <c r="M307" i="1"/>
  <c r="L306" i="1"/>
  <c r="M306" i="1"/>
  <c r="L305" i="1"/>
  <c r="M305" i="1"/>
  <c r="L304" i="1"/>
  <c r="M304" i="1"/>
  <c r="L303" i="1"/>
  <c r="M303" i="1"/>
  <c r="L302" i="1"/>
  <c r="M302" i="1"/>
  <c r="L301" i="1"/>
  <c r="M301" i="1"/>
  <c r="L300" i="1"/>
  <c r="M300" i="1"/>
  <c r="L299" i="1"/>
  <c r="M299" i="1"/>
  <c r="L298" i="1"/>
  <c r="M298" i="1"/>
  <c r="L297" i="1"/>
  <c r="M297" i="1"/>
  <c r="L296" i="1"/>
  <c r="M296" i="1"/>
  <c r="L295" i="1"/>
  <c r="M295" i="1"/>
  <c r="L294" i="1"/>
  <c r="M294" i="1"/>
  <c r="L293" i="1"/>
  <c r="M293" i="1"/>
  <c r="L292" i="1"/>
  <c r="M292" i="1"/>
  <c r="L291" i="1"/>
  <c r="M291" i="1"/>
  <c r="L290" i="1"/>
  <c r="M290" i="1"/>
  <c r="L289" i="1"/>
  <c r="M289" i="1"/>
  <c r="L288" i="1"/>
  <c r="M288" i="1"/>
  <c r="L287" i="1"/>
  <c r="M287" i="1"/>
  <c r="L286" i="1"/>
  <c r="M286" i="1"/>
  <c r="L285" i="1"/>
  <c r="M285" i="1"/>
  <c r="L284" i="1"/>
  <c r="M284" i="1"/>
  <c r="L283" i="1"/>
  <c r="M283" i="1"/>
  <c r="L282" i="1"/>
  <c r="M282" i="1"/>
  <c r="L281" i="1"/>
  <c r="M281" i="1"/>
  <c r="L280" i="1"/>
  <c r="M280" i="1"/>
  <c r="L279" i="1"/>
  <c r="M279" i="1"/>
  <c r="L278" i="1"/>
  <c r="M278" i="1"/>
  <c r="L277" i="1"/>
  <c r="M277" i="1"/>
  <c r="L276" i="1"/>
  <c r="M276" i="1"/>
  <c r="L275" i="1"/>
  <c r="M275" i="1"/>
  <c r="L274" i="1"/>
  <c r="M274" i="1"/>
  <c r="L273" i="1"/>
  <c r="M273" i="1"/>
  <c r="L272" i="1"/>
  <c r="M272" i="1"/>
  <c r="L271" i="1"/>
  <c r="M271" i="1"/>
  <c r="L270" i="1"/>
  <c r="M270" i="1"/>
  <c r="L269" i="1"/>
  <c r="M269" i="1"/>
  <c r="L268" i="1"/>
  <c r="M268" i="1"/>
  <c r="L267" i="1"/>
  <c r="M267" i="1"/>
  <c r="L266" i="1"/>
  <c r="M266" i="1"/>
  <c r="L265" i="1"/>
  <c r="M265" i="1"/>
  <c r="L264" i="1"/>
  <c r="M264" i="1"/>
  <c r="L263" i="1"/>
  <c r="M263" i="1"/>
  <c r="L262" i="1"/>
  <c r="M262" i="1"/>
  <c r="L261" i="1"/>
  <c r="M261" i="1"/>
  <c r="L260" i="1"/>
  <c r="M260" i="1"/>
  <c r="L259" i="1"/>
  <c r="M259" i="1"/>
  <c r="L258" i="1"/>
  <c r="M258" i="1"/>
  <c r="L257" i="1"/>
  <c r="M257" i="1"/>
  <c r="L256" i="1"/>
  <c r="M256" i="1"/>
  <c r="L255" i="1"/>
  <c r="M255" i="1"/>
  <c r="L254" i="1"/>
  <c r="M254" i="1"/>
  <c r="L253" i="1"/>
  <c r="M253" i="1"/>
  <c r="L252" i="1"/>
  <c r="M252" i="1"/>
  <c r="L251" i="1"/>
  <c r="M251" i="1"/>
  <c r="L250" i="1"/>
  <c r="M250" i="1"/>
  <c r="L249" i="1"/>
  <c r="M249" i="1"/>
  <c r="L248" i="1"/>
  <c r="M248" i="1"/>
  <c r="L247" i="1"/>
  <c r="M247" i="1"/>
  <c r="L246" i="1"/>
  <c r="M246" i="1"/>
  <c r="L245" i="1"/>
  <c r="M245" i="1"/>
  <c r="L244" i="1"/>
  <c r="M244" i="1"/>
  <c r="L243" i="1"/>
  <c r="M243" i="1"/>
  <c r="L242" i="1"/>
  <c r="M242" i="1"/>
  <c r="L241" i="1"/>
  <c r="M241" i="1"/>
  <c r="L240" i="1"/>
  <c r="M240" i="1"/>
  <c r="L239" i="1"/>
  <c r="M239" i="1"/>
  <c r="L238" i="1"/>
  <c r="M238" i="1"/>
  <c r="L237" i="1"/>
  <c r="M237" i="1"/>
  <c r="L236" i="1"/>
  <c r="M236" i="1"/>
  <c r="L235" i="1"/>
  <c r="M235" i="1"/>
  <c r="L234" i="1"/>
  <c r="M234" i="1"/>
  <c r="L233" i="1"/>
  <c r="M233" i="1"/>
  <c r="L232" i="1"/>
  <c r="M232" i="1"/>
  <c r="L231" i="1"/>
  <c r="M231" i="1"/>
  <c r="L230" i="1"/>
  <c r="M230" i="1"/>
  <c r="L229" i="1"/>
  <c r="M229" i="1"/>
  <c r="L228" i="1"/>
  <c r="M228" i="1"/>
  <c r="L227" i="1"/>
  <c r="M227" i="1"/>
  <c r="L226" i="1"/>
  <c r="M226" i="1"/>
  <c r="L225" i="1"/>
  <c r="M225" i="1"/>
  <c r="L224" i="1"/>
  <c r="M224" i="1"/>
  <c r="L223" i="1"/>
  <c r="M223" i="1"/>
  <c r="L222" i="1"/>
  <c r="M222" i="1"/>
  <c r="L221" i="1"/>
  <c r="M221" i="1"/>
  <c r="L220" i="1"/>
  <c r="M220" i="1"/>
  <c r="L219" i="1"/>
  <c r="M219" i="1"/>
  <c r="L218" i="1"/>
  <c r="M218" i="1"/>
  <c r="L217" i="1"/>
  <c r="M217" i="1"/>
  <c r="L216" i="1"/>
  <c r="M216" i="1"/>
  <c r="L215" i="1"/>
  <c r="M215" i="1"/>
  <c r="L214" i="1"/>
  <c r="M214" i="1"/>
  <c r="L213" i="1"/>
  <c r="M213" i="1"/>
  <c r="L212" i="1"/>
  <c r="M212" i="1"/>
  <c r="L211" i="1"/>
  <c r="M211" i="1"/>
  <c r="L210" i="1"/>
  <c r="M210" i="1"/>
  <c r="L209" i="1"/>
  <c r="M209" i="1"/>
  <c r="L208" i="1"/>
  <c r="M208" i="1"/>
  <c r="L207" i="1"/>
  <c r="M207" i="1"/>
  <c r="L206" i="1"/>
  <c r="M206" i="1"/>
  <c r="L205" i="1"/>
  <c r="M205" i="1"/>
  <c r="L204" i="1"/>
  <c r="M204" i="1"/>
  <c r="L203" i="1"/>
  <c r="M203" i="1"/>
  <c r="L202" i="1"/>
  <c r="M202" i="1"/>
  <c r="L201" i="1"/>
  <c r="M201" i="1"/>
  <c r="L200" i="1"/>
  <c r="M200" i="1"/>
  <c r="L199" i="1"/>
  <c r="M199" i="1"/>
  <c r="L198" i="1"/>
  <c r="M198" i="1"/>
  <c r="L197" i="1"/>
  <c r="M197" i="1"/>
  <c r="L196" i="1"/>
  <c r="M196" i="1"/>
  <c r="L195" i="1"/>
  <c r="M195" i="1"/>
  <c r="L194" i="1"/>
  <c r="M194" i="1"/>
  <c r="L193" i="1"/>
  <c r="M193" i="1"/>
  <c r="L192" i="1"/>
  <c r="M192" i="1"/>
  <c r="L191" i="1"/>
  <c r="M191" i="1"/>
  <c r="L190" i="1"/>
  <c r="M190" i="1"/>
  <c r="L189" i="1"/>
  <c r="M189" i="1"/>
  <c r="L188" i="1"/>
  <c r="M188" i="1"/>
  <c r="L187" i="1"/>
  <c r="M187" i="1"/>
  <c r="L186" i="1"/>
  <c r="M186" i="1"/>
  <c r="L185" i="1"/>
  <c r="M185" i="1"/>
  <c r="L184" i="1"/>
  <c r="M184" i="1"/>
  <c r="L183" i="1"/>
  <c r="M183" i="1"/>
  <c r="L182" i="1"/>
  <c r="M182" i="1"/>
  <c r="L181" i="1"/>
  <c r="M181" i="1"/>
  <c r="L180" i="1"/>
  <c r="M180" i="1"/>
  <c r="L179" i="1"/>
  <c r="M179" i="1"/>
  <c r="L178" i="1"/>
  <c r="M178" i="1"/>
  <c r="L177" i="1"/>
  <c r="M177" i="1"/>
  <c r="L176" i="1"/>
  <c r="M176" i="1"/>
  <c r="L175" i="1"/>
  <c r="M175" i="1"/>
  <c r="L174" i="1"/>
  <c r="M174" i="1"/>
  <c r="L173" i="1"/>
  <c r="M173" i="1"/>
  <c r="L172" i="1"/>
  <c r="M172" i="1"/>
  <c r="L171" i="1"/>
  <c r="M171" i="1"/>
  <c r="L170" i="1"/>
  <c r="M170" i="1"/>
  <c r="L169" i="1"/>
  <c r="M169" i="1"/>
  <c r="L168" i="1"/>
  <c r="M168" i="1"/>
  <c r="L167" i="1"/>
  <c r="M167" i="1" s="1"/>
  <c r="L166" i="1"/>
  <c r="M166" i="1"/>
  <c r="L165" i="1"/>
  <c r="M165" i="1"/>
  <c r="L164" i="1"/>
  <c r="M164" i="1"/>
  <c r="L163" i="1"/>
  <c r="M163" i="1"/>
  <c r="L162" i="1"/>
  <c r="M162" i="1"/>
  <c r="L161" i="1"/>
  <c r="M161" i="1"/>
  <c r="L160" i="1"/>
  <c r="M160" i="1"/>
  <c r="L159" i="1"/>
  <c r="M159" i="1"/>
  <c r="L158" i="1"/>
  <c r="M158" i="1"/>
  <c r="L157" i="1"/>
  <c r="M157" i="1"/>
  <c r="L156" i="1"/>
  <c r="M156" i="1"/>
  <c r="L155" i="1"/>
  <c r="M155" i="1"/>
  <c r="L154" i="1"/>
  <c r="M154" i="1"/>
  <c r="L153" i="1"/>
  <c r="M153" i="1"/>
  <c r="L152" i="1"/>
  <c r="M152" i="1"/>
  <c r="L151" i="1"/>
  <c r="M151" i="1"/>
  <c r="L150" i="1"/>
  <c r="M150" i="1"/>
  <c r="L149" i="1"/>
  <c r="M149" i="1"/>
  <c r="L148" i="1"/>
  <c r="M148" i="1"/>
  <c r="L147" i="1"/>
  <c r="M147" i="1"/>
  <c r="L146" i="1"/>
  <c r="M146" i="1"/>
  <c r="L145" i="1"/>
  <c r="M145" i="1"/>
  <c r="L144" i="1"/>
  <c r="M144" i="1"/>
  <c r="L143" i="1"/>
  <c r="M143" i="1"/>
  <c r="L142" i="1"/>
  <c r="M142" i="1"/>
  <c r="L141" i="1"/>
  <c r="M141" i="1"/>
  <c r="L140" i="1"/>
  <c r="M140" i="1"/>
  <c r="L139" i="1"/>
  <c r="M139" i="1"/>
  <c r="L138" i="1"/>
  <c r="M138" i="1"/>
  <c r="L137" i="1"/>
  <c r="M137" i="1"/>
  <c r="L136" i="1"/>
  <c r="M136" i="1"/>
  <c r="L135" i="1"/>
  <c r="M135" i="1"/>
  <c r="L134" i="1"/>
  <c r="M134" i="1"/>
  <c r="L133" i="1"/>
  <c r="M133" i="1"/>
  <c r="L132" i="1"/>
  <c r="M132" i="1"/>
  <c r="L131" i="1"/>
  <c r="M131" i="1"/>
  <c r="L130" i="1"/>
  <c r="M130" i="1"/>
  <c r="L129" i="1"/>
  <c r="M129" i="1"/>
  <c r="L128" i="1"/>
  <c r="M128" i="1"/>
  <c r="L127" i="1"/>
  <c r="M127" i="1"/>
  <c r="L126" i="1"/>
  <c r="M126" i="1"/>
  <c r="L125" i="1"/>
  <c r="M125" i="1"/>
  <c r="L124" i="1"/>
  <c r="M124" i="1"/>
  <c r="L123" i="1"/>
  <c r="M123" i="1"/>
  <c r="L122" i="1"/>
  <c r="M122" i="1"/>
  <c r="L121" i="1"/>
  <c r="M121" i="1"/>
  <c r="L120" i="1"/>
  <c r="M120" i="1"/>
  <c r="L119" i="1"/>
  <c r="M119" i="1"/>
  <c r="L118" i="1"/>
  <c r="M118" i="1"/>
  <c r="L117" i="1"/>
  <c r="M117" i="1"/>
  <c r="L116" i="1"/>
  <c r="M116" i="1"/>
  <c r="L115" i="1"/>
  <c r="M115" i="1"/>
  <c r="L114" i="1"/>
  <c r="M114" i="1"/>
  <c r="L113" i="1"/>
  <c r="M113" i="1"/>
  <c r="L112" i="1"/>
  <c r="M112" i="1"/>
  <c r="L111" i="1"/>
  <c r="M111" i="1"/>
  <c r="L110" i="1"/>
  <c r="M110" i="1"/>
  <c r="L109" i="1"/>
  <c r="M109" i="1"/>
  <c r="L108" i="1"/>
  <c r="M108" i="1"/>
  <c r="L107" i="1"/>
  <c r="M107" i="1"/>
  <c r="L106" i="1"/>
  <c r="M106" i="1"/>
  <c r="L105" i="1"/>
  <c r="M105" i="1"/>
  <c r="L104" i="1"/>
  <c r="M104" i="1"/>
  <c r="L103" i="1"/>
  <c r="M103" i="1"/>
  <c r="L102" i="1"/>
  <c r="M102" i="1"/>
  <c r="L101" i="1"/>
  <c r="M101" i="1"/>
  <c r="L100" i="1"/>
  <c r="M100" i="1"/>
  <c r="L99" i="1"/>
  <c r="M99" i="1"/>
  <c r="L98" i="1"/>
  <c r="M98" i="1"/>
  <c r="L97" i="1"/>
  <c r="M97" i="1"/>
  <c r="L96" i="1"/>
  <c r="M96" i="1"/>
  <c r="L95" i="1"/>
  <c r="M95" i="1"/>
  <c r="L94" i="1"/>
  <c r="M94" i="1"/>
  <c r="L93" i="1"/>
  <c r="M93" i="1"/>
  <c r="L92" i="1"/>
  <c r="M92" i="1"/>
  <c r="L91" i="1"/>
  <c r="M91" i="1"/>
  <c r="L90" i="1"/>
  <c r="M90" i="1"/>
  <c r="L89" i="1"/>
  <c r="M89" i="1"/>
  <c r="L88" i="1"/>
  <c r="M88" i="1"/>
  <c r="L87" i="1"/>
  <c r="M87" i="1"/>
  <c r="L86" i="1"/>
  <c r="M86" i="1"/>
  <c r="L85" i="1"/>
  <c r="M85" i="1"/>
  <c r="L84" i="1"/>
  <c r="M84" i="1"/>
  <c r="L83" i="1"/>
  <c r="M83" i="1"/>
  <c r="L82" i="1"/>
  <c r="M82" i="1"/>
  <c r="L81" i="1"/>
  <c r="M81" i="1"/>
  <c r="L80" i="1"/>
  <c r="M80" i="1"/>
  <c r="L79" i="1"/>
  <c r="M79" i="1"/>
  <c r="L78" i="1"/>
  <c r="M78" i="1"/>
  <c r="L77" i="1"/>
  <c r="M77" i="1"/>
  <c r="L76" i="1"/>
  <c r="M76" i="1"/>
  <c r="L75" i="1"/>
  <c r="M75" i="1"/>
  <c r="L74" i="1"/>
  <c r="M74" i="1"/>
  <c r="L73" i="1"/>
  <c r="M73" i="1"/>
  <c r="L72" i="1"/>
  <c r="M72" i="1"/>
  <c r="L71" i="1"/>
  <c r="M71" i="1"/>
  <c r="L70" i="1"/>
  <c r="M70" i="1"/>
  <c r="L69" i="1"/>
  <c r="M69" i="1"/>
  <c r="L68" i="1"/>
  <c r="M68" i="1"/>
  <c r="L67" i="1"/>
  <c r="M67" i="1"/>
  <c r="L66" i="1"/>
  <c r="M66" i="1"/>
  <c r="L65" i="1"/>
  <c r="M65" i="1"/>
  <c r="L64" i="1"/>
  <c r="M64" i="1"/>
  <c r="L63" i="1"/>
  <c r="M63" i="1"/>
  <c r="L62" i="1"/>
  <c r="M62" i="1"/>
  <c r="L61" i="1"/>
  <c r="M61" i="1"/>
  <c r="L60" i="1"/>
  <c r="M60" i="1"/>
  <c r="L59" i="1"/>
  <c r="M59" i="1"/>
  <c r="L58" i="1"/>
  <c r="M58" i="1"/>
  <c r="L57" i="1"/>
  <c r="M57" i="1"/>
  <c r="L56" i="1"/>
  <c r="M56" i="1"/>
  <c r="L55" i="1"/>
  <c r="M55" i="1"/>
  <c r="L54" i="1"/>
  <c r="M54" i="1"/>
  <c r="L53" i="1"/>
  <c r="M53" i="1"/>
  <c r="L52" i="1"/>
  <c r="M52" i="1"/>
  <c r="L51" i="1"/>
  <c r="M51" i="1"/>
  <c r="L50" i="1"/>
  <c r="M50" i="1"/>
  <c r="L49" i="1"/>
  <c r="M49" i="1"/>
  <c r="L48" i="1"/>
  <c r="M48" i="1"/>
  <c r="L47" i="1"/>
  <c r="M47" i="1"/>
  <c r="L46" i="1"/>
  <c r="M46" i="1"/>
  <c r="L45" i="1"/>
  <c r="M45" i="1"/>
  <c r="L44" i="1"/>
  <c r="M44" i="1"/>
  <c r="L43" i="1"/>
  <c r="M43" i="1"/>
  <c r="L42" i="1"/>
  <c r="M42" i="1"/>
  <c r="L41" i="1"/>
  <c r="M41" i="1"/>
  <c r="L40" i="1"/>
  <c r="M40" i="1"/>
  <c r="L39" i="1"/>
  <c r="M39" i="1"/>
  <c r="L38" i="1"/>
  <c r="M38" i="1"/>
  <c r="L37" i="1"/>
  <c r="M37" i="1"/>
  <c r="L36" i="1"/>
  <c r="M36" i="1"/>
  <c r="L35" i="1"/>
  <c r="M35" i="1"/>
  <c r="L34" i="1"/>
  <c r="M34" i="1"/>
  <c r="L33" i="1"/>
  <c r="M33" i="1"/>
  <c r="L32" i="1"/>
  <c r="M32" i="1"/>
  <c r="L31" i="1"/>
  <c r="M31" i="1"/>
  <c r="L30" i="1"/>
  <c r="M30" i="1"/>
  <c r="L29" i="1"/>
  <c r="M29" i="1"/>
  <c r="L28" i="1"/>
  <c r="M28" i="1"/>
  <c r="L27" i="1"/>
  <c r="M27" i="1"/>
  <c r="L26" i="1"/>
  <c r="M26" i="1"/>
  <c r="L25" i="1"/>
  <c r="M25" i="1"/>
  <c r="L24" i="1"/>
  <c r="M24" i="1"/>
  <c r="L23" i="1"/>
  <c r="M23" i="1"/>
  <c r="L22" i="1"/>
  <c r="M22" i="1"/>
  <c r="L21" i="1"/>
  <c r="M21" i="1"/>
  <c r="L20" i="1"/>
  <c r="M20" i="1"/>
  <c r="L19" i="1"/>
  <c r="M19" i="1"/>
  <c r="L18" i="1"/>
  <c r="M18" i="1"/>
  <c r="L17" i="1"/>
  <c r="M17" i="1"/>
  <c r="L16" i="1"/>
  <c r="M16" i="1"/>
  <c r="L15" i="1"/>
  <c r="M15" i="1"/>
  <c r="L14" i="1"/>
  <c r="M14" i="1"/>
  <c r="L13" i="1"/>
  <c r="M13" i="1"/>
  <c r="L12" i="1"/>
  <c r="M12" i="1"/>
  <c r="L11" i="1"/>
  <c r="M11" i="1"/>
  <c r="L10" i="1"/>
  <c r="M10" i="1"/>
  <c r="L9" i="1"/>
  <c r="M9" i="1"/>
  <c r="L8" i="1"/>
  <c r="M8" i="1"/>
  <c r="L7" i="1"/>
  <c r="M7" i="1"/>
  <c r="L6" i="1"/>
  <c r="M6" i="1"/>
  <c r="L5" i="1"/>
  <c r="M5" i="1"/>
  <c r="L4" i="1"/>
  <c r="M4" i="1"/>
  <c r="L3" i="1"/>
  <c r="M3" i="1"/>
  <c r="L2" i="1"/>
  <c r="M2" i="1" s="1"/>
  <c r="S2" i="1" s="1"/>
  <c r="N601" i="1" l="1"/>
  <c r="P601" i="1" s="1"/>
  <c r="S601" i="1"/>
  <c r="N600" i="1"/>
  <c r="P600" i="1" s="1"/>
  <c r="S600" i="1"/>
  <c r="N599" i="1"/>
  <c r="P599" i="1" s="1"/>
  <c r="S599" i="1"/>
  <c r="N598" i="1"/>
  <c r="P598" i="1" s="1"/>
  <c r="S598" i="1"/>
  <c r="N597" i="1"/>
  <c r="P597" i="1" s="1"/>
  <c r="S597" i="1"/>
  <c r="N596" i="1"/>
  <c r="P596" i="1" s="1"/>
  <c r="S596" i="1"/>
  <c r="N595" i="1"/>
  <c r="P595" i="1" s="1"/>
  <c r="S595" i="1"/>
  <c r="N594" i="1"/>
  <c r="P594" i="1" s="1"/>
  <c r="S594" i="1"/>
  <c r="N593" i="1"/>
  <c r="P593" i="1" s="1"/>
  <c r="S593" i="1"/>
  <c r="N592" i="1"/>
  <c r="P592" i="1" s="1"/>
  <c r="S592" i="1"/>
  <c r="N591" i="1"/>
  <c r="P591" i="1" s="1"/>
  <c r="S591" i="1"/>
  <c r="N590" i="1"/>
  <c r="P590" i="1" s="1"/>
  <c r="S590" i="1"/>
  <c r="N589" i="1"/>
  <c r="P589" i="1" s="1"/>
  <c r="S589" i="1"/>
  <c r="N588" i="1"/>
  <c r="P588" i="1" s="1"/>
  <c r="S588" i="1"/>
  <c r="N587" i="1"/>
  <c r="P587" i="1" s="1"/>
  <c r="S587" i="1"/>
  <c r="N586" i="1"/>
  <c r="P586" i="1" s="1"/>
  <c r="S586" i="1"/>
  <c r="N585" i="1"/>
  <c r="P585" i="1" s="1"/>
  <c r="S585" i="1"/>
  <c r="N584" i="1"/>
  <c r="P584" i="1" s="1"/>
  <c r="S584" i="1"/>
  <c r="N583" i="1"/>
  <c r="P583" i="1" s="1"/>
  <c r="S583" i="1"/>
  <c r="N582" i="1"/>
  <c r="P582" i="1" s="1"/>
  <c r="S582" i="1"/>
  <c r="N581" i="1"/>
  <c r="P581" i="1" s="1"/>
  <c r="S581" i="1"/>
  <c r="N580" i="1"/>
  <c r="P580" i="1" s="1"/>
  <c r="S580" i="1"/>
  <c r="N579" i="1"/>
  <c r="P579" i="1" s="1"/>
  <c r="S579" i="1"/>
  <c r="N578" i="1"/>
  <c r="P578" i="1" s="1"/>
  <c r="S578" i="1"/>
  <c r="N577" i="1"/>
  <c r="P577" i="1" s="1"/>
  <c r="S577" i="1"/>
  <c r="N576" i="1"/>
  <c r="P576" i="1" s="1"/>
  <c r="S576" i="1"/>
  <c r="N575" i="1"/>
  <c r="P575" i="1" s="1"/>
  <c r="S575" i="1"/>
  <c r="N574" i="1"/>
  <c r="P574" i="1" s="1"/>
  <c r="S574" i="1"/>
  <c r="N573" i="1"/>
  <c r="P573" i="1" s="1"/>
  <c r="S573" i="1"/>
  <c r="N572" i="1"/>
  <c r="P572" i="1" s="1"/>
  <c r="S572" i="1"/>
  <c r="N571" i="1"/>
  <c r="P571" i="1" s="1"/>
  <c r="S571" i="1"/>
  <c r="N570" i="1"/>
  <c r="P570" i="1" s="1"/>
  <c r="S570" i="1"/>
  <c r="N569" i="1"/>
  <c r="P569" i="1" s="1"/>
  <c r="S569" i="1"/>
  <c r="N568" i="1"/>
  <c r="P568" i="1" s="1"/>
  <c r="S568" i="1"/>
  <c r="N567" i="1"/>
  <c r="P567" i="1" s="1"/>
  <c r="S567" i="1"/>
  <c r="N566" i="1"/>
  <c r="P566" i="1" s="1"/>
  <c r="S566" i="1"/>
  <c r="N565" i="1"/>
  <c r="P565" i="1" s="1"/>
  <c r="S565" i="1"/>
  <c r="N564" i="1"/>
  <c r="P564" i="1" s="1"/>
  <c r="S564" i="1"/>
  <c r="N563" i="1"/>
  <c r="P563" i="1" s="1"/>
  <c r="S563" i="1"/>
  <c r="N562" i="1"/>
  <c r="P562" i="1" s="1"/>
  <c r="S562" i="1"/>
  <c r="N561" i="1"/>
  <c r="P561" i="1" s="1"/>
  <c r="S561" i="1"/>
  <c r="N560" i="1"/>
  <c r="P560" i="1" s="1"/>
  <c r="S560" i="1"/>
  <c r="N559" i="1"/>
  <c r="P559" i="1" s="1"/>
  <c r="S559" i="1"/>
  <c r="N558" i="1"/>
  <c r="P558" i="1" s="1"/>
  <c r="S558" i="1"/>
  <c r="N557" i="1"/>
  <c r="P557" i="1" s="1"/>
  <c r="S557" i="1"/>
  <c r="N556" i="1"/>
  <c r="P556" i="1" s="1"/>
  <c r="S556" i="1"/>
  <c r="N555" i="1"/>
  <c r="P555" i="1" s="1"/>
  <c r="S555" i="1"/>
  <c r="N554" i="1"/>
  <c r="P554" i="1" s="1"/>
  <c r="S554" i="1"/>
  <c r="N553" i="1"/>
  <c r="P553" i="1" s="1"/>
  <c r="S553" i="1"/>
  <c r="N552" i="1"/>
  <c r="P552" i="1" s="1"/>
  <c r="S552" i="1"/>
  <c r="N551" i="1"/>
  <c r="P551" i="1" s="1"/>
  <c r="S551" i="1"/>
  <c r="N550" i="1"/>
  <c r="P550" i="1" s="1"/>
  <c r="S550" i="1"/>
  <c r="N549" i="1"/>
  <c r="P549" i="1" s="1"/>
  <c r="S549" i="1"/>
  <c r="N548" i="1"/>
  <c r="P548" i="1" s="1"/>
  <c r="S548" i="1"/>
  <c r="N547" i="1"/>
  <c r="P547" i="1" s="1"/>
  <c r="S547" i="1"/>
  <c r="N546" i="1"/>
  <c r="P546" i="1" s="1"/>
  <c r="S546" i="1"/>
  <c r="N545" i="1"/>
  <c r="P545" i="1" s="1"/>
  <c r="S545" i="1"/>
  <c r="N544" i="1"/>
  <c r="P544" i="1" s="1"/>
  <c r="S544" i="1"/>
  <c r="N543" i="1"/>
  <c r="P543" i="1" s="1"/>
  <c r="S543" i="1"/>
  <c r="N542" i="1"/>
  <c r="P542" i="1" s="1"/>
  <c r="S542" i="1"/>
  <c r="N541" i="1"/>
  <c r="P541" i="1" s="1"/>
  <c r="S541" i="1"/>
  <c r="N540" i="1"/>
  <c r="P540" i="1" s="1"/>
  <c r="S540" i="1"/>
  <c r="N539" i="1"/>
  <c r="P539" i="1" s="1"/>
  <c r="S539" i="1"/>
  <c r="N538" i="1"/>
  <c r="P538" i="1" s="1"/>
  <c r="S538" i="1"/>
  <c r="N537" i="1"/>
  <c r="P537" i="1" s="1"/>
  <c r="S537" i="1"/>
  <c r="N536" i="1"/>
  <c r="P536" i="1" s="1"/>
  <c r="S536" i="1"/>
  <c r="N535" i="1"/>
  <c r="P535" i="1" s="1"/>
  <c r="S535" i="1"/>
  <c r="N534" i="1"/>
  <c r="P534" i="1" s="1"/>
  <c r="S534" i="1"/>
  <c r="N533" i="1"/>
  <c r="P533" i="1" s="1"/>
  <c r="S533" i="1"/>
  <c r="N532" i="1"/>
  <c r="P532" i="1" s="1"/>
  <c r="S532" i="1"/>
  <c r="N531" i="1"/>
  <c r="P531" i="1" s="1"/>
  <c r="S531" i="1"/>
  <c r="N530" i="1"/>
  <c r="P530" i="1" s="1"/>
  <c r="S530" i="1"/>
  <c r="N529" i="1"/>
  <c r="P529" i="1" s="1"/>
  <c r="S529" i="1"/>
  <c r="N528" i="1"/>
  <c r="P528" i="1" s="1"/>
  <c r="S528" i="1"/>
  <c r="N527" i="1"/>
  <c r="P527" i="1" s="1"/>
  <c r="S527" i="1"/>
  <c r="N526" i="1"/>
  <c r="P526" i="1" s="1"/>
  <c r="S526" i="1"/>
  <c r="N525" i="1"/>
  <c r="P525" i="1" s="1"/>
  <c r="S525" i="1"/>
  <c r="N524" i="1"/>
  <c r="P524" i="1" s="1"/>
  <c r="S524" i="1"/>
  <c r="N523" i="1"/>
  <c r="P523" i="1" s="1"/>
  <c r="S523" i="1"/>
  <c r="N522" i="1"/>
  <c r="P522" i="1" s="1"/>
  <c r="S522" i="1"/>
  <c r="N521" i="1"/>
  <c r="P521" i="1" s="1"/>
  <c r="S521" i="1"/>
  <c r="N520" i="1"/>
  <c r="P520" i="1" s="1"/>
  <c r="S520" i="1"/>
  <c r="N519" i="1"/>
  <c r="P519" i="1" s="1"/>
  <c r="S519" i="1"/>
  <c r="N518" i="1"/>
  <c r="P518" i="1" s="1"/>
  <c r="S518" i="1"/>
  <c r="N517" i="1"/>
  <c r="P517" i="1" s="1"/>
  <c r="S517" i="1"/>
  <c r="N516" i="1"/>
  <c r="P516" i="1" s="1"/>
  <c r="S516" i="1"/>
  <c r="N515" i="1"/>
  <c r="P515" i="1" s="1"/>
  <c r="S515" i="1"/>
  <c r="N514" i="1"/>
  <c r="P514" i="1" s="1"/>
  <c r="S514" i="1"/>
  <c r="N513" i="1"/>
  <c r="P513" i="1" s="1"/>
  <c r="S513" i="1"/>
  <c r="N512" i="1"/>
  <c r="P512" i="1" s="1"/>
  <c r="S512" i="1"/>
  <c r="N511" i="1"/>
  <c r="P511" i="1" s="1"/>
  <c r="S511" i="1"/>
  <c r="N510" i="1"/>
  <c r="P510" i="1" s="1"/>
  <c r="S510" i="1"/>
  <c r="N509" i="1"/>
  <c r="P509" i="1" s="1"/>
  <c r="S509" i="1"/>
  <c r="N508" i="1"/>
  <c r="P508" i="1" s="1"/>
  <c r="S508" i="1"/>
  <c r="N507" i="1"/>
  <c r="P507" i="1" s="1"/>
  <c r="S507" i="1"/>
  <c r="N506" i="1"/>
  <c r="P506" i="1" s="1"/>
  <c r="S506" i="1"/>
  <c r="N505" i="1"/>
  <c r="P505" i="1" s="1"/>
  <c r="S505" i="1"/>
  <c r="N504" i="1"/>
  <c r="P504" i="1" s="1"/>
  <c r="S504" i="1"/>
  <c r="N503" i="1"/>
  <c r="P503" i="1" s="1"/>
  <c r="S503" i="1"/>
  <c r="N502" i="1"/>
  <c r="P502" i="1" s="1"/>
  <c r="S502" i="1"/>
  <c r="N501" i="1"/>
  <c r="P501" i="1" s="1"/>
  <c r="S501" i="1"/>
  <c r="N500" i="1"/>
  <c r="P500" i="1" s="1"/>
  <c r="S500" i="1"/>
  <c r="N499" i="1"/>
  <c r="P499" i="1" s="1"/>
  <c r="S499" i="1"/>
  <c r="N498" i="1"/>
  <c r="P498" i="1" s="1"/>
  <c r="S498" i="1"/>
  <c r="N497" i="1"/>
  <c r="P497" i="1" s="1"/>
  <c r="S497" i="1"/>
  <c r="N496" i="1"/>
  <c r="P496" i="1" s="1"/>
  <c r="S496" i="1"/>
  <c r="N495" i="1"/>
  <c r="P495" i="1" s="1"/>
  <c r="S495" i="1"/>
  <c r="N494" i="1"/>
  <c r="P494" i="1" s="1"/>
  <c r="S494" i="1"/>
  <c r="N493" i="1"/>
  <c r="P493" i="1" s="1"/>
  <c r="S493" i="1"/>
  <c r="N492" i="1"/>
  <c r="P492" i="1" s="1"/>
  <c r="S492" i="1"/>
  <c r="N491" i="1"/>
  <c r="P491" i="1" s="1"/>
  <c r="S491" i="1"/>
  <c r="N490" i="1"/>
  <c r="P490" i="1" s="1"/>
  <c r="S490" i="1"/>
  <c r="N489" i="1"/>
  <c r="P489" i="1" s="1"/>
  <c r="S489" i="1"/>
  <c r="N488" i="1"/>
  <c r="P488" i="1" s="1"/>
  <c r="S488" i="1"/>
  <c r="N487" i="1"/>
  <c r="P487" i="1" s="1"/>
  <c r="S487" i="1"/>
  <c r="N486" i="1"/>
  <c r="P486" i="1" s="1"/>
  <c r="S486" i="1"/>
  <c r="N485" i="1"/>
  <c r="P485" i="1" s="1"/>
  <c r="S485" i="1"/>
  <c r="N484" i="1"/>
  <c r="P484" i="1" s="1"/>
  <c r="S484" i="1"/>
  <c r="N483" i="1"/>
  <c r="P483" i="1" s="1"/>
  <c r="S483" i="1"/>
  <c r="N482" i="1"/>
  <c r="P482" i="1" s="1"/>
  <c r="S482" i="1"/>
  <c r="N481" i="1"/>
  <c r="P481" i="1" s="1"/>
  <c r="S481" i="1"/>
  <c r="N480" i="1"/>
  <c r="P480" i="1" s="1"/>
  <c r="S480" i="1"/>
  <c r="N479" i="1"/>
  <c r="P479" i="1" s="1"/>
  <c r="S479" i="1"/>
  <c r="N478" i="1"/>
  <c r="P478" i="1" s="1"/>
  <c r="S478" i="1"/>
  <c r="N477" i="1"/>
  <c r="P477" i="1" s="1"/>
  <c r="S477" i="1"/>
  <c r="N476" i="1"/>
  <c r="P476" i="1" s="1"/>
  <c r="S476" i="1"/>
  <c r="N475" i="1"/>
  <c r="P475" i="1" s="1"/>
  <c r="S475" i="1"/>
  <c r="N474" i="1"/>
  <c r="P474" i="1" s="1"/>
  <c r="S474" i="1"/>
  <c r="N473" i="1"/>
  <c r="P473" i="1" s="1"/>
  <c r="S473" i="1"/>
  <c r="N472" i="1"/>
  <c r="P472" i="1" s="1"/>
  <c r="S472" i="1"/>
  <c r="N471" i="1"/>
  <c r="P471" i="1" s="1"/>
  <c r="S471" i="1"/>
  <c r="N470" i="1"/>
  <c r="P470" i="1" s="1"/>
  <c r="S470" i="1"/>
  <c r="N469" i="1"/>
  <c r="P469" i="1" s="1"/>
  <c r="S469" i="1"/>
  <c r="N468" i="1"/>
  <c r="P468" i="1" s="1"/>
  <c r="S468" i="1"/>
  <c r="N467" i="1"/>
  <c r="P467" i="1" s="1"/>
  <c r="S467" i="1"/>
  <c r="N466" i="1"/>
  <c r="P466" i="1" s="1"/>
  <c r="S466" i="1"/>
  <c r="N465" i="1"/>
  <c r="P465" i="1" s="1"/>
  <c r="S465" i="1"/>
  <c r="N464" i="1"/>
  <c r="P464" i="1" s="1"/>
  <c r="S464" i="1"/>
  <c r="N463" i="1"/>
  <c r="P463" i="1" s="1"/>
  <c r="S463" i="1"/>
  <c r="N462" i="1"/>
  <c r="P462" i="1" s="1"/>
  <c r="S462" i="1"/>
  <c r="N461" i="1"/>
  <c r="P461" i="1" s="1"/>
  <c r="S461" i="1"/>
  <c r="N460" i="1"/>
  <c r="P460" i="1" s="1"/>
  <c r="S460" i="1"/>
  <c r="N459" i="1"/>
  <c r="P459" i="1" s="1"/>
  <c r="S459" i="1"/>
  <c r="N458" i="1"/>
  <c r="P458" i="1" s="1"/>
  <c r="S458" i="1"/>
  <c r="N457" i="1"/>
  <c r="P457" i="1" s="1"/>
  <c r="S457" i="1"/>
  <c r="N456" i="1"/>
  <c r="P456" i="1" s="1"/>
  <c r="S456" i="1"/>
  <c r="N455" i="1"/>
  <c r="P455" i="1" s="1"/>
  <c r="S455" i="1"/>
  <c r="N454" i="1"/>
  <c r="P454" i="1" s="1"/>
  <c r="S454" i="1"/>
  <c r="N453" i="1"/>
  <c r="P453" i="1" s="1"/>
  <c r="S453" i="1"/>
  <c r="N452" i="1"/>
  <c r="P452" i="1" s="1"/>
  <c r="S452" i="1"/>
  <c r="N451" i="1"/>
  <c r="P451" i="1" s="1"/>
  <c r="S451" i="1"/>
  <c r="N450" i="1"/>
  <c r="P450" i="1" s="1"/>
  <c r="S450" i="1"/>
  <c r="N449" i="1"/>
  <c r="P449" i="1" s="1"/>
  <c r="S449" i="1"/>
  <c r="N448" i="1"/>
  <c r="P448" i="1" s="1"/>
  <c r="S448" i="1"/>
  <c r="N447" i="1"/>
  <c r="P447" i="1" s="1"/>
  <c r="S447" i="1"/>
  <c r="N446" i="1"/>
  <c r="P446" i="1" s="1"/>
  <c r="S446" i="1"/>
  <c r="N445" i="1"/>
  <c r="P445" i="1" s="1"/>
  <c r="S445" i="1"/>
  <c r="N444" i="1"/>
  <c r="P444" i="1" s="1"/>
  <c r="S444" i="1"/>
  <c r="N443" i="1"/>
  <c r="P443" i="1" s="1"/>
  <c r="S443" i="1"/>
  <c r="N442" i="1"/>
  <c r="P442" i="1" s="1"/>
  <c r="S442" i="1"/>
  <c r="N441" i="1"/>
  <c r="P441" i="1" s="1"/>
  <c r="S441" i="1"/>
  <c r="N440" i="1"/>
  <c r="P440" i="1" s="1"/>
  <c r="S440" i="1"/>
  <c r="N439" i="1"/>
  <c r="P439" i="1" s="1"/>
  <c r="S439" i="1"/>
  <c r="N438" i="1"/>
  <c r="P438" i="1" s="1"/>
  <c r="S438" i="1"/>
  <c r="N437" i="1"/>
  <c r="P437" i="1" s="1"/>
  <c r="S437" i="1"/>
  <c r="N436" i="1"/>
  <c r="P436" i="1" s="1"/>
  <c r="S436" i="1"/>
  <c r="N435" i="1"/>
  <c r="P435" i="1" s="1"/>
  <c r="S435" i="1"/>
  <c r="N434" i="1"/>
  <c r="P434" i="1" s="1"/>
  <c r="S434" i="1"/>
  <c r="N433" i="1"/>
  <c r="P433" i="1" s="1"/>
  <c r="S433" i="1"/>
  <c r="N432" i="1"/>
  <c r="P432" i="1" s="1"/>
  <c r="S432" i="1"/>
  <c r="N431" i="1"/>
  <c r="P431" i="1" s="1"/>
  <c r="S431" i="1"/>
  <c r="N430" i="1"/>
  <c r="P430" i="1" s="1"/>
  <c r="S430" i="1"/>
  <c r="N429" i="1"/>
  <c r="P429" i="1" s="1"/>
  <c r="S429" i="1"/>
  <c r="N428" i="1"/>
  <c r="P428" i="1" s="1"/>
  <c r="S428" i="1"/>
  <c r="N427" i="1"/>
  <c r="P427" i="1" s="1"/>
  <c r="S427" i="1"/>
  <c r="N426" i="1"/>
  <c r="P426" i="1" s="1"/>
  <c r="S426" i="1"/>
  <c r="N425" i="1"/>
  <c r="P425" i="1" s="1"/>
  <c r="S425" i="1"/>
  <c r="N424" i="1"/>
  <c r="P424" i="1" s="1"/>
  <c r="S424" i="1"/>
  <c r="N423" i="1"/>
  <c r="P423" i="1" s="1"/>
  <c r="S423" i="1"/>
  <c r="N422" i="1"/>
  <c r="P422" i="1" s="1"/>
  <c r="S422" i="1"/>
  <c r="N421" i="1"/>
  <c r="P421" i="1" s="1"/>
  <c r="S421" i="1"/>
  <c r="N420" i="1"/>
  <c r="P420" i="1" s="1"/>
  <c r="S420" i="1"/>
  <c r="N419" i="1"/>
  <c r="P419" i="1" s="1"/>
  <c r="S419" i="1"/>
  <c r="N418" i="1"/>
  <c r="P418" i="1" s="1"/>
  <c r="S418" i="1"/>
  <c r="N417" i="1"/>
  <c r="P417" i="1" s="1"/>
  <c r="S417" i="1"/>
  <c r="N416" i="1"/>
  <c r="P416" i="1" s="1"/>
  <c r="S416" i="1"/>
  <c r="N415" i="1"/>
  <c r="P415" i="1" s="1"/>
  <c r="S415" i="1"/>
  <c r="N414" i="1"/>
  <c r="P414" i="1" s="1"/>
  <c r="S414" i="1"/>
  <c r="N413" i="1"/>
  <c r="P413" i="1" s="1"/>
  <c r="S413" i="1"/>
  <c r="N412" i="1"/>
  <c r="P412" i="1" s="1"/>
  <c r="S412" i="1"/>
  <c r="N411" i="1"/>
  <c r="P411" i="1" s="1"/>
  <c r="S411" i="1"/>
  <c r="N410" i="1"/>
  <c r="P410" i="1" s="1"/>
  <c r="S410" i="1"/>
  <c r="N409" i="1"/>
  <c r="P409" i="1" s="1"/>
  <c r="S409" i="1"/>
  <c r="N408" i="1"/>
  <c r="P408" i="1" s="1"/>
  <c r="S408" i="1"/>
  <c r="N407" i="1"/>
  <c r="P407" i="1" s="1"/>
  <c r="S407" i="1"/>
  <c r="N406" i="1"/>
  <c r="P406" i="1" s="1"/>
  <c r="S406" i="1"/>
  <c r="N405" i="1"/>
  <c r="P405" i="1" s="1"/>
  <c r="S405" i="1"/>
  <c r="N404" i="1"/>
  <c r="P404" i="1" s="1"/>
  <c r="S404" i="1"/>
  <c r="N403" i="1"/>
  <c r="P403" i="1" s="1"/>
  <c r="S403" i="1"/>
  <c r="N402" i="1"/>
  <c r="P402" i="1" s="1"/>
  <c r="S402" i="1"/>
  <c r="N401" i="1"/>
  <c r="P401" i="1" s="1"/>
  <c r="S401" i="1"/>
  <c r="N400" i="1"/>
  <c r="P400" i="1" s="1"/>
  <c r="S400" i="1"/>
  <c r="N399" i="1"/>
  <c r="P399" i="1" s="1"/>
  <c r="S399" i="1"/>
  <c r="N398" i="1"/>
  <c r="P398" i="1" s="1"/>
  <c r="S398" i="1"/>
  <c r="N397" i="1"/>
  <c r="P397" i="1" s="1"/>
  <c r="S397" i="1"/>
  <c r="N396" i="1"/>
  <c r="P396" i="1" s="1"/>
  <c r="S396" i="1"/>
  <c r="N395" i="1"/>
  <c r="P395" i="1" s="1"/>
  <c r="S395" i="1"/>
  <c r="N394" i="1"/>
  <c r="P394" i="1" s="1"/>
  <c r="S394" i="1"/>
  <c r="N393" i="1"/>
  <c r="P393" i="1" s="1"/>
  <c r="S393" i="1"/>
  <c r="N392" i="1"/>
  <c r="P392" i="1" s="1"/>
  <c r="S392" i="1"/>
  <c r="N391" i="1"/>
  <c r="P391" i="1" s="1"/>
  <c r="S391" i="1"/>
  <c r="N390" i="1"/>
  <c r="P390" i="1" s="1"/>
  <c r="S390" i="1"/>
  <c r="N389" i="1"/>
  <c r="P389" i="1" s="1"/>
  <c r="S389" i="1"/>
  <c r="N388" i="1"/>
  <c r="P388" i="1" s="1"/>
  <c r="S388" i="1"/>
  <c r="N387" i="1"/>
  <c r="P387" i="1" s="1"/>
  <c r="S387" i="1"/>
  <c r="N386" i="1"/>
  <c r="P386" i="1" s="1"/>
  <c r="S386" i="1"/>
  <c r="N385" i="1"/>
  <c r="P385" i="1" s="1"/>
  <c r="S385" i="1"/>
  <c r="N384" i="1"/>
  <c r="P384" i="1" s="1"/>
  <c r="S384" i="1"/>
  <c r="N383" i="1"/>
  <c r="P383" i="1" s="1"/>
  <c r="S383" i="1"/>
  <c r="N382" i="1"/>
  <c r="P382" i="1" s="1"/>
  <c r="S382" i="1"/>
  <c r="N381" i="1"/>
  <c r="P381" i="1" s="1"/>
  <c r="S381" i="1"/>
  <c r="N380" i="1"/>
  <c r="P380" i="1" s="1"/>
  <c r="S380" i="1"/>
  <c r="N379" i="1"/>
  <c r="P379" i="1" s="1"/>
  <c r="S379" i="1"/>
  <c r="N378" i="1"/>
  <c r="P378" i="1" s="1"/>
  <c r="S378" i="1"/>
  <c r="N377" i="1"/>
  <c r="P377" i="1" s="1"/>
  <c r="S377" i="1"/>
  <c r="N376" i="1"/>
  <c r="P376" i="1" s="1"/>
  <c r="S376" i="1"/>
  <c r="N375" i="1"/>
  <c r="P375" i="1" s="1"/>
  <c r="S375" i="1"/>
  <c r="N374" i="1"/>
  <c r="P374" i="1" s="1"/>
  <c r="S374" i="1"/>
  <c r="N373" i="1"/>
  <c r="P373" i="1" s="1"/>
  <c r="S373" i="1"/>
  <c r="N372" i="1"/>
  <c r="P372" i="1" s="1"/>
  <c r="S372" i="1"/>
  <c r="N371" i="1"/>
  <c r="P371" i="1" s="1"/>
  <c r="S371" i="1"/>
  <c r="N370" i="1"/>
  <c r="P370" i="1" s="1"/>
  <c r="S370" i="1"/>
  <c r="N369" i="1"/>
  <c r="P369" i="1" s="1"/>
  <c r="S369" i="1"/>
  <c r="N368" i="1"/>
  <c r="P368" i="1" s="1"/>
  <c r="S368" i="1"/>
  <c r="N367" i="1"/>
  <c r="P367" i="1" s="1"/>
  <c r="S367" i="1"/>
  <c r="N366" i="1"/>
  <c r="P366" i="1" s="1"/>
  <c r="S366" i="1"/>
  <c r="N365" i="1"/>
  <c r="P365" i="1" s="1"/>
  <c r="S365" i="1"/>
  <c r="N364" i="1"/>
  <c r="P364" i="1" s="1"/>
  <c r="S364" i="1"/>
  <c r="N363" i="1"/>
  <c r="P363" i="1" s="1"/>
  <c r="S363" i="1"/>
  <c r="N362" i="1"/>
  <c r="P362" i="1" s="1"/>
  <c r="S362" i="1"/>
  <c r="N361" i="1"/>
  <c r="P361" i="1" s="1"/>
  <c r="S361" i="1"/>
  <c r="N360" i="1"/>
  <c r="P360" i="1" s="1"/>
  <c r="S360" i="1"/>
  <c r="N359" i="1"/>
  <c r="P359" i="1" s="1"/>
  <c r="S359" i="1"/>
  <c r="N358" i="1"/>
  <c r="P358" i="1" s="1"/>
  <c r="S358" i="1"/>
  <c r="N357" i="1"/>
  <c r="P357" i="1" s="1"/>
  <c r="S357" i="1"/>
  <c r="N356" i="1"/>
  <c r="P356" i="1" s="1"/>
  <c r="S356" i="1"/>
  <c r="N355" i="1"/>
  <c r="P355" i="1" s="1"/>
  <c r="S355" i="1"/>
  <c r="N354" i="1"/>
  <c r="P354" i="1" s="1"/>
  <c r="S354" i="1"/>
  <c r="N353" i="1"/>
  <c r="P353" i="1" s="1"/>
  <c r="S353" i="1"/>
  <c r="N352" i="1"/>
  <c r="P352" i="1" s="1"/>
  <c r="S352" i="1"/>
  <c r="N351" i="1"/>
  <c r="P351" i="1" s="1"/>
  <c r="S351" i="1"/>
  <c r="N350" i="1"/>
  <c r="P350" i="1" s="1"/>
  <c r="S350" i="1"/>
  <c r="N349" i="1"/>
  <c r="P349" i="1" s="1"/>
  <c r="S349" i="1"/>
  <c r="N348" i="1"/>
  <c r="P348" i="1" s="1"/>
  <c r="S348" i="1"/>
  <c r="N347" i="1"/>
  <c r="P347" i="1" s="1"/>
  <c r="S347" i="1"/>
  <c r="N346" i="1"/>
  <c r="P346" i="1" s="1"/>
  <c r="S346" i="1"/>
  <c r="N345" i="1"/>
  <c r="P345" i="1" s="1"/>
  <c r="S345" i="1"/>
  <c r="N344" i="1"/>
  <c r="P344" i="1" s="1"/>
  <c r="S344" i="1"/>
  <c r="N343" i="1"/>
  <c r="P343" i="1" s="1"/>
  <c r="S343" i="1"/>
  <c r="N342" i="1"/>
  <c r="P342" i="1" s="1"/>
  <c r="S342" i="1"/>
  <c r="N341" i="1"/>
  <c r="P341" i="1" s="1"/>
  <c r="S341" i="1"/>
  <c r="N340" i="1"/>
  <c r="P340" i="1" s="1"/>
  <c r="S340" i="1"/>
  <c r="N339" i="1"/>
  <c r="P339" i="1" s="1"/>
  <c r="S339" i="1"/>
  <c r="N338" i="1"/>
  <c r="P338" i="1" s="1"/>
  <c r="S338" i="1"/>
  <c r="N337" i="1"/>
  <c r="P337" i="1" s="1"/>
  <c r="S337" i="1"/>
  <c r="N336" i="1"/>
  <c r="P336" i="1" s="1"/>
  <c r="S336" i="1"/>
  <c r="N335" i="1"/>
  <c r="P335" i="1" s="1"/>
  <c r="S335" i="1"/>
  <c r="N334" i="1"/>
  <c r="P334" i="1" s="1"/>
  <c r="S334" i="1"/>
  <c r="N333" i="1"/>
  <c r="P333" i="1" s="1"/>
  <c r="S333" i="1"/>
  <c r="N332" i="1"/>
  <c r="P332" i="1" s="1"/>
  <c r="S332" i="1"/>
  <c r="N331" i="1"/>
  <c r="P331" i="1" s="1"/>
  <c r="S331" i="1"/>
  <c r="N330" i="1"/>
  <c r="P330" i="1" s="1"/>
  <c r="S330" i="1"/>
  <c r="N329" i="1"/>
  <c r="P329" i="1" s="1"/>
  <c r="S329" i="1"/>
  <c r="N328" i="1"/>
  <c r="P328" i="1" s="1"/>
  <c r="S328" i="1"/>
  <c r="N327" i="1"/>
  <c r="P327" i="1" s="1"/>
  <c r="S327" i="1"/>
  <c r="N326" i="1"/>
  <c r="P326" i="1" s="1"/>
  <c r="S326" i="1"/>
  <c r="N325" i="1"/>
  <c r="P325" i="1" s="1"/>
  <c r="S325" i="1"/>
  <c r="N324" i="1"/>
  <c r="P324" i="1" s="1"/>
  <c r="S324" i="1"/>
  <c r="N323" i="1"/>
  <c r="P323" i="1" s="1"/>
  <c r="S323" i="1"/>
  <c r="N322" i="1"/>
  <c r="P322" i="1" s="1"/>
  <c r="S322" i="1"/>
  <c r="N321" i="1"/>
  <c r="P321" i="1" s="1"/>
  <c r="S321" i="1"/>
  <c r="N320" i="1"/>
  <c r="P320" i="1" s="1"/>
  <c r="S320" i="1"/>
  <c r="N319" i="1"/>
  <c r="P319" i="1" s="1"/>
  <c r="S319" i="1"/>
  <c r="N318" i="1"/>
  <c r="P318" i="1" s="1"/>
  <c r="S318" i="1"/>
  <c r="N317" i="1"/>
  <c r="P317" i="1" s="1"/>
  <c r="S317" i="1"/>
  <c r="N316" i="1"/>
  <c r="P316" i="1" s="1"/>
  <c r="S316" i="1"/>
  <c r="N315" i="1"/>
  <c r="P315" i="1" s="1"/>
  <c r="S315" i="1"/>
  <c r="N314" i="1"/>
  <c r="P314" i="1" s="1"/>
  <c r="S314" i="1"/>
  <c r="N313" i="1"/>
  <c r="P313" i="1" s="1"/>
  <c r="S313" i="1"/>
  <c r="N312" i="1"/>
  <c r="P312" i="1" s="1"/>
  <c r="S312" i="1"/>
  <c r="N311" i="1"/>
  <c r="P311" i="1" s="1"/>
  <c r="S311" i="1"/>
  <c r="N310" i="1"/>
  <c r="P310" i="1" s="1"/>
  <c r="S310" i="1"/>
  <c r="N309" i="1"/>
  <c r="P309" i="1" s="1"/>
  <c r="S309" i="1"/>
  <c r="N308" i="1"/>
  <c r="P308" i="1" s="1"/>
  <c r="S308" i="1"/>
  <c r="N307" i="1"/>
  <c r="P307" i="1" s="1"/>
  <c r="S307" i="1"/>
  <c r="N306" i="1"/>
  <c r="P306" i="1" s="1"/>
  <c r="S306" i="1"/>
  <c r="N305" i="1"/>
  <c r="P305" i="1" s="1"/>
  <c r="S305" i="1"/>
  <c r="N304" i="1"/>
  <c r="P304" i="1" s="1"/>
  <c r="S304" i="1"/>
  <c r="N303" i="1"/>
  <c r="P303" i="1" s="1"/>
  <c r="S303" i="1"/>
  <c r="N302" i="1"/>
  <c r="P302" i="1" s="1"/>
  <c r="S302" i="1"/>
  <c r="N301" i="1"/>
  <c r="P301" i="1" s="1"/>
  <c r="S301" i="1"/>
  <c r="N300" i="1"/>
  <c r="P300" i="1" s="1"/>
  <c r="S300" i="1"/>
  <c r="N299" i="1"/>
  <c r="P299" i="1" s="1"/>
  <c r="S299" i="1"/>
  <c r="N298" i="1"/>
  <c r="P298" i="1" s="1"/>
  <c r="S298" i="1"/>
  <c r="N297" i="1"/>
  <c r="P297" i="1" s="1"/>
  <c r="S297" i="1"/>
  <c r="N296" i="1"/>
  <c r="P296" i="1" s="1"/>
  <c r="S296" i="1"/>
  <c r="N295" i="1"/>
  <c r="P295" i="1" s="1"/>
  <c r="S295" i="1"/>
  <c r="N294" i="1"/>
  <c r="P294" i="1" s="1"/>
  <c r="S294" i="1"/>
  <c r="N293" i="1"/>
  <c r="P293" i="1" s="1"/>
  <c r="S293" i="1"/>
  <c r="N292" i="1"/>
  <c r="P292" i="1" s="1"/>
  <c r="S292" i="1"/>
  <c r="N291" i="1"/>
  <c r="P291" i="1" s="1"/>
  <c r="S291" i="1"/>
  <c r="N290" i="1"/>
  <c r="P290" i="1" s="1"/>
  <c r="S290" i="1"/>
  <c r="N289" i="1"/>
  <c r="P289" i="1" s="1"/>
  <c r="S289" i="1"/>
  <c r="N288" i="1"/>
  <c r="P288" i="1" s="1"/>
  <c r="S288" i="1"/>
  <c r="N287" i="1"/>
  <c r="P287" i="1" s="1"/>
  <c r="S287" i="1"/>
  <c r="N286" i="1"/>
  <c r="P286" i="1" s="1"/>
  <c r="S286" i="1"/>
  <c r="N285" i="1"/>
  <c r="P285" i="1" s="1"/>
  <c r="S285" i="1"/>
  <c r="N284" i="1"/>
  <c r="P284" i="1" s="1"/>
  <c r="S284" i="1"/>
  <c r="N283" i="1"/>
  <c r="P283" i="1" s="1"/>
  <c r="S283" i="1"/>
  <c r="N282" i="1"/>
  <c r="P282" i="1" s="1"/>
  <c r="S282" i="1"/>
  <c r="N281" i="1"/>
  <c r="P281" i="1" s="1"/>
  <c r="S281" i="1"/>
  <c r="N280" i="1"/>
  <c r="P280" i="1" s="1"/>
  <c r="S280" i="1"/>
  <c r="N279" i="1"/>
  <c r="P279" i="1" s="1"/>
  <c r="S279" i="1"/>
  <c r="N278" i="1"/>
  <c r="P278" i="1" s="1"/>
  <c r="S278" i="1"/>
  <c r="N277" i="1"/>
  <c r="P277" i="1" s="1"/>
  <c r="S277" i="1"/>
  <c r="N276" i="1"/>
  <c r="P276" i="1" s="1"/>
  <c r="S276" i="1"/>
  <c r="N275" i="1"/>
  <c r="P275" i="1" s="1"/>
  <c r="S275" i="1"/>
  <c r="N274" i="1"/>
  <c r="P274" i="1" s="1"/>
  <c r="S274" i="1"/>
  <c r="N273" i="1"/>
  <c r="P273" i="1" s="1"/>
  <c r="S273" i="1"/>
  <c r="N272" i="1"/>
  <c r="P272" i="1" s="1"/>
  <c r="S272" i="1"/>
  <c r="N271" i="1"/>
  <c r="P271" i="1" s="1"/>
  <c r="S271" i="1"/>
  <c r="N270" i="1"/>
  <c r="P270" i="1" s="1"/>
  <c r="S270" i="1"/>
  <c r="N269" i="1"/>
  <c r="P269" i="1" s="1"/>
  <c r="S269" i="1"/>
  <c r="N268" i="1"/>
  <c r="P268" i="1" s="1"/>
  <c r="S268" i="1"/>
  <c r="N267" i="1"/>
  <c r="P267" i="1" s="1"/>
  <c r="S267" i="1"/>
  <c r="N266" i="1"/>
  <c r="P266" i="1" s="1"/>
  <c r="S266" i="1"/>
  <c r="N265" i="1"/>
  <c r="P265" i="1" s="1"/>
  <c r="S265" i="1"/>
  <c r="N264" i="1"/>
  <c r="P264" i="1" s="1"/>
  <c r="S264" i="1"/>
  <c r="N263" i="1"/>
  <c r="P263" i="1" s="1"/>
  <c r="S263" i="1"/>
  <c r="N262" i="1"/>
  <c r="P262" i="1" s="1"/>
  <c r="S262" i="1"/>
  <c r="N261" i="1"/>
  <c r="P261" i="1" s="1"/>
  <c r="S261" i="1"/>
  <c r="N260" i="1"/>
  <c r="P260" i="1" s="1"/>
  <c r="S260" i="1"/>
  <c r="N259" i="1"/>
  <c r="P259" i="1" s="1"/>
  <c r="S259" i="1"/>
  <c r="N258" i="1"/>
  <c r="P258" i="1" s="1"/>
  <c r="S258" i="1"/>
  <c r="N257" i="1"/>
  <c r="P257" i="1" s="1"/>
  <c r="S257" i="1"/>
  <c r="N256" i="1"/>
  <c r="P256" i="1" s="1"/>
  <c r="S256" i="1"/>
  <c r="N255" i="1"/>
  <c r="P255" i="1" s="1"/>
  <c r="S255" i="1"/>
  <c r="N254" i="1"/>
  <c r="P254" i="1" s="1"/>
  <c r="S254" i="1"/>
  <c r="N253" i="1"/>
  <c r="P253" i="1" s="1"/>
  <c r="S253" i="1"/>
  <c r="N252" i="1"/>
  <c r="P252" i="1" s="1"/>
  <c r="S252" i="1"/>
  <c r="N251" i="1"/>
  <c r="P251" i="1" s="1"/>
  <c r="S251" i="1"/>
  <c r="N250" i="1"/>
  <c r="P250" i="1" s="1"/>
  <c r="S250" i="1"/>
  <c r="N249" i="1"/>
  <c r="P249" i="1" s="1"/>
  <c r="S249" i="1"/>
  <c r="N248" i="1"/>
  <c r="P248" i="1" s="1"/>
  <c r="S248" i="1"/>
  <c r="N247" i="1"/>
  <c r="P247" i="1" s="1"/>
  <c r="S247" i="1"/>
  <c r="N246" i="1"/>
  <c r="P246" i="1" s="1"/>
  <c r="S246" i="1"/>
  <c r="N245" i="1"/>
  <c r="P245" i="1" s="1"/>
  <c r="S245" i="1"/>
  <c r="N244" i="1"/>
  <c r="P244" i="1" s="1"/>
  <c r="S244" i="1"/>
  <c r="N243" i="1"/>
  <c r="P243" i="1" s="1"/>
  <c r="S243" i="1"/>
  <c r="N242" i="1"/>
  <c r="P242" i="1" s="1"/>
  <c r="S242" i="1"/>
  <c r="N241" i="1"/>
  <c r="P241" i="1" s="1"/>
  <c r="S241" i="1"/>
  <c r="N240" i="1"/>
  <c r="P240" i="1" s="1"/>
  <c r="S240" i="1"/>
  <c r="N239" i="1"/>
  <c r="P239" i="1" s="1"/>
  <c r="S239" i="1"/>
  <c r="N238" i="1"/>
  <c r="P238" i="1" s="1"/>
  <c r="S238" i="1"/>
  <c r="N237" i="1"/>
  <c r="P237" i="1" s="1"/>
  <c r="S237" i="1"/>
  <c r="N236" i="1"/>
  <c r="P236" i="1" s="1"/>
  <c r="S236" i="1"/>
  <c r="N235" i="1"/>
  <c r="P235" i="1" s="1"/>
  <c r="S235" i="1"/>
  <c r="N234" i="1"/>
  <c r="P234" i="1" s="1"/>
  <c r="S234" i="1"/>
  <c r="N233" i="1"/>
  <c r="P233" i="1" s="1"/>
  <c r="S233" i="1"/>
  <c r="N232" i="1"/>
  <c r="P232" i="1" s="1"/>
  <c r="S232" i="1"/>
  <c r="N231" i="1"/>
  <c r="P231" i="1" s="1"/>
  <c r="S231" i="1"/>
  <c r="N230" i="1"/>
  <c r="P230" i="1" s="1"/>
  <c r="S230" i="1"/>
  <c r="N229" i="1"/>
  <c r="P229" i="1" s="1"/>
  <c r="S229" i="1"/>
  <c r="N228" i="1"/>
  <c r="P228" i="1" s="1"/>
  <c r="S228" i="1"/>
  <c r="N227" i="1"/>
  <c r="P227" i="1" s="1"/>
  <c r="S227" i="1"/>
  <c r="N226" i="1"/>
  <c r="P226" i="1" s="1"/>
  <c r="S226" i="1"/>
  <c r="N225" i="1"/>
  <c r="P225" i="1" s="1"/>
  <c r="S225" i="1"/>
  <c r="N224" i="1"/>
  <c r="P224" i="1" s="1"/>
  <c r="S224" i="1"/>
  <c r="N223" i="1"/>
  <c r="P223" i="1" s="1"/>
  <c r="S223" i="1"/>
  <c r="N222" i="1"/>
  <c r="P222" i="1" s="1"/>
  <c r="S222" i="1"/>
  <c r="N221" i="1"/>
  <c r="P221" i="1" s="1"/>
  <c r="S221" i="1"/>
  <c r="N220" i="1"/>
  <c r="P220" i="1" s="1"/>
  <c r="S220" i="1"/>
  <c r="N219" i="1"/>
  <c r="P219" i="1" s="1"/>
  <c r="S219" i="1"/>
  <c r="N218" i="1"/>
  <c r="P218" i="1" s="1"/>
  <c r="S218" i="1"/>
  <c r="N217" i="1"/>
  <c r="P217" i="1" s="1"/>
  <c r="S217" i="1"/>
  <c r="N216" i="1"/>
  <c r="P216" i="1" s="1"/>
  <c r="S216" i="1"/>
  <c r="N215" i="1"/>
  <c r="P215" i="1" s="1"/>
  <c r="S215" i="1"/>
  <c r="N214" i="1"/>
  <c r="P214" i="1" s="1"/>
  <c r="S214" i="1"/>
  <c r="N213" i="1"/>
  <c r="P213" i="1" s="1"/>
  <c r="S213" i="1"/>
  <c r="N212" i="1"/>
  <c r="P212" i="1" s="1"/>
  <c r="S212" i="1"/>
  <c r="N211" i="1"/>
  <c r="P211" i="1" s="1"/>
  <c r="S211" i="1"/>
  <c r="N210" i="1"/>
  <c r="P210" i="1" s="1"/>
  <c r="S210" i="1"/>
  <c r="N209" i="1"/>
  <c r="P209" i="1" s="1"/>
  <c r="S209" i="1"/>
  <c r="N208" i="1"/>
  <c r="P208" i="1" s="1"/>
  <c r="S208" i="1"/>
  <c r="N207" i="1"/>
  <c r="P207" i="1" s="1"/>
  <c r="S207" i="1"/>
  <c r="N206" i="1"/>
  <c r="P206" i="1" s="1"/>
  <c r="S206" i="1"/>
  <c r="N205" i="1"/>
  <c r="P205" i="1" s="1"/>
  <c r="S205" i="1"/>
  <c r="N204" i="1"/>
  <c r="P204" i="1" s="1"/>
  <c r="S204" i="1"/>
  <c r="N203" i="1"/>
  <c r="P203" i="1" s="1"/>
  <c r="S203" i="1"/>
  <c r="N202" i="1"/>
  <c r="P202" i="1" s="1"/>
  <c r="S202" i="1"/>
  <c r="N201" i="1"/>
  <c r="P201" i="1" s="1"/>
  <c r="S201" i="1"/>
  <c r="N200" i="1"/>
  <c r="P200" i="1" s="1"/>
  <c r="S200" i="1"/>
  <c r="N199" i="1"/>
  <c r="P199" i="1" s="1"/>
  <c r="S199" i="1"/>
  <c r="N198" i="1"/>
  <c r="P198" i="1" s="1"/>
  <c r="S198" i="1"/>
  <c r="N197" i="1"/>
  <c r="P197" i="1" s="1"/>
  <c r="S197" i="1"/>
  <c r="N196" i="1"/>
  <c r="P196" i="1" s="1"/>
  <c r="S196" i="1"/>
  <c r="N195" i="1"/>
  <c r="P195" i="1" s="1"/>
  <c r="S195" i="1"/>
  <c r="N194" i="1"/>
  <c r="P194" i="1" s="1"/>
  <c r="S194" i="1"/>
  <c r="N193" i="1"/>
  <c r="P193" i="1" s="1"/>
  <c r="S193" i="1"/>
  <c r="N192" i="1"/>
  <c r="P192" i="1" s="1"/>
  <c r="S192" i="1"/>
  <c r="N191" i="1"/>
  <c r="P191" i="1" s="1"/>
  <c r="S191" i="1"/>
  <c r="N190" i="1"/>
  <c r="P190" i="1" s="1"/>
  <c r="S190" i="1"/>
  <c r="N189" i="1"/>
  <c r="P189" i="1" s="1"/>
  <c r="S189" i="1"/>
  <c r="N188" i="1"/>
  <c r="P188" i="1" s="1"/>
  <c r="S188" i="1"/>
  <c r="N187" i="1"/>
  <c r="P187" i="1" s="1"/>
  <c r="S187" i="1"/>
  <c r="N186" i="1"/>
  <c r="P186" i="1" s="1"/>
  <c r="S186" i="1"/>
  <c r="N185" i="1"/>
  <c r="P185" i="1" s="1"/>
  <c r="S185" i="1"/>
  <c r="N184" i="1"/>
  <c r="P184" i="1" s="1"/>
  <c r="S184" i="1"/>
  <c r="N183" i="1"/>
  <c r="P183" i="1" s="1"/>
  <c r="S183" i="1"/>
  <c r="N182" i="1"/>
  <c r="P182" i="1" s="1"/>
  <c r="S182" i="1"/>
  <c r="N181" i="1"/>
  <c r="P181" i="1" s="1"/>
  <c r="S181" i="1"/>
  <c r="N180" i="1"/>
  <c r="P180" i="1" s="1"/>
  <c r="S180" i="1"/>
  <c r="N179" i="1"/>
  <c r="P179" i="1" s="1"/>
  <c r="S179" i="1"/>
  <c r="N178" i="1"/>
  <c r="P178" i="1" s="1"/>
  <c r="S178" i="1"/>
  <c r="N177" i="1"/>
  <c r="P177" i="1" s="1"/>
  <c r="S177" i="1"/>
  <c r="N176" i="1"/>
  <c r="P176" i="1" s="1"/>
  <c r="S176" i="1"/>
  <c r="N175" i="1"/>
  <c r="P175" i="1" s="1"/>
  <c r="S175" i="1"/>
  <c r="N174" i="1"/>
  <c r="P174" i="1" s="1"/>
  <c r="S174" i="1"/>
  <c r="N173" i="1"/>
  <c r="P173" i="1" s="1"/>
  <c r="S173" i="1"/>
  <c r="N172" i="1"/>
  <c r="P172" i="1" s="1"/>
  <c r="S172" i="1"/>
  <c r="N171" i="1"/>
  <c r="P171" i="1" s="1"/>
  <c r="S171" i="1"/>
  <c r="N170" i="1"/>
  <c r="P170" i="1" s="1"/>
  <c r="S170" i="1"/>
  <c r="N169" i="1"/>
  <c r="P169" i="1" s="1"/>
  <c r="S169" i="1"/>
  <c r="N168" i="1"/>
  <c r="P168" i="1" s="1"/>
  <c r="S168" i="1"/>
  <c r="N167" i="1"/>
  <c r="P167" i="1" s="1"/>
  <c r="S167" i="1"/>
  <c r="N166" i="1"/>
  <c r="P166" i="1" s="1"/>
  <c r="S166" i="1"/>
  <c r="N165" i="1"/>
  <c r="P165" i="1" s="1"/>
  <c r="S165" i="1"/>
  <c r="N164" i="1"/>
  <c r="P164" i="1" s="1"/>
  <c r="S164" i="1"/>
  <c r="N163" i="1"/>
  <c r="P163" i="1" s="1"/>
  <c r="S163" i="1"/>
  <c r="N162" i="1"/>
  <c r="P162" i="1" s="1"/>
  <c r="S162" i="1"/>
  <c r="N161" i="1"/>
  <c r="P161" i="1" s="1"/>
  <c r="S161" i="1"/>
  <c r="N160" i="1"/>
  <c r="P160" i="1" s="1"/>
  <c r="S160" i="1"/>
  <c r="N159" i="1"/>
  <c r="P159" i="1" s="1"/>
  <c r="S159" i="1"/>
  <c r="N158" i="1"/>
  <c r="P158" i="1" s="1"/>
  <c r="S158" i="1"/>
  <c r="N157" i="1"/>
  <c r="P157" i="1" s="1"/>
  <c r="S157" i="1"/>
  <c r="N156" i="1"/>
  <c r="P156" i="1" s="1"/>
  <c r="S156" i="1"/>
  <c r="N155" i="1"/>
  <c r="P155" i="1" s="1"/>
  <c r="S155" i="1"/>
  <c r="N154" i="1"/>
  <c r="P154" i="1" s="1"/>
  <c r="S154" i="1"/>
  <c r="N153" i="1"/>
  <c r="P153" i="1" s="1"/>
  <c r="S153" i="1"/>
  <c r="N152" i="1"/>
  <c r="P152" i="1" s="1"/>
  <c r="S152" i="1"/>
  <c r="N151" i="1"/>
  <c r="P151" i="1" s="1"/>
  <c r="S151" i="1"/>
  <c r="N150" i="1"/>
  <c r="P150" i="1" s="1"/>
  <c r="S150" i="1"/>
  <c r="N149" i="1"/>
  <c r="P149" i="1" s="1"/>
  <c r="S149" i="1"/>
  <c r="N148" i="1"/>
  <c r="P148" i="1" s="1"/>
  <c r="S148" i="1"/>
  <c r="N147" i="1"/>
  <c r="P147" i="1" s="1"/>
  <c r="S147" i="1"/>
  <c r="N146" i="1"/>
  <c r="P146" i="1" s="1"/>
  <c r="S146" i="1"/>
  <c r="N145" i="1"/>
  <c r="P145" i="1" s="1"/>
  <c r="S145" i="1"/>
  <c r="N144" i="1"/>
  <c r="P144" i="1" s="1"/>
  <c r="S144" i="1"/>
  <c r="N143" i="1"/>
  <c r="P143" i="1" s="1"/>
  <c r="S143" i="1"/>
  <c r="N142" i="1"/>
  <c r="P142" i="1" s="1"/>
  <c r="S142" i="1"/>
  <c r="N141" i="1"/>
  <c r="P141" i="1" s="1"/>
  <c r="S141" i="1"/>
  <c r="N140" i="1"/>
  <c r="P140" i="1" s="1"/>
  <c r="S140" i="1"/>
  <c r="N139" i="1"/>
  <c r="P139" i="1" s="1"/>
  <c r="S139" i="1"/>
  <c r="N138" i="1"/>
  <c r="P138" i="1" s="1"/>
  <c r="S138" i="1"/>
  <c r="N137" i="1"/>
  <c r="P137" i="1" s="1"/>
  <c r="S137" i="1"/>
  <c r="N136" i="1"/>
  <c r="P136" i="1" s="1"/>
  <c r="S136" i="1"/>
  <c r="N135" i="1"/>
  <c r="P135" i="1" s="1"/>
  <c r="S135" i="1"/>
  <c r="N134" i="1"/>
  <c r="P134" i="1" s="1"/>
  <c r="S134" i="1"/>
  <c r="N133" i="1"/>
  <c r="P133" i="1" s="1"/>
  <c r="S133" i="1"/>
  <c r="N132" i="1"/>
  <c r="P132" i="1" s="1"/>
  <c r="S132" i="1"/>
  <c r="N131" i="1"/>
  <c r="P131" i="1" s="1"/>
  <c r="S131" i="1"/>
  <c r="N130" i="1"/>
  <c r="P130" i="1" s="1"/>
  <c r="S130" i="1"/>
  <c r="N129" i="1"/>
  <c r="P129" i="1" s="1"/>
  <c r="S129" i="1"/>
  <c r="N128" i="1"/>
  <c r="P128" i="1" s="1"/>
  <c r="S128" i="1"/>
  <c r="N127" i="1"/>
  <c r="P127" i="1" s="1"/>
  <c r="S127" i="1"/>
  <c r="N126" i="1"/>
  <c r="P126" i="1" s="1"/>
  <c r="S126" i="1"/>
  <c r="N125" i="1"/>
  <c r="P125" i="1" s="1"/>
  <c r="S125" i="1"/>
  <c r="N124" i="1"/>
  <c r="P124" i="1" s="1"/>
  <c r="S124" i="1"/>
  <c r="N123" i="1"/>
  <c r="P123" i="1" s="1"/>
  <c r="S123" i="1"/>
  <c r="N122" i="1"/>
  <c r="P122" i="1" s="1"/>
  <c r="S122" i="1"/>
  <c r="N121" i="1"/>
  <c r="P121" i="1" s="1"/>
  <c r="S121" i="1"/>
  <c r="N120" i="1"/>
  <c r="P120" i="1" s="1"/>
  <c r="S120" i="1"/>
  <c r="N119" i="1"/>
  <c r="P119" i="1" s="1"/>
  <c r="S119" i="1"/>
  <c r="N118" i="1"/>
  <c r="P118" i="1" s="1"/>
  <c r="S118" i="1"/>
  <c r="N117" i="1"/>
  <c r="P117" i="1" s="1"/>
  <c r="S117" i="1"/>
  <c r="N116" i="1"/>
  <c r="P116" i="1" s="1"/>
  <c r="S116" i="1"/>
  <c r="N115" i="1"/>
  <c r="P115" i="1" s="1"/>
  <c r="S115" i="1"/>
  <c r="N114" i="1"/>
  <c r="P114" i="1" s="1"/>
  <c r="S114" i="1"/>
  <c r="N113" i="1"/>
  <c r="P113" i="1" s="1"/>
  <c r="S113" i="1"/>
  <c r="N112" i="1"/>
  <c r="P112" i="1" s="1"/>
  <c r="S112" i="1"/>
  <c r="N111" i="1"/>
  <c r="P111" i="1" s="1"/>
  <c r="S111" i="1"/>
  <c r="N110" i="1"/>
  <c r="P110" i="1" s="1"/>
  <c r="S110" i="1"/>
  <c r="N109" i="1"/>
  <c r="P109" i="1" s="1"/>
  <c r="S109" i="1"/>
  <c r="N108" i="1"/>
  <c r="P108" i="1" s="1"/>
  <c r="S108" i="1"/>
  <c r="N107" i="1"/>
  <c r="P107" i="1" s="1"/>
  <c r="S107" i="1"/>
  <c r="N106" i="1"/>
  <c r="P106" i="1" s="1"/>
  <c r="S106" i="1"/>
  <c r="N105" i="1"/>
  <c r="P105" i="1" s="1"/>
  <c r="S105" i="1"/>
  <c r="N104" i="1"/>
  <c r="P104" i="1" s="1"/>
  <c r="S104" i="1"/>
  <c r="N103" i="1"/>
  <c r="P103" i="1" s="1"/>
  <c r="S103" i="1"/>
  <c r="N102" i="1"/>
  <c r="P102" i="1" s="1"/>
  <c r="S102" i="1"/>
  <c r="N101" i="1"/>
  <c r="P101" i="1" s="1"/>
  <c r="S101" i="1"/>
  <c r="N100" i="1"/>
  <c r="P100" i="1" s="1"/>
  <c r="S100" i="1"/>
  <c r="N99" i="1"/>
  <c r="P99" i="1" s="1"/>
  <c r="S99" i="1"/>
  <c r="N98" i="1"/>
  <c r="P98" i="1" s="1"/>
  <c r="S98" i="1"/>
  <c r="N97" i="1"/>
  <c r="P97" i="1" s="1"/>
  <c r="S97" i="1"/>
  <c r="N96" i="1"/>
  <c r="P96" i="1" s="1"/>
  <c r="S96" i="1"/>
  <c r="N95" i="1"/>
  <c r="P95" i="1" s="1"/>
  <c r="S95" i="1"/>
  <c r="N94" i="1"/>
  <c r="P94" i="1" s="1"/>
  <c r="S94" i="1"/>
  <c r="N93" i="1"/>
  <c r="P93" i="1" s="1"/>
  <c r="S93" i="1"/>
  <c r="N92" i="1"/>
  <c r="P92" i="1" s="1"/>
  <c r="S92" i="1"/>
  <c r="N91" i="1"/>
  <c r="P91" i="1" s="1"/>
  <c r="S91" i="1"/>
  <c r="N90" i="1"/>
  <c r="P90" i="1" s="1"/>
  <c r="S90" i="1"/>
  <c r="N89" i="1"/>
  <c r="P89" i="1" s="1"/>
  <c r="S89" i="1"/>
  <c r="N88" i="1"/>
  <c r="P88" i="1" s="1"/>
  <c r="S88" i="1"/>
  <c r="N87" i="1"/>
  <c r="P87" i="1" s="1"/>
  <c r="S87" i="1"/>
  <c r="N86" i="1"/>
  <c r="P86" i="1" s="1"/>
  <c r="S86" i="1"/>
  <c r="N85" i="1"/>
  <c r="P85" i="1" s="1"/>
  <c r="S85" i="1"/>
  <c r="N84" i="1"/>
  <c r="P84" i="1" s="1"/>
  <c r="S84" i="1"/>
  <c r="N83" i="1"/>
  <c r="P83" i="1" s="1"/>
  <c r="S83" i="1"/>
  <c r="N82" i="1"/>
  <c r="P82" i="1" s="1"/>
  <c r="S82" i="1"/>
  <c r="N81" i="1"/>
  <c r="P81" i="1" s="1"/>
  <c r="S81" i="1"/>
  <c r="N80" i="1"/>
  <c r="P80" i="1" s="1"/>
  <c r="S80" i="1"/>
  <c r="N79" i="1"/>
  <c r="P79" i="1" s="1"/>
  <c r="S79" i="1"/>
  <c r="N78" i="1"/>
  <c r="P78" i="1" s="1"/>
  <c r="S78" i="1"/>
  <c r="N77" i="1"/>
  <c r="P77" i="1" s="1"/>
  <c r="S77" i="1"/>
  <c r="N76" i="1"/>
  <c r="P76" i="1" s="1"/>
  <c r="S76" i="1"/>
  <c r="N75" i="1"/>
  <c r="P75" i="1" s="1"/>
  <c r="S75" i="1"/>
  <c r="N74" i="1"/>
  <c r="P74" i="1" s="1"/>
  <c r="S74" i="1"/>
  <c r="N73" i="1"/>
  <c r="P73" i="1" s="1"/>
  <c r="S73" i="1"/>
  <c r="N72" i="1"/>
  <c r="P72" i="1" s="1"/>
  <c r="S72" i="1"/>
  <c r="N71" i="1"/>
  <c r="P71" i="1" s="1"/>
  <c r="S71" i="1"/>
  <c r="N70" i="1"/>
  <c r="P70" i="1" s="1"/>
  <c r="S70" i="1"/>
  <c r="N69" i="1"/>
  <c r="P69" i="1" s="1"/>
  <c r="S69" i="1"/>
  <c r="N68" i="1"/>
  <c r="P68" i="1" s="1"/>
  <c r="S68" i="1"/>
  <c r="N67" i="1"/>
  <c r="P67" i="1" s="1"/>
  <c r="S67" i="1"/>
  <c r="N66" i="1"/>
  <c r="P66" i="1" s="1"/>
  <c r="S66" i="1"/>
  <c r="N65" i="1"/>
  <c r="P65" i="1" s="1"/>
  <c r="S65" i="1"/>
  <c r="N64" i="1"/>
  <c r="P64" i="1" s="1"/>
  <c r="S64" i="1"/>
  <c r="N63" i="1"/>
  <c r="P63" i="1" s="1"/>
  <c r="S63" i="1"/>
  <c r="N62" i="1"/>
  <c r="P62" i="1" s="1"/>
  <c r="S62" i="1"/>
  <c r="N61" i="1"/>
  <c r="P61" i="1" s="1"/>
  <c r="S61" i="1"/>
  <c r="N60" i="1"/>
  <c r="P60" i="1" s="1"/>
  <c r="S60" i="1"/>
  <c r="N59" i="1"/>
  <c r="P59" i="1" s="1"/>
  <c r="S59" i="1"/>
  <c r="N58" i="1"/>
  <c r="P58" i="1" s="1"/>
  <c r="S58" i="1"/>
  <c r="N57" i="1"/>
  <c r="P57" i="1" s="1"/>
  <c r="S57" i="1"/>
  <c r="N56" i="1"/>
  <c r="P56" i="1" s="1"/>
  <c r="S56" i="1"/>
  <c r="N55" i="1"/>
  <c r="P55" i="1" s="1"/>
  <c r="S55" i="1"/>
  <c r="N54" i="1"/>
  <c r="P54" i="1" s="1"/>
  <c r="S54" i="1"/>
  <c r="N53" i="1"/>
  <c r="P53" i="1" s="1"/>
  <c r="S53" i="1"/>
  <c r="N52" i="1"/>
  <c r="P52" i="1" s="1"/>
  <c r="S52" i="1"/>
  <c r="N51" i="1"/>
  <c r="P51" i="1" s="1"/>
  <c r="S51" i="1"/>
  <c r="N50" i="1"/>
  <c r="P50" i="1" s="1"/>
  <c r="S50" i="1"/>
  <c r="N49" i="1"/>
  <c r="P49" i="1" s="1"/>
  <c r="S49" i="1"/>
  <c r="N48" i="1"/>
  <c r="P48" i="1" s="1"/>
  <c r="S48" i="1"/>
  <c r="N47" i="1"/>
  <c r="P47" i="1" s="1"/>
  <c r="S47" i="1"/>
  <c r="N46" i="1"/>
  <c r="P46" i="1" s="1"/>
  <c r="S46" i="1"/>
  <c r="N45" i="1"/>
  <c r="P45" i="1" s="1"/>
  <c r="S45" i="1"/>
  <c r="N44" i="1"/>
  <c r="P44" i="1" s="1"/>
  <c r="S44" i="1"/>
  <c r="N43" i="1"/>
  <c r="P43" i="1" s="1"/>
  <c r="S43" i="1"/>
  <c r="N42" i="1"/>
  <c r="P42" i="1" s="1"/>
  <c r="S42" i="1"/>
  <c r="N41" i="1"/>
  <c r="P41" i="1" s="1"/>
  <c r="S41" i="1"/>
  <c r="N40" i="1"/>
  <c r="P40" i="1" s="1"/>
  <c r="S40" i="1"/>
  <c r="N39" i="1"/>
  <c r="P39" i="1" s="1"/>
  <c r="S39" i="1"/>
  <c r="N38" i="1"/>
  <c r="P38" i="1" s="1"/>
  <c r="S38" i="1"/>
  <c r="N37" i="1"/>
  <c r="P37" i="1" s="1"/>
  <c r="S37" i="1"/>
  <c r="N36" i="1"/>
  <c r="P36" i="1" s="1"/>
  <c r="S36" i="1"/>
  <c r="N35" i="1"/>
  <c r="P35" i="1" s="1"/>
  <c r="S35" i="1"/>
  <c r="N34" i="1"/>
  <c r="P34" i="1" s="1"/>
  <c r="S34" i="1"/>
  <c r="N33" i="1"/>
  <c r="P33" i="1" s="1"/>
  <c r="S33" i="1"/>
  <c r="N32" i="1"/>
  <c r="P32" i="1" s="1"/>
  <c r="S32" i="1"/>
  <c r="N31" i="1"/>
  <c r="P31" i="1" s="1"/>
  <c r="S31" i="1"/>
  <c r="N30" i="1"/>
  <c r="P30" i="1" s="1"/>
  <c r="S30" i="1"/>
  <c r="N29" i="1"/>
  <c r="P29" i="1" s="1"/>
  <c r="S29" i="1"/>
  <c r="N28" i="1"/>
  <c r="P28" i="1" s="1"/>
  <c r="S28" i="1"/>
  <c r="N27" i="1"/>
  <c r="P27" i="1" s="1"/>
  <c r="S27" i="1"/>
  <c r="N26" i="1"/>
  <c r="P26" i="1" s="1"/>
  <c r="S26" i="1"/>
  <c r="N25" i="1"/>
  <c r="P25" i="1" s="1"/>
  <c r="S25" i="1"/>
  <c r="N24" i="1"/>
  <c r="P24" i="1" s="1"/>
  <c r="S24" i="1"/>
  <c r="N23" i="1"/>
  <c r="P23" i="1" s="1"/>
  <c r="S23" i="1"/>
  <c r="N22" i="1"/>
  <c r="P22" i="1" s="1"/>
  <c r="S22" i="1"/>
  <c r="N21" i="1"/>
  <c r="P21" i="1" s="1"/>
  <c r="S21" i="1"/>
  <c r="N20" i="1"/>
  <c r="P20" i="1" s="1"/>
  <c r="S20" i="1"/>
  <c r="N19" i="1"/>
  <c r="P19" i="1" s="1"/>
  <c r="S19" i="1"/>
  <c r="N18" i="1"/>
  <c r="P18" i="1" s="1"/>
  <c r="S18" i="1"/>
  <c r="N17" i="1"/>
  <c r="P17" i="1" s="1"/>
  <c r="S17" i="1"/>
  <c r="N16" i="1"/>
  <c r="P16" i="1" s="1"/>
  <c r="S16" i="1"/>
  <c r="N15" i="1"/>
  <c r="P15" i="1" s="1"/>
  <c r="S15" i="1"/>
  <c r="N14" i="1"/>
  <c r="P14" i="1" s="1"/>
  <c r="S14" i="1"/>
  <c r="N13" i="1"/>
  <c r="P13" i="1" s="1"/>
  <c r="S13" i="1"/>
  <c r="N12" i="1"/>
  <c r="P12" i="1" s="1"/>
  <c r="S12" i="1"/>
  <c r="N11" i="1"/>
  <c r="P11" i="1" s="1"/>
  <c r="S11" i="1"/>
  <c r="N10" i="1"/>
  <c r="P10" i="1" s="1"/>
  <c r="S10" i="1"/>
  <c r="N9" i="1"/>
  <c r="P9" i="1" s="1"/>
  <c r="S9" i="1"/>
  <c r="N8" i="1"/>
  <c r="P8" i="1" s="1"/>
  <c r="S8" i="1"/>
  <c r="N7" i="1"/>
  <c r="P7" i="1" s="1"/>
  <c r="S7" i="1"/>
  <c r="N6" i="1"/>
  <c r="P6" i="1" s="1"/>
  <c r="S6" i="1"/>
  <c r="N5" i="1"/>
  <c r="P5" i="1" s="1"/>
  <c r="S5" i="1"/>
  <c r="N4" i="1"/>
  <c r="P4" i="1" s="1"/>
  <c r="S4" i="1"/>
  <c r="N3" i="1"/>
  <c r="P3" i="1" s="1"/>
  <c r="S3" i="1"/>
  <c r="O633" i="1" s="1"/>
  <c r="N2" i="1"/>
  <c r="O618" i="1"/>
  <c r="P2" i="1"/>
  <c r="O631" i="1" s="1"/>
  <c r="P624" i="1"/>
  <c r="P625" i="1"/>
  <c r="P626" i="1"/>
  <c r="L610" i="1"/>
  <c r="O619" i="1" l="1"/>
  <c r="O630" i="1"/>
  <c r="O621" i="1"/>
  <c r="O628" i="1"/>
  <c r="O620" i="1"/>
  <c r="O627" i="1"/>
  <c r="O622" i="1"/>
  <c r="O62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<sst xmlns="http://schemas.openxmlformats.org/spreadsheetml/2006/main" count="1958" uniqueCount="716">
  <si>
    <t>OrderID</t>
  </si>
  <si>
    <t>OrderDate</t>
  </si>
  <si>
    <t>StoreID</t>
  </si>
  <si>
    <t>ProductID</t>
  </si>
  <si>
    <t>Qty</t>
  </si>
  <si>
    <t>ProductName</t>
  </si>
  <si>
    <t>Category</t>
  </si>
  <si>
    <t>UnitPrice</t>
  </si>
  <si>
    <t>UnitCost</t>
  </si>
  <si>
    <t>Region</t>
  </si>
  <si>
    <t>Revenue</t>
  </si>
  <si>
    <t>Profit</t>
  </si>
  <si>
    <t>Margin</t>
  </si>
  <si>
    <t>Margin Flag</t>
  </si>
  <si>
    <t>Order Size</t>
  </si>
  <si>
    <t>Review</t>
  </si>
  <si>
    <t>Bulk</t>
  </si>
  <si>
    <t>Target Margin</t>
  </si>
  <si>
    <t>Below Target</t>
  </si>
  <si>
    <t>ORD10197</t>
  </si>
  <si>
    <t>S02</t>
  </si>
  <si>
    <t>P103</t>
  </si>
  <si>
    <t>ORD10210</t>
  </si>
  <si>
    <t>S03</t>
  </si>
  <si>
    <t>P108</t>
  </si>
  <si>
    <t>ORD10254</t>
  </si>
  <si>
    <t>S04</t>
  </si>
  <si>
    <t>P110</t>
  </si>
  <si>
    <t>ORD10317</t>
  </si>
  <si>
    <t>S06</t>
  </si>
  <si>
    <t>P120</t>
  </si>
  <si>
    <t>ORD10330</t>
  </si>
  <si>
    <t>S01</t>
  </si>
  <si>
    <t>ORD10350</t>
  </si>
  <si>
    <t>ORD10372</t>
  </si>
  <si>
    <t>P116</t>
  </si>
  <si>
    <t>ORD10461</t>
  </si>
  <si>
    <t>ORD10497</t>
  </si>
  <si>
    <t>P117</t>
  </si>
  <si>
    <t>ORD10529</t>
  </si>
  <si>
    <t>ORD10566</t>
  </si>
  <si>
    <t>ORD10166</t>
  </si>
  <si>
    <t>ORD10263</t>
  </si>
  <si>
    <t>P115</t>
  </si>
  <si>
    <t>ORD10324</t>
  </si>
  <si>
    <t>ORD10485</t>
  </si>
  <si>
    <t>ORD10494</t>
  </si>
  <si>
    <t>ORD10596</t>
  </si>
  <si>
    <t>ORD10113</t>
  </si>
  <si>
    <t>ORD10185</t>
  </si>
  <si>
    <t>P106</t>
  </si>
  <si>
    <t>ORD10191</t>
  </si>
  <si>
    <t>ORD10206</t>
  </si>
  <si>
    <t>ORD10480</t>
  </si>
  <si>
    <t>P118</t>
  </si>
  <si>
    <t>ORD10582</t>
  </si>
  <si>
    <t>ORD10049</t>
  </si>
  <si>
    <t>S05</t>
  </si>
  <si>
    <t>P104</t>
  </si>
  <si>
    <t>ORD10055</t>
  </si>
  <si>
    <t>P111</t>
  </si>
  <si>
    <t>ORD10205</t>
  </si>
  <si>
    <t>ORD10355</t>
  </si>
  <si>
    <t>ORD10367</t>
  </si>
  <si>
    <t>ORD10527</t>
  </si>
  <si>
    <t>ORD10003</t>
  </si>
  <si>
    <t>ORD10353</t>
  </si>
  <si>
    <t>P113</t>
  </si>
  <si>
    <t>ORD10395</t>
  </si>
  <si>
    <t>P105</t>
  </si>
  <si>
    <t>ORD10467</t>
  </si>
  <si>
    <t>ORD10514</t>
  </si>
  <si>
    <t>ORD10518</t>
  </si>
  <si>
    <t>ORD10595</t>
  </si>
  <si>
    <t>ORD10229</t>
  </si>
  <si>
    <t>ORD10320</t>
  </si>
  <si>
    <t>ORD10356</t>
  </si>
  <si>
    <t>ORD10459</t>
  </si>
  <si>
    <t>ORD10593</t>
  </si>
  <si>
    <t>ORD10119</t>
  </si>
  <si>
    <t>P109</t>
  </si>
  <si>
    <t>ORD10217</t>
  </si>
  <si>
    <t>ORD10269</t>
  </si>
  <si>
    <t>ORD10315</t>
  </si>
  <si>
    <t>ORD10319</t>
  </si>
  <si>
    <t>ORD10365</t>
  </si>
  <si>
    <t>ORD10584</t>
  </si>
  <si>
    <t>P102</t>
  </si>
  <si>
    <t>ORD10006</t>
  </si>
  <si>
    <t>ORD10078</t>
  </si>
  <si>
    <t>ORD10187</t>
  </si>
  <si>
    <t>ORD10215</t>
  </si>
  <si>
    <t>ORD10230</t>
  </si>
  <si>
    <t>ORD10327</t>
  </si>
  <si>
    <t>ORD10416</t>
  </si>
  <si>
    <t>ORD10503</t>
  </si>
  <si>
    <t>P121</t>
  </si>
  <si>
    <t>ORD10540</t>
  </si>
  <si>
    <t>ORD10550</t>
  </si>
  <si>
    <t>P107</t>
  </si>
  <si>
    <t>ORD10561</t>
  </si>
  <si>
    <t>ORD10569</t>
  </si>
  <si>
    <t>ORD10598</t>
  </si>
  <si>
    <t>ORD10011</t>
  </si>
  <si>
    <t>ORD10039</t>
  </si>
  <si>
    <t>ORD10082</t>
  </si>
  <si>
    <t>P101</t>
  </si>
  <si>
    <t>ORD10098</t>
  </si>
  <si>
    <t>ORD10294</t>
  </si>
  <si>
    <t>ORD10299</t>
  </si>
  <si>
    <t>ORD10302</t>
  </si>
  <si>
    <t>ORD10325</t>
  </si>
  <si>
    <t>ORD10421</t>
  </si>
  <si>
    <t>ORD10474</t>
  </si>
  <si>
    <t>ORD10506</t>
  </si>
  <si>
    <t>ORD10521</t>
  </si>
  <si>
    <t>ORD10042</t>
  </si>
  <si>
    <t>ORD10104</t>
  </si>
  <si>
    <t>ORD10433</t>
  </si>
  <si>
    <t>ORD10535</t>
  </si>
  <si>
    <t>ORD10130</t>
  </si>
  <si>
    <t>ORD10139</t>
  </si>
  <si>
    <t>ORD10244</t>
  </si>
  <si>
    <t>ORD10314</t>
  </si>
  <si>
    <t>ORD10465</t>
  </si>
  <si>
    <t>ORD10519</t>
  </si>
  <si>
    <t>ORD10004</t>
  </si>
  <si>
    <t>ORD10050</t>
  </si>
  <si>
    <t>ORD10183</t>
  </si>
  <si>
    <t>ORD10267</t>
  </si>
  <si>
    <t>P112</t>
  </si>
  <si>
    <t>ORD10479</t>
  </si>
  <si>
    <t>ORD10092</t>
  </si>
  <si>
    <t>ORD10253</t>
  </si>
  <si>
    <t>ORD10368</t>
  </si>
  <si>
    <t>ORD10449</t>
  </si>
  <si>
    <t>ORD10549</t>
  </si>
  <si>
    <t>ORD10574</t>
  </si>
  <si>
    <t>ORD10038</t>
  </si>
  <si>
    <t>ORD10099</t>
  </si>
  <si>
    <t>ORD10140</t>
  </si>
  <si>
    <t>ORD10194</t>
  </si>
  <si>
    <t>ORD10222</t>
  </si>
  <si>
    <t>ORD10311</t>
  </si>
  <si>
    <t>ORD10332</t>
  </si>
  <si>
    <t>ORD10391</t>
  </si>
  <si>
    <t>ORD10394</t>
  </si>
  <si>
    <t>ORD10418</t>
  </si>
  <si>
    <t>ORD10476</t>
  </si>
  <si>
    <t>ORD10544</t>
  </si>
  <si>
    <t>ORD10589</t>
  </si>
  <si>
    <t>ORD10044</t>
  </si>
  <si>
    <t>P114</t>
  </si>
  <si>
    <t>ORD10109</t>
  </si>
  <si>
    <t>ORD10200</t>
  </si>
  <si>
    <t>ORD10273</t>
  </si>
  <si>
    <t>ORD10360</t>
  </si>
  <si>
    <t>ORD10440</t>
  </si>
  <si>
    <t>ORD10597</t>
  </si>
  <si>
    <t>ORD10005</t>
  </si>
  <si>
    <t>ORD10256</t>
  </si>
  <si>
    <t>ORD10288</t>
  </si>
  <si>
    <t>ORD10457</t>
  </si>
  <si>
    <t>ORD10547</t>
  </si>
  <si>
    <t>ORD10579</t>
  </si>
  <si>
    <t>ORD10035</t>
  </si>
  <si>
    <t>ORD10072</t>
  </si>
  <si>
    <t>ORD10108</t>
  </si>
  <si>
    <t>ORD10176</t>
  </si>
  <si>
    <t>ORD10188</t>
  </si>
  <si>
    <t>ORD10237</t>
  </si>
  <si>
    <t>P119</t>
  </si>
  <si>
    <t>ORD10451</t>
  </si>
  <si>
    <t>ORD10458</t>
  </si>
  <si>
    <t>ORD10441</t>
  </si>
  <si>
    <t>ORD10536</t>
  </si>
  <si>
    <t>ORD10077</t>
  </si>
  <si>
    <t>ORD10134</t>
  </si>
  <si>
    <t>ORD10261</t>
  </si>
  <si>
    <t>ORD10275</t>
  </si>
  <si>
    <t>ORD10304</t>
  </si>
  <si>
    <t>ORD10450</t>
  </si>
  <si>
    <t>ORD10489</t>
  </si>
  <si>
    <t>ORD10533</t>
  </si>
  <si>
    <t>ORD10541</t>
  </si>
  <si>
    <t>ORD10600</t>
  </si>
  <si>
    <t>ORD10090</t>
  </si>
  <si>
    <t>ORD10131</t>
  </si>
  <si>
    <t>ORD10384</t>
  </si>
  <si>
    <t>ORD10477</t>
  </si>
  <si>
    <t>ORD10545</t>
  </si>
  <si>
    <t>ORD10047</t>
  </si>
  <si>
    <t>ORD10064</t>
  </si>
  <si>
    <t>ORD10123</t>
  </si>
  <si>
    <t>ORD10180</t>
  </si>
  <si>
    <t>ORD10241</t>
  </si>
  <si>
    <t>ORD10282</t>
  </si>
  <si>
    <t>ORD10307</t>
  </si>
  <si>
    <t>ORD10346</t>
  </si>
  <si>
    <t>ORD10354</t>
  </si>
  <si>
    <t>ORD10390</t>
  </si>
  <si>
    <t>ORD10409</t>
  </si>
  <si>
    <t>ORD10444</t>
  </si>
  <si>
    <t>ORD10565</t>
  </si>
  <si>
    <t>ORD10051</t>
  </si>
  <si>
    <t>ORD10219</t>
  </si>
  <si>
    <t>ORD10277</t>
  </si>
  <si>
    <t>ORD10278</t>
  </si>
  <si>
    <t>ORD10301</t>
  </si>
  <si>
    <t>ORD10385</t>
  </si>
  <si>
    <t>ORD10443</t>
  </si>
  <si>
    <t>ORD10062</t>
  </si>
  <si>
    <t>ORD10258</t>
  </si>
  <si>
    <t>ORD10014</t>
  </si>
  <si>
    <t>ORD10100</t>
  </si>
  <si>
    <t>ORD10214</t>
  </si>
  <si>
    <t>ORD10250</t>
  </si>
  <si>
    <t>ORD10284</t>
  </si>
  <si>
    <t>ORD10331</t>
  </si>
  <si>
    <t>ORD10373</t>
  </si>
  <si>
    <t>ORD10402</t>
  </si>
  <si>
    <t>ORD10407</t>
  </si>
  <si>
    <t>ORD10470</t>
  </si>
  <si>
    <t>ORD10481</t>
  </si>
  <si>
    <t>ORD10555</t>
  </si>
  <si>
    <t>ORD10564</t>
  </si>
  <si>
    <t>ORD10053</t>
  </si>
  <si>
    <t>ORD10056</t>
  </si>
  <si>
    <t>ORD10080</t>
  </si>
  <si>
    <t>ORD10212</t>
  </si>
  <si>
    <t>P130</t>
  </si>
  <si>
    <t>ORD10300</t>
  </si>
  <si>
    <t>ORD10534</t>
  </si>
  <si>
    <t>ORD10559</t>
  </si>
  <si>
    <t>ORD10127</t>
  </si>
  <si>
    <t>ORD10279</t>
  </si>
  <si>
    <t>ORD10333</t>
  </si>
  <si>
    <t>ORD10371</t>
  </si>
  <si>
    <t>ORD10508</t>
  </si>
  <si>
    <t>ORD10556</t>
  </si>
  <si>
    <t>ORD10590</t>
  </si>
  <si>
    <t>ORD10157</t>
  </si>
  <si>
    <t>ORD10211</t>
  </si>
  <si>
    <t>ORD10272</t>
  </si>
  <si>
    <t>ORD10305</t>
  </si>
  <si>
    <t>ORD10453</t>
  </si>
  <si>
    <t>ORD10558</t>
  </si>
  <si>
    <t>ORD10089</t>
  </si>
  <si>
    <t>ORD10152</t>
  </si>
  <si>
    <t>ORD10189</t>
  </si>
  <si>
    <t>ORD10216</t>
  </si>
  <si>
    <t>ORD10344</t>
  </si>
  <si>
    <t>ORD10375</t>
  </si>
  <si>
    <t>ORD10007</t>
  </si>
  <si>
    <t>ORD10422</t>
  </si>
  <si>
    <t>ORD10572</t>
  </si>
  <si>
    <t>ORD10032</t>
  </si>
  <si>
    <t>ORD10054</t>
  </si>
  <si>
    <t>ORD10117</t>
  </si>
  <si>
    <t>ORD10235</t>
  </si>
  <si>
    <t>ORD10425</t>
  </si>
  <si>
    <t>ORD10145</t>
  </si>
  <si>
    <t>ORD10184</t>
  </si>
  <si>
    <t>ORD10525</t>
  </si>
  <si>
    <t>ORD10085</t>
  </si>
  <si>
    <t>ORD10122</t>
  </si>
  <si>
    <t>ORD10204</t>
  </si>
  <si>
    <t>ORD10252</t>
  </si>
  <si>
    <t>ORD10286</t>
  </si>
  <si>
    <t>ORD10290</t>
  </si>
  <si>
    <t>ORD10389</t>
  </si>
  <si>
    <t>ORD10404</t>
  </si>
  <si>
    <t>ORD10588</t>
  </si>
  <si>
    <t>ORD10043</t>
  </si>
  <si>
    <t>ORD10070</t>
  </si>
  <si>
    <t>ORD10091</t>
  </si>
  <si>
    <t>ORD10120</t>
  </si>
  <si>
    <t>ORD10199</t>
  </si>
  <si>
    <t>ORD10249</t>
  </si>
  <si>
    <t>ORD10405</t>
  </si>
  <si>
    <t>ORD10484</t>
  </si>
  <si>
    <t>ORD10504</t>
  </si>
  <si>
    <t>ORD10526</t>
  </si>
  <si>
    <t>ORD10573</t>
  </si>
  <si>
    <t>ORD10086</t>
  </si>
  <si>
    <t>ORD10105</t>
  </si>
  <si>
    <t>ORD10106</t>
  </si>
  <si>
    <t>ORD10128</t>
  </si>
  <si>
    <t>ORD10178</t>
  </si>
  <si>
    <t>ORD10340</t>
  </si>
  <si>
    <t>ORD10345</t>
  </si>
  <si>
    <t>ORD10364</t>
  </si>
  <si>
    <t>ORD10380</t>
  </si>
  <si>
    <t>ORD10403</t>
  </si>
  <si>
    <t>ORD10507</t>
  </si>
  <si>
    <t>ORD10326</t>
  </si>
  <si>
    <t>ORD10599</t>
  </si>
  <si>
    <t>ORD10029</t>
  </si>
  <si>
    <t>ORD10030</t>
  </si>
  <si>
    <t>ORD10103</t>
  </si>
  <si>
    <t>ORD10169</t>
  </si>
  <si>
    <t>ORD10427</t>
  </si>
  <si>
    <t>ORD10516</t>
  </si>
  <si>
    <t>ORD10027</t>
  </si>
  <si>
    <t>ORD10153</t>
  </si>
  <si>
    <t>ORD10175</t>
  </si>
  <si>
    <t>ORD10362</t>
  </si>
  <si>
    <t>ORD10111</t>
  </si>
  <si>
    <t>ORD10213</t>
  </si>
  <si>
    <t>ORD10248</t>
  </si>
  <si>
    <t>ORD10492</t>
  </si>
  <si>
    <t>ORD10543</t>
  </si>
  <si>
    <t>ORD10015</t>
  </si>
  <si>
    <t>ORD10177</t>
  </si>
  <si>
    <t>ORD10238</t>
  </si>
  <si>
    <t>ORD10321</t>
  </si>
  <si>
    <t>ORD10393</t>
  </si>
  <si>
    <t>ORD10110</t>
  </si>
  <si>
    <t>ORD10125</t>
  </si>
  <si>
    <t>ORD10469</t>
  </si>
  <si>
    <t>ORD10088</t>
  </si>
  <si>
    <t>ORD10095</t>
  </si>
  <si>
    <t>ORD10233</t>
  </si>
  <si>
    <t>ORD10306</t>
  </si>
  <si>
    <t>ORD10239</t>
  </si>
  <si>
    <t>ORD10303</t>
  </si>
  <si>
    <t>ORD10431</t>
  </si>
  <si>
    <t>ORD10531</t>
  </si>
  <si>
    <t>ORD10568</t>
  </si>
  <si>
    <t>ORD10586</t>
  </si>
  <si>
    <t>ORD10097</t>
  </si>
  <si>
    <t>ORD10124</t>
  </si>
  <si>
    <t>ORD10149</t>
  </si>
  <si>
    <t>ORD10164</t>
  </si>
  <si>
    <t>ORD10585</t>
  </si>
  <si>
    <t>ORD10020</t>
  </si>
  <si>
    <t>ORD10046</t>
  </si>
  <si>
    <t>ORD10452</t>
  </si>
  <si>
    <t>ORD10538</t>
  </si>
  <si>
    <t>ORD10025</t>
  </si>
  <si>
    <t>ORD10057</t>
  </si>
  <si>
    <t>ORD10112</t>
  </si>
  <si>
    <t>ORD10513</t>
  </si>
  <si>
    <t>ORD10002</t>
  </si>
  <si>
    <t>ORD10160</t>
  </si>
  <si>
    <t>ORD10168</t>
  </si>
  <si>
    <t>ORD10227</t>
  </si>
  <si>
    <t>ORD10271</t>
  </si>
  <si>
    <t>ORD10323</t>
  </si>
  <si>
    <t>ORD10208</t>
  </si>
  <si>
    <t>ORD10226</t>
  </si>
  <si>
    <t>ORD10313</t>
  </si>
  <si>
    <t>ORD10031</t>
  </si>
  <si>
    <t>ORD10121</t>
  </si>
  <si>
    <t>ORD10126</t>
  </si>
  <si>
    <t>ORD10221</t>
  </si>
  <si>
    <t>ORD10224</t>
  </si>
  <si>
    <t>ORD10298</t>
  </si>
  <si>
    <t>ORD10308</t>
  </si>
  <si>
    <t>ORD10381</t>
  </si>
  <si>
    <t>ORD10502</t>
  </si>
  <si>
    <t>ORD10061</t>
  </si>
  <si>
    <t>ORD10236</t>
  </si>
  <si>
    <t>ORD10281</t>
  </si>
  <si>
    <t>ORD10347</t>
  </si>
  <si>
    <t>ORD10392</t>
  </si>
  <si>
    <t>ORD10430</t>
  </si>
  <si>
    <t>ORD10486</t>
  </si>
  <si>
    <t>ORD10537</t>
  </si>
  <si>
    <t>ORD10063</t>
  </si>
  <si>
    <t>ORD10116</t>
  </si>
  <si>
    <t>ORD10129</t>
  </si>
  <si>
    <t>ORD10161</t>
  </si>
  <si>
    <t>ORD10165</t>
  </si>
  <si>
    <t>ORD10167</t>
  </si>
  <si>
    <t>ORD10266</t>
  </si>
  <si>
    <t>ORD10312</t>
  </si>
  <si>
    <t>ORD10524</t>
  </si>
  <si>
    <t>ORD10190</t>
  </si>
  <si>
    <t>ORD10283</t>
  </si>
  <si>
    <t>ORD10378</t>
  </si>
  <si>
    <t>ORD10398</t>
  </si>
  <si>
    <t>ORD10436</t>
  </si>
  <si>
    <t>ORD10510</t>
  </si>
  <si>
    <t>ORD10174</t>
  </si>
  <si>
    <t>ORD10228</t>
  </si>
  <si>
    <t>ORD10268</t>
  </si>
  <si>
    <t>ORD10322</t>
  </si>
  <si>
    <t>ORD10406</t>
  </si>
  <si>
    <t>ORD10423</t>
  </si>
  <si>
    <t>ORD10542</t>
  </si>
  <si>
    <t>ORD10554</t>
  </si>
  <si>
    <t>ORD10008</t>
  </si>
  <si>
    <t>ORD10034</t>
  </si>
  <si>
    <t>ORD10074</t>
  </si>
  <si>
    <t>ORD10163</t>
  </si>
  <si>
    <t>ORD10207</t>
  </si>
  <si>
    <t>ORD10223</t>
  </si>
  <si>
    <t>ORD10270</t>
  </si>
  <si>
    <t>ORD10400</t>
  </si>
  <si>
    <t>ORD10446</t>
  </si>
  <si>
    <t>ORD10473</t>
  </si>
  <si>
    <t>ORD10591</t>
  </si>
  <si>
    <t>ORD10172</t>
  </si>
  <si>
    <t>ORD10243</t>
  </si>
  <si>
    <t>ORD10379</t>
  </si>
  <si>
    <t>ORD10426</t>
  </si>
  <si>
    <t>ORD10495</t>
  </si>
  <si>
    <t>ORD10069</t>
  </si>
  <si>
    <t>ORD10225</t>
  </si>
  <si>
    <t>ORD10338</t>
  </si>
  <si>
    <t>ORD10399</t>
  </si>
  <si>
    <t>ORD10548</t>
  </si>
  <si>
    <t>ORD10295</t>
  </si>
  <si>
    <t>ORD10016</t>
  </si>
  <si>
    <t>ORD10024</t>
  </si>
  <si>
    <t>ORD10081</t>
  </si>
  <si>
    <t>ORD10087</t>
  </si>
  <si>
    <t>ORD10182</t>
  </si>
  <si>
    <t>ORD10255</t>
  </si>
  <si>
    <t>ORD10310</t>
  </si>
  <si>
    <t>ORD10435</t>
  </si>
  <si>
    <t>ORD10491</t>
  </si>
  <si>
    <t>ORD10021</t>
  </si>
  <si>
    <t>ORD10073</t>
  </si>
  <si>
    <t>ORD10203</t>
  </si>
  <si>
    <t>ORD10246</t>
  </si>
  <si>
    <t>ORD10274</t>
  </si>
  <si>
    <t>ORD10293</t>
  </si>
  <si>
    <t>ORD10413</t>
  </si>
  <si>
    <t>ORD10505</t>
  </si>
  <si>
    <t>ORD10397</t>
  </si>
  <si>
    <t>ORD10420</t>
  </si>
  <si>
    <t>ORD10442</t>
  </si>
  <si>
    <t>ORD10512</t>
  </si>
  <si>
    <t>ORD10022</t>
  </si>
  <si>
    <t>ORD10058</t>
  </si>
  <si>
    <t>ORD10144</t>
  </si>
  <si>
    <t>ORD10155</t>
  </si>
  <si>
    <t>ORD10192</t>
  </si>
  <si>
    <t>ORD10045</t>
  </si>
  <si>
    <t>ORD10079</t>
  </si>
  <si>
    <t>ORD10147</t>
  </si>
  <si>
    <t>ORD10242</t>
  </si>
  <si>
    <t>ORD10280</t>
  </si>
  <si>
    <t>ORD10337</t>
  </si>
  <si>
    <t>ORD10428</t>
  </si>
  <si>
    <t>ORD10532</t>
  </si>
  <si>
    <t>ORD10563</t>
  </si>
  <si>
    <t>ORD10018</t>
  </si>
  <si>
    <t>ORD10142</t>
  </si>
  <si>
    <t>ORD10151</t>
  </si>
  <si>
    <t>ORD10292</t>
  </si>
  <si>
    <t>ORD10408</t>
  </si>
  <si>
    <t>ORD10487</t>
  </si>
  <si>
    <t>ORD10515</t>
  </si>
  <si>
    <t>ORD10028</t>
  </si>
  <si>
    <t>ORD10133</t>
  </si>
  <si>
    <t>ORD10181</t>
  </si>
  <si>
    <t>ORD10265</t>
  </si>
  <si>
    <t>ORD10455</t>
  </si>
  <si>
    <t>ORD10472</t>
  </si>
  <si>
    <t>ORD10511</t>
  </si>
  <si>
    <t>ORD10570</t>
  </si>
  <si>
    <t>ORD10578</t>
  </si>
  <si>
    <t>ORD10052</t>
  </si>
  <si>
    <t>ORD10136</t>
  </si>
  <si>
    <t>ORD10143</t>
  </si>
  <si>
    <t>ORD10156</t>
  </si>
  <si>
    <t>ORD10291</t>
  </si>
  <si>
    <t>ORD10456</t>
  </si>
  <si>
    <t>ORD10017</t>
  </si>
  <si>
    <t>ORD10075</t>
  </si>
  <si>
    <t>ORD10084</t>
  </si>
  <si>
    <t>ORD10094</t>
  </si>
  <si>
    <t>ORD10102</t>
  </si>
  <si>
    <t>ORD10114</t>
  </si>
  <si>
    <t>ORD10135</t>
  </si>
  <si>
    <t>ORD10171</t>
  </si>
  <si>
    <t>ORD10297</t>
  </si>
  <si>
    <t>ORD10374</t>
  </si>
  <si>
    <t>ORD10414</t>
  </si>
  <si>
    <t>ORD10552</t>
  </si>
  <si>
    <t>ORD10285</t>
  </si>
  <si>
    <t>ORD10329</t>
  </si>
  <si>
    <t>ORD10343</t>
  </si>
  <si>
    <t>ORD10410</t>
  </si>
  <si>
    <t>ORD10567</t>
  </si>
  <si>
    <t>ORD10587</t>
  </si>
  <si>
    <t>ORD10048</t>
  </si>
  <si>
    <t>ORD10158</t>
  </si>
  <si>
    <t>ORD10186</t>
  </si>
  <si>
    <t>ORD10193</t>
  </si>
  <si>
    <t>ORD10220</t>
  </si>
  <si>
    <t>ORD10309</t>
  </si>
  <si>
    <t>ORD10419</t>
  </si>
  <si>
    <t>ORD10439</t>
  </si>
  <si>
    <t>ORD10553</t>
  </si>
  <si>
    <t>ORD10041</t>
  </si>
  <si>
    <t>ORD10247</t>
  </si>
  <si>
    <t>ORD10349</t>
  </si>
  <si>
    <t>ORD10358</t>
  </si>
  <si>
    <t>ORD10382</t>
  </si>
  <si>
    <t>ORD10501</t>
  </si>
  <si>
    <t>ORD10571</t>
  </si>
  <si>
    <t>ORD10411</t>
  </si>
  <si>
    <t>ORD10460</t>
  </si>
  <si>
    <t>ORD10463</t>
  </si>
  <si>
    <t>ORD10067</t>
  </si>
  <si>
    <t>ORD10096</t>
  </si>
  <si>
    <t>ORD10107</t>
  </si>
  <si>
    <t>ORD10154</t>
  </si>
  <si>
    <t>ORD10173</t>
  </si>
  <si>
    <t>ORD10342</t>
  </si>
  <si>
    <t>ORD10454</t>
  </si>
  <si>
    <t>ORD10500</t>
  </si>
  <si>
    <t>ORD10009</t>
  </si>
  <si>
    <t>ORD10019</t>
  </si>
  <si>
    <t>ORD10179</t>
  </si>
  <si>
    <t>ORD10287</t>
  </si>
  <si>
    <t>ORD10377</t>
  </si>
  <si>
    <t>ORD10137</t>
  </si>
  <si>
    <t>ORD10369</t>
  </si>
  <si>
    <t>ORD10471</t>
  </si>
  <si>
    <t>ORD10276</t>
  </si>
  <si>
    <t>ORD10351</t>
  </si>
  <si>
    <t>ORD10370</t>
  </si>
  <si>
    <t>ORD10488</t>
  </si>
  <si>
    <t>ORD10499</t>
  </si>
  <si>
    <t>ORD10581</t>
  </si>
  <si>
    <t>ORD10013</t>
  </si>
  <si>
    <t>ORD10201</t>
  </si>
  <si>
    <t>ORD10251</t>
  </si>
  <si>
    <t>ORD10257</t>
  </si>
  <si>
    <t>ORD10352</t>
  </si>
  <si>
    <t>ORD10386</t>
  </si>
  <si>
    <t>ORD10432</t>
  </si>
  <si>
    <t>ORD10434</t>
  </si>
  <si>
    <t>ORD10033</t>
  </si>
  <si>
    <t>ORD10065</t>
  </si>
  <si>
    <t>ORD10071</t>
  </si>
  <si>
    <t>ORD10357</t>
  </si>
  <si>
    <t>ORD10498</t>
  </si>
  <si>
    <t>ORD10517</t>
  </si>
  <si>
    <t>ORD10530</t>
  </si>
  <si>
    <t>ORD10580</t>
  </si>
  <si>
    <t>ORD10040</t>
  </si>
  <si>
    <t>ORD10066</t>
  </si>
  <si>
    <t>ORD10132</t>
  </si>
  <si>
    <t>ORD10202</t>
  </si>
  <si>
    <t>ORD10234</t>
  </si>
  <si>
    <t>ORD10240</t>
  </si>
  <si>
    <t>ORD10262</t>
  </si>
  <si>
    <t>ORD10328</t>
  </si>
  <si>
    <t>ORD10575</t>
  </si>
  <si>
    <t>ORD10076</t>
  </si>
  <si>
    <t>ORD10083</t>
  </si>
  <si>
    <t>ORD10231</t>
  </si>
  <si>
    <t>ORD10366</t>
  </si>
  <si>
    <t>ORD10437</t>
  </si>
  <si>
    <t>ORD10462</t>
  </si>
  <si>
    <t>ORD10496</t>
  </si>
  <si>
    <t>ORD10557</t>
  </si>
  <si>
    <t>ORD10583</t>
  </si>
  <si>
    <t>ORD10026</t>
  </si>
  <si>
    <t>ORD10059</t>
  </si>
  <si>
    <t>ORD10232</t>
  </si>
  <si>
    <t>ORD10318</t>
  </si>
  <si>
    <t>ORD10335</t>
  </si>
  <si>
    <t>ORD10150</t>
  </si>
  <si>
    <t>ORD10260</t>
  </si>
  <si>
    <t>ORD10264</t>
  </si>
  <si>
    <t>ORD10141</t>
  </si>
  <si>
    <t>ORD10148</t>
  </si>
  <si>
    <t>ORD10159</t>
  </si>
  <si>
    <t>ORD10289</t>
  </si>
  <si>
    <t>ORD10336</t>
  </si>
  <si>
    <t>ORD10348</t>
  </si>
  <si>
    <t>ORD10417</t>
  </si>
  <si>
    <t>ORD10466</t>
  </si>
  <si>
    <t>ORD10483</t>
  </si>
  <si>
    <t>ORD10490</t>
  </si>
  <si>
    <t>ORD10539</t>
  </si>
  <si>
    <t>ORD10010</t>
  </si>
  <si>
    <t>ORD10118</t>
  </si>
  <si>
    <t>ORD10170</t>
  </si>
  <si>
    <t>ORD10296</t>
  </si>
  <si>
    <t>ORD10316</t>
  </si>
  <si>
    <t>ORD10361</t>
  </si>
  <si>
    <t>ORD10376</t>
  </si>
  <si>
    <t>ORD10412</t>
  </si>
  <si>
    <t>ORD10415</t>
  </si>
  <si>
    <t>ORD10438</t>
  </si>
  <si>
    <t>ORD10447</t>
  </si>
  <si>
    <t>ORD10551</t>
  </si>
  <si>
    <t>ORD10562</t>
  </si>
  <si>
    <t>ORD10592</t>
  </si>
  <si>
    <t>ORD10060</t>
  </si>
  <si>
    <t>ORD10196</t>
  </si>
  <si>
    <t>ORD10198</t>
  </si>
  <si>
    <t>ORD10334</t>
  </si>
  <si>
    <t>ORD10363</t>
  </si>
  <si>
    <t>ORD10383</t>
  </si>
  <si>
    <t>ORD10401</t>
  </si>
  <si>
    <t>ORD10523</t>
  </si>
  <si>
    <t>ORD10528</t>
  </si>
  <si>
    <t>ORD10001</t>
  </si>
  <si>
    <t>ORD10036</t>
  </si>
  <si>
    <t>ORD10068</t>
  </si>
  <si>
    <t>ORD10146</t>
  </si>
  <si>
    <t>ORD10339</t>
  </si>
  <si>
    <t>ORD10424</t>
  </si>
  <si>
    <t>ORD10468</t>
  </si>
  <si>
    <t>ORD10115</t>
  </si>
  <si>
    <t>ORD10429</t>
  </si>
  <si>
    <t>ORD10475</t>
  </si>
  <si>
    <t>ORD10093</t>
  </si>
  <si>
    <t>ORD10259</t>
  </si>
  <si>
    <t>ORD10445</t>
  </si>
  <si>
    <t>ORD10546</t>
  </si>
  <si>
    <t>ORD10101</t>
  </si>
  <si>
    <t>ORD10464</t>
  </si>
  <si>
    <t>ORD10594</t>
  </si>
  <si>
    <t>ORD10012</t>
  </si>
  <si>
    <t>ORD10037</t>
  </si>
  <si>
    <t>ORD10162</t>
  </si>
  <si>
    <t>ORD10195</t>
  </si>
  <si>
    <t>ORD10448</t>
  </si>
  <si>
    <t>ORD10478</t>
  </si>
  <si>
    <t>ORD10341</t>
  </si>
  <si>
    <t>ORD10396</t>
  </si>
  <si>
    <t>ORD10482</t>
  </si>
  <si>
    <t>ORD10560</t>
  </si>
  <si>
    <t>ORD10023</t>
  </si>
  <si>
    <t>ORD10387</t>
  </si>
  <si>
    <t>ORD10509</t>
  </si>
  <si>
    <t>ORD10576</t>
  </si>
  <si>
    <t>ORD10245</t>
  </si>
  <si>
    <t>ORD10388</t>
  </si>
  <si>
    <t>ORD10493</t>
  </si>
  <si>
    <t>ORD10520</t>
  </si>
  <si>
    <t>ORD10522</t>
  </si>
  <si>
    <t>ORD10138</t>
  </si>
  <si>
    <t>ORD10209</t>
  </si>
  <si>
    <t>ORD10218</t>
  </si>
  <si>
    <t>ORD10359</t>
  </si>
  <si>
    <t>ORD10577</t>
  </si>
  <si>
    <t>Total</t>
  </si>
  <si>
    <t>check low</t>
  </si>
  <si>
    <t>Check</t>
  </si>
  <si>
    <t>Small</t>
  </si>
  <si>
    <t>Medium</t>
  </si>
  <si>
    <t>Large</t>
  </si>
  <si>
    <t>T Check</t>
  </si>
  <si>
    <t>T Small</t>
  </si>
  <si>
    <t>T Medium</t>
  </si>
  <si>
    <t>T Large</t>
  </si>
  <si>
    <t>P O S</t>
  </si>
  <si>
    <t>P O M</t>
  </si>
  <si>
    <t>P O L</t>
  </si>
  <si>
    <t>P O C</t>
  </si>
  <si>
    <t>C review</t>
  </si>
  <si>
    <t>C bulk</t>
  </si>
  <si>
    <t>C below margin</t>
  </si>
  <si>
    <t>Catagory</t>
  </si>
  <si>
    <t>Accessories</t>
  </si>
  <si>
    <t>Audio</t>
  </si>
  <si>
    <t>Gaming</t>
  </si>
  <si>
    <t>Phones</t>
  </si>
  <si>
    <t>Computers</t>
  </si>
  <si>
    <t>TV</t>
  </si>
  <si>
    <t>Brand</t>
  </si>
  <si>
    <t>Laptop 14in</t>
  </si>
  <si>
    <t>Lenova</t>
  </si>
  <si>
    <t>Laptop 16in</t>
  </si>
  <si>
    <t>Azus</t>
  </si>
  <si>
    <t>Gaming Mouse</t>
  </si>
  <si>
    <t>Logitek</t>
  </si>
  <si>
    <t>Mech Keyboard</t>
  </si>
  <si>
    <t>27in Monitor</t>
  </si>
  <si>
    <t>Samsong</t>
  </si>
  <si>
    <t>Smartphone 128GB</t>
  </si>
  <si>
    <t>Smartphone 256GB</t>
  </si>
  <si>
    <t>Appel</t>
  </si>
  <si>
    <t>Wireless Earbuds</t>
  </si>
  <si>
    <t>Sonee</t>
  </si>
  <si>
    <t>Over-Ear Headphones</t>
  </si>
  <si>
    <t>Bluetooth Speaker</t>
  </si>
  <si>
    <t>JBN</t>
  </si>
  <si>
    <t>55in TV</t>
  </si>
  <si>
    <t>LGG</t>
  </si>
  <si>
    <t>65in TV</t>
  </si>
  <si>
    <t>Soundbar</t>
  </si>
  <si>
    <t>Game Console</t>
  </si>
  <si>
    <t>Ninendo</t>
  </si>
  <si>
    <t>Console Controller</t>
  </si>
  <si>
    <t>Phone Case</t>
  </si>
  <si>
    <t>Generic</t>
  </si>
  <si>
    <t>USB-C Charger</t>
  </si>
  <si>
    <t>Tablet 11in</t>
  </si>
  <si>
    <t>Smartwatch</t>
  </si>
  <si>
    <t>Video Game</t>
  </si>
  <si>
    <t>Various</t>
  </si>
  <si>
    <t>StoreName</t>
  </si>
  <si>
    <t>State</t>
  </si>
  <si>
    <t>Rockdale</t>
  </si>
  <si>
    <t>NSW</t>
  </si>
  <si>
    <t>Sydney South</t>
  </si>
  <si>
    <t>Parramatta</t>
  </si>
  <si>
    <t>Sydney West</t>
  </si>
  <si>
    <t>Bondi Junction</t>
  </si>
  <si>
    <t>Sydney East</t>
  </si>
  <si>
    <t>Chatswood</t>
  </si>
  <si>
    <t>Sydney North</t>
  </si>
  <si>
    <t>Hurstville</t>
  </si>
  <si>
    <t>Penrith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</si>
</sst>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3" borderId="0" xfId="0" applyFont="1" applyFill="1"/>
    <xf numFmtId="2" fontId="0" fillId="0" borderId="0" xfId="0" applyNumberFormat="1"/>
    <xf numFmtId="0" fontId="3" fillId="0" borderId="0" xfId="0" applyFont="1"/>
    <xf numFmtId="2" fontId="0" fillId="5" borderId="1" xfId="0" applyNumberFormat="1" applyFont="1" applyFill="1" applyBorder="1"/>
    <xf numFmtId="0" fontId="0" fillId="4" borderId="2" xfId="0" applyFill="1" applyBorder="1"/>
    <xf numFmtId="0" fontId="0" fillId="4" borderId="3" xfId="0" applyFill="1" applyBorder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3"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ED36A-04BC-4AC1-8567-A97023F1441B}" name="Table1" displayName="Table1" ref="A1:S601" totalsRowShown="0">
  <autoFilter ref="A1:S601" xr:uid="{ED6ED36A-04BC-4AC1-8567-A97023F1441B}">
    <filterColumn colId="6">
      <filters>
        <filter val="Accessories"/>
        <filter val="Audio"/>
        <filter val="Computers"/>
        <filter val="Gaming"/>
        <filter val="Phones"/>
        <filter val="TV"/>
      </filters>
    </filterColumn>
  </autoFilter>
  <tableColumns count="19">
    <tableColumn id="1" xr3:uid="{C5440C87-FEAE-455C-ABFF-60DEB0783668}" name="OrderID"/>
    <tableColumn id="2" xr3:uid="{924805F5-68D7-42DF-8822-05DC93454DEA}" name="OrderDate" dataDxfId="12"/>
    <tableColumn id="3" xr3:uid="{9EE14611-BE45-4CBD-B8DC-0B64C6188C29}" name="StoreID"/>
    <tableColumn id="4" xr3:uid="{FABB1018-232B-449D-82D6-153585B01BDA}" name="ProductID"/>
    <tableColumn id="5" xr3:uid="{212537D6-DEFF-4D94-B51E-7715909B9874}" name="Qty"/>
    <tableColumn id="6" xr3:uid="{BF3C75AF-9B01-448E-B836-FF57FD1AA0D3}" name="ProductName"/>
    <tableColumn id="7" xr3:uid="{685C11B4-27BF-4FFD-AAFB-94E00EAE22C1}" name="Category"/>
    <tableColumn id="8" xr3:uid="{53B72D4C-AA72-4D7F-9D5F-0BEE4FC0A5B9}" name="UnitPrice" dataDxfId="11"/>
    <tableColumn id="9" xr3:uid="{75E80378-6323-4AA2-9FE6-E4CDB6306D31}" name="UnitCost" dataDxfId="10"/>
    <tableColumn id="10" xr3:uid="{44D8BE62-8332-48F1-85CF-8A7AC473F930}" name="Region"/>
    <tableColumn id="11" xr3:uid="{277F5760-C7EA-4086-A4DB-A4923C655488}" name="Revenue" dataDxfId="9"/>
    <tableColumn id="12" xr3:uid="{BF210B8F-319F-4A4E-8432-157E7AB3F837}" name="Profit" dataDxfId="8"/>
    <tableColumn id="13" xr3:uid="{BF839D25-08BD-4171-9AE8-8F2D77F802DF}" name="Margin" dataDxfId="7">
      <calculatedColumnFormula>IF(Table1[[#This Row],[Revenue]]=0, "", Table1[[#This Row],[Profit]]/Table1[[#This Row],[Revenue]])</calculatedColumnFormula>
    </tableColumn>
    <tableColumn id="17" xr3:uid="{96D61C0D-42F6-42A8-8CA7-0C64276A41EF}" name="Margin Flag" dataDxfId="6">
      <calculatedColumnFormula>IF(Table1[[#This Row],[Margin]]="", "check", IF(Table1[[#This Row],[Margin]]&lt;0.2, "Low", "OK"))</calculatedColumnFormula>
    </tableColumn>
    <tableColumn id="19" xr3:uid="{C9B3952E-12F5-431D-9C94-EAB514B2C06D}" name="Order Size" dataDxfId="5">
      <calculatedColumnFormula array="1">_xlfn.IFS(Table1[[#This Row],[Revenue]]=0, "Check", Table1[[#This Row],[Revenue]]&gt;=1000, "Large", Table1[[#This Row],[Revenue]]&gt;=200, "Medium", TRUE, "Small")</calculatedColumnFormula>
    </tableColumn>
    <tableColumn id="14" xr3:uid="{11168C50-3061-442C-A6B0-2D8B38F37D46}" name="Review" dataDxfId="4">
      <calculatedColumnFormula>IF(AND(Table1[[#This Row],[Margin Flag]]="Low", Table1[[#This Row],[Revenue]]&gt;1000), "Review", "")</calculatedColumnFormula>
    </tableColumn>
    <tableColumn id="15" xr3:uid="{9BF9E48D-89EA-4511-99AC-C0ECF8838AE1}" name="Bulk" dataDxfId="3">
      <calculatedColumnFormula>IF(OR(Table1[[#This Row],[Qty]]&gt;=5,Table1[[#This Row],[Order Size]] = "Large" ), "Bulk", "")</calculatedColumnFormula>
    </tableColumn>
    <tableColumn id="16" xr3:uid="{AE6914DE-481C-4D51-8221-28182F5B9087}" name="Target Margin" dataDxfId="2">
      <calculatedColumnFormula>_xlfn.XLOOKUP(G2, Lookup!$A$2:$A$7, Lookup!$B$2:$B$7, "")</calculatedColumnFormula>
    </tableColumn>
    <tableColumn id="18" xr3:uid="{B8D128EA-5646-4318-A294-949BA70E3F1E}" name="Below Target" dataDxfId="1">
      <calculatedColumnFormula>IF(Table1[[#This Row],[Margin]]&lt;Table1[[#This Row],[Target Margin]], "Yes", "")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BF19EF-E501-4A6C-8DE7-2B04868BB956}" name="Table2" displayName="Table2" ref="A1:B7" totalsRowShown="0">
  <autoFilter ref="A1:B7" xr:uid="{6ABF19EF-E501-4A6C-8DE7-2B04868BB956}"/>
  <tableColumns count="2">
    <tableColumn id="1" xr3:uid="{0366A4F7-57E9-4C5C-8EBF-8790278043D2}" name="Catagory"/>
    <tableColumn id="2" xr3:uid="{3D38FA4E-9EE0-4510-A70C-FBD7E1E39F46}" name="Target Marg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3"/>
  <sheetViews>
    <sheetView tabSelected="1" workbookViewId="0">
      <pane ySplit="1" topLeftCell="M616" activePane="bottomLeft" state="frozen"/>
      <selection pane="bottomLeft" activeCell="O634" sqref="O634"/>
    </sheetView>
  </sheetViews>
  <sheetFormatPr defaultRowHeight="15"/>
  <cols>
    <col min="1" max="1" width="12" customWidth="1"/>
    <col min="2" max="2" width="12.85546875" bestFit="1" customWidth="1"/>
    <col min="3" max="3" width="10.140625" bestFit="1" customWidth="1"/>
    <col min="4" max="4" width="12.28515625" bestFit="1" customWidth="1"/>
    <col min="5" max="5" width="6.7109375" bestFit="1" customWidth="1"/>
    <col min="6" max="6" width="20.5703125" bestFit="1" customWidth="1"/>
    <col min="7" max="7" width="22.85546875" customWidth="1"/>
    <col min="8" max="8" width="11.7109375" style="4" bestFit="1" customWidth="1"/>
    <col min="9" max="9" width="11.140625" style="4" bestFit="1" customWidth="1"/>
    <col min="10" max="10" width="13" bestFit="1" customWidth="1"/>
    <col min="11" max="11" width="11.140625" style="4" bestFit="1" customWidth="1"/>
    <col min="12" max="12" width="9.140625" style="4"/>
    <col min="13" max="13" width="22.28515625" style="10" bestFit="1" customWidth="1"/>
    <col min="14" max="14" width="14.28515625" customWidth="1"/>
    <col min="15" max="15" width="11.42578125" bestFit="1" customWidth="1"/>
    <col min="16" max="16" width="11.42578125" customWidth="1"/>
    <col min="17" max="17" width="11.42578125" bestFit="1" customWidth="1"/>
    <col min="18" max="18" width="9.140625" style="1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t="s">
        <v>6</v>
      </c>
      <c r="H1" s="4" t="s">
        <v>7</v>
      </c>
      <c r="I1" s="4" t="s">
        <v>8</v>
      </c>
      <c r="J1" t="s">
        <v>9</v>
      </c>
      <c r="K1" s="4" t="s">
        <v>10</v>
      </c>
      <c r="L1" s="4" t="s">
        <v>11</v>
      </c>
      <c r="M1" s="10" t="s">
        <v>12</v>
      </c>
      <c r="N1" t="s">
        <v>13</v>
      </c>
      <c r="O1" t="s">
        <v>14</v>
      </c>
      <c r="P1" t="s">
        <v>15</v>
      </c>
      <c r="Q1" t="s">
        <v>16</v>
      </c>
      <c r="R1" s="10" t="s">
        <v>17</v>
      </c>
      <c r="S1" t="s">
        <v>18</v>
      </c>
    </row>
    <row r="2" spans="1:19">
      <c r="A2" t="s">
        <v>19</v>
      </c>
      <c r="B2" s="2">
        <v>46204</v>
      </c>
      <c r="C2" t="s">
        <v>20</v>
      </c>
      <c r="D2" t="s">
        <v>21</v>
      </c>
      <c r="E2">
        <v>2</v>
      </c>
      <c r="F2" t="str">
        <f>_xlfn.XLOOKUP(D2, Products!$A$2:$A$21, Products!$B$2:$B$21, "Not Found")</f>
        <v>Gaming Mouse</v>
      </c>
      <c r="G2" t="str">
        <f>_xlfn.XLOOKUP(D2, Products!$A$2:$A$21, Products!$C$2:$C$21,"Not Found")</f>
        <v>Accessories</v>
      </c>
      <c r="H2" s="4">
        <f>_xlfn.XLOOKUP(D2, Products!$A$2:$A$21, Products!$E$2:$E$21, 0)</f>
        <v>89</v>
      </c>
      <c r="I2" s="4">
        <f>_xlfn.XLOOKUP(D2, Products!$A$2:$A$21, Products!$F$2:$F$21,0)</f>
        <v>41</v>
      </c>
      <c r="J2" t="str">
        <f>_xlfn.XLOOKUP(C2, Stores!$A$2:$A$7, Stores!$D$2:$D$7)</f>
        <v>Sydney West</v>
      </c>
      <c r="K2" s="4">
        <f xml:space="preserve"> E2*H2</f>
        <v>178</v>
      </c>
      <c r="L2" s="4">
        <f xml:space="preserve"> K2 - (E2 * I2)</f>
        <v>96</v>
      </c>
      <c r="M2" s="10">
        <f>IF(Table1[[#This Row],[Revenue]]=0, "", Table1[[#This Row],[Profit]]/Table1[[#This Row],[Revenue]])</f>
        <v>0.5393258426966292</v>
      </c>
      <c r="N2" s="4" t="str">
        <f>IF(Table1[[#This Row],[Margin]]="", "check", IF(Table1[[#This Row],[Margin]]&lt;0.2, "Low", "OK"))</f>
        <v>OK</v>
      </c>
      <c r="O2" s="4" t="str" cm="1">
        <f t="array" ref="O2">_xlfn.IFS(Table1[[#This Row],[Revenue]]=0, "Check", Table1[[#This Row],[Revenue]]&gt;=1000, "Large", Table1[[#This Row],[Revenue]]&gt;=200, "Medium", TRUE, "Small")</f>
        <v>Small</v>
      </c>
      <c r="P2" s="4" t="str">
        <f>IF(AND(Table1[[#This Row],[Margin Flag]]="Low", Table1[[#This Row],[Revenue]]&gt;1000), "Review", "")</f>
        <v/>
      </c>
      <c r="Q2" s="4" t="str">
        <f>IF(OR(Table1[[#This Row],[Qty]]&gt;=5,Table1[[#This Row],[Order Size]] = "Large" ), "Bulk", "")</f>
        <v/>
      </c>
      <c r="R2" s="10">
        <f>_xlfn.XLOOKUP(G2, Lookup!$A$2:$A$7, Lookup!$B$2:$B$7, "")</f>
        <v>0.25</v>
      </c>
      <c r="S2" s="4" t="str">
        <f>IF(Table1[[#This Row],[Margin]]&lt;Table1[[#This Row],[Target Margin]], "Yes", "")</f>
        <v/>
      </c>
    </row>
    <row r="3" spans="1:19">
      <c r="A3" t="s">
        <v>22</v>
      </c>
      <c r="B3" s="2">
        <v>46204</v>
      </c>
      <c r="C3" t="s">
        <v>23</v>
      </c>
      <c r="D3" t="s">
        <v>24</v>
      </c>
      <c r="E3">
        <v>1</v>
      </c>
      <c r="F3" t="str">
        <f>_xlfn.XLOOKUP(D3, Products!$A$2:$A$21, Products!$B$2:$B$21, "Not Found")</f>
        <v>Wireless Earbuds</v>
      </c>
      <c r="G3" t="str">
        <f>_xlfn.XLOOKUP(D3, Products!$A$2:$A$21, Products!$C$2:$C$21,"not found")</f>
        <v>Audio</v>
      </c>
      <c r="H3" s="4">
        <f>_xlfn.XLOOKUP(D3, Products!$A$2:$A$21, Products!$E$2:$E$21, 0)</f>
        <v>249</v>
      </c>
      <c r="I3" s="4">
        <f>_xlfn.XLOOKUP(D3, Products!$A$2:$A$21, Products!$F$2:$F$21,0)</f>
        <v>140</v>
      </c>
      <c r="J3" t="str">
        <f>_xlfn.XLOOKUP(C3, Stores!$A$2:$A$7, Stores!$D$2:$D$7)</f>
        <v>Sydney East</v>
      </c>
      <c r="K3" s="4">
        <f t="shared" ref="K3:K66" si="0" xml:space="preserve"> E3*H3</f>
        <v>249</v>
      </c>
      <c r="L3" s="4">
        <f t="shared" ref="L3:L66" si="1" xml:space="preserve"> K3 - (E3 * I3)</f>
        <v>109</v>
      </c>
      <c r="M3" s="10">
        <f>IF(Table1[[#This Row],[Revenue]]=0, "", Table1[[#This Row],[Profit]]/Table1[[#This Row],[Revenue]])</f>
        <v>0.43775100401606426</v>
      </c>
      <c r="N3" s="4" t="str">
        <f>IF(Table1[[#This Row],[Margin]]="", "check", IF(Table1[[#This Row],[Margin]]&lt;0.2, "Low", "OK"))</f>
        <v>OK</v>
      </c>
      <c r="O3" s="4" t="str" cm="1">
        <f t="array" ref="O3">_xlfn.IFS(Table1[[#This Row],[Revenue]]=0, "Check", Table1[[#This Row],[Revenue]]&gt;=1000, "Large", Table1[[#This Row],[Revenue]]&gt;=200, "Medium", TRUE, "Small")</f>
        <v>Medium</v>
      </c>
      <c r="P3" s="4" t="str">
        <f>IF(AND(Table1[[#This Row],[Margin Flag]]="Low", Table1[[#This Row],[Revenue]]&gt;1000), "Review", "")</f>
        <v/>
      </c>
      <c r="Q3" s="4" t="str">
        <f>IF(OR(Table1[[#This Row],[Qty]]&gt;=5,Table1[[#This Row],[Order Size]] = "Large" ), "Bulk", "")</f>
        <v/>
      </c>
      <c r="R3" s="10">
        <f>_xlfn.XLOOKUP(G3, Lookup!$A$2:$A$7, Lookup!$B$2:$B$7, "")</f>
        <v>0.25</v>
      </c>
      <c r="S3" s="4" t="str">
        <f>IF(Table1[[#This Row],[Margin]]&lt;Table1[[#This Row],[Target Margin]], "Yes", "")</f>
        <v/>
      </c>
    </row>
    <row r="4" spans="1:19">
      <c r="A4" t="s">
        <v>25</v>
      </c>
      <c r="B4" s="2">
        <v>46204</v>
      </c>
      <c r="C4" t="s">
        <v>26</v>
      </c>
      <c r="D4" t="s">
        <v>27</v>
      </c>
      <c r="E4">
        <v>1</v>
      </c>
      <c r="F4" t="str">
        <f>_xlfn.XLOOKUP(D4, Products!$A$2:$A$21, Products!$B$2:$B$21, "Not Found")</f>
        <v>Bluetooth Speaker</v>
      </c>
      <c r="G4" t="str">
        <f>_xlfn.XLOOKUP(D4, Products!$A$2:$A$21, Products!$C$2:$C$21,"not found")</f>
        <v>Audio</v>
      </c>
      <c r="H4" s="4">
        <f>_xlfn.XLOOKUP(D4, Products!$A$2:$A$21, Products!$E$2:$E$21, 0)</f>
        <v>179</v>
      </c>
      <c r="I4" s="4">
        <f>_xlfn.XLOOKUP(D4, Products!$A$2:$A$21, Products!$F$2:$F$21,0)</f>
        <v>95</v>
      </c>
      <c r="J4" t="str">
        <f>_xlfn.XLOOKUP(C4, Stores!$A$2:$A$7, Stores!$D$2:$D$7)</f>
        <v>Sydney North</v>
      </c>
      <c r="K4" s="4">
        <f t="shared" si="0"/>
        <v>179</v>
      </c>
      <c r="L4" s="4">
        <f t="shared" si="1"/>
        <v>84</v>
      </c>
      <c r="M4" s="10">
        <f>IF(Table1[[#This Row],[Revenue]]=0, "", Table1[[#This Row],[Profit]]/Table1[[#This Row],[Revenue]])</f>
        <v>0.46927374301675978</v>
      </c>
      <c r="N4" s="4" t="str">
        <f>IF(Table1[[#This Row],[Margin]]="", "check", IF(Table1[[#This Row],[Margin]]&lt;0.2, "Low", "OK"))</f>
        <v>OK</v>
      </c>
      <c r="O4" s="4" t="str" cm="1">
        <f t="array" ref="O4">_xlfn.IFS(Table1[[#This Row],[Revenue]]=0, "Check", Table1[[#This Row],[Revenue]]&gt;=1000, "Large", Table1[[#This Row],[Revenue]]&gt;=200, "Medium", TRUE, "Small")</f>
        <v>Small</v>
      </c>
      <c r="P4" s="4" t="str">
        <f>IF(AND(Table1[[#This Row],[Margin Flag]]="Low", Table1[[#This Row],[Revenue]]&gt;1000), "Review", "")</f>
        <v/>
      </c>
      <c r="Q4" s="4" t="str">
        <f>IF(OR(Table1[[#This Row],[Qty]]&gt;=5,Table1[[#This Row],[Order Size]] = "Large" ), "Bulk", "")</f>
        <v/>
      </c>
      <c r="R4" s="10">
        <f>_xlfn.XLOOKUP(G4, Lookup!$A$2:$A$7, Lookup!$B$2:$B$7, "")</f>
        <v>0.25</v>
      </c>
      <c r="S4" s="4" t="str">
        <f>IF(Table1[[#This Row],[Margin]]&lt;Table1[[#This Row],[Target Margin]], "Yes", "")</f>
        <v/>
      </c>
    </row>
    <row r="5" spans="1:19">
      <c r="A5" t="s">
        <v>28</v>
      </c>
      <c r="B5" s="2">
        <v>46204</v>
      </c>
      <c r="C5" t="s">
        <v>29</v>
      </c>
      <c r="D5" t="s">
        <v>30</v>
      </c>
      <c r="E5">
        <v>2</v>
      </c>
      <c r="F5" t="str">
        <f>_xlfn.XLOOKUP(D5, Products!$A$2:$A$21, Products!$B$2:$B$21, "Not Found")</f>
        <v>Video Game</v>
      </c>
      <c r="G5" t="str">
        <f>_xlfn.XLOOKUP(D5, Products!$A$2:$A$21, Products!$C$2:$C$21,"not found")</f>
        <v>Gaming</v>
      </c>
      <c r="H5" s="4">
        <f>_xlfn.XLOOKUP(D5, Products!$A$2:$A$21, Products!$E$2:$E$21, 0)</f>
        <v>79</v>
      </c>
      <c r="I5" s="4">
        <f>_xlfn.XLOOKUP(D5, Products!$A$2:$A$21, Products!$F$2:$F$21,0)</f>
        <v>52</v>
      </c>
      <c r="J5" t="str">
        <f>_xlfn.XLOOKUP(C5, Stores!$A$2:$A$7, Stores!$D$2:$D$7)</f>
        <v>Sydney West</v>
      </c>
      <c r="K5" s="4">
        <f t="shared" si="0"/>
        <v>158</v>
      </c>
      <c r="L5" s="4">
        <f t="shared" si="1"/>
        <v>54</v>
      </c>
      <c r="M5" s="10">
        <f>IF(Table1[[#This Row],[Revenue]]=0, "", Table1[[#This Row],[Profit]]/Table1[[#This Row],[Revenue]])</f>
        <v>0.34177215189873417</v>
      </c>
      <c r="N5" s="4" t="str">
        <f>IF(Table1[[#This Row],[Margin]]="", "check", IF(Table1[[#This Row],[Margin]]&lt;0.2, "Low", "OK"))</f>
        <v>OK</v>
      </c>
      <c r="O5" s="4" t="str" cm="1">
        <f t="array" ref="O5">_xlfn.IFS(Table1[[#This Row],[Revenue]]=0, "Check", Table1[[#This Row],[Revenue]]&gt;=1000, "Large", Table1[[#This Row],[Revenue]]&gt;=200, "Medium", TRUE, "Small")</f>
        <v>Small</v>
      </c>
      <c r="P5" s="4" t="str">
        <f>IF(AND(Table1[[#This Row],[Margin Flag]]="Low", Table1[[#This Row],[Revenue]]&gt;1000), "Review", "")</f>
        <v/>
      </c>
      <c r="Q5" s="4" t="str">
        <f>IF(OR(Table1[[#This Row],[Qty]]&gt;=5,Table1[[#This Row],[Order Size]] = "Large" ), "Bulk", "")</f>
        <v/>
      </c>
      <c r="R5" s="10">
        <f>_xlfn.XLOOKUP(G5, Lookup!$A$2:$A$7, Lookup!$B$2:$B$7, "")</f>
        <v>0.08</v>
      </c>
      <c r="S5" s="4" t="str">
        <f>IF(Table1[[#This Row],[Margin]]&lt;Table1[[#This Row],[Target Margin]], "Yes", "")</f>
        <v/>
      </c>
    </row>
    <row r="6" spans="1:19">
      <c r="A6" t="s">
        <v>31</v>
      </c>
      <c r="B6" s="2">
        <v>46204</v>
      </c>
      <c r="C6" t="s">
        <v>32</v>
      </c>
      <c r="D6" t="s">
        <v>27</v>
      </c>
      <c r="E6">
        <v>1</v>
      </c>
      <c r="F6" t="str">
        <f>_xlfn.XLOOKUP(D6, Products!$A$2:$A$21, Products!$B$2:$B$21, "Not Found")</f>
        <v>Bluetooth Speaker</v>
      </c>
      <c r="G6" t="str">
        <f>_xlfn.XLOOKUP(D6, Products!$A$2:$A$21, Products!$C$2:$C$21,"not found")</f>
        <v>Audio</v>
      </c>
      <c r="H6" s="4">
        <f>_xlfn.XLOOKUP(D6, Products!$A$2:$A$21, Products!$E$2:$E$21, 0)</f>
        <v>179</v>
      </c>
      <c r="I6" s="4">
        <f>_xlfn.XLOOKUP(D6, Products!$A$2:$A$21, Products!$F$2:$F$21,0)</f>
        <v>95</v>
      </c>
      <c r="J6" t="str">
        <f>_xlfn.XLOOKUP(C6, Stores!$A$2:$A$7, Stores!$D$2:$D$7)</f>
        <v>Sydney South</v>
      </c>
      <c r="K6" s="4">
        <f t="shared" si="0"/>
        <v>179</v>
      </c>
      <c r="L6" s="4">
        <f t="shared" si="1"/>
        <v>84</v>
      </c>
      <c r="M6" s="10">
        <f>IF(Table1[[#This Row],[Revenue]]=0, "", Table1[[#This Row],[Profit]]/Table1[[#This Row],[Revenue]])</f>
        <v>0.46927374301675978</v>
      </c>
      <c r="N6" s="4" t="str">
        <f>IF(Table1[[#This Row],[Margin]]="", "check", IF(Table1[[#This Row],[Margin]]&lt;0.2, "Low", "OK"))</f>
        <v>OK</v>
      </c>
      <c r="O6" s="4" t="str" cm="1">
        <f t="array" ref="O6">_xlfn.IFS(Table1[[#This Row],[Revenue]]=0, "Check", Table1[[#This Row],[Revenue]]&gt;=1000, "Large", Table1[[#This Row],[Revenue]]&gt;=200, "Medium", TRUE, "Small")</f>
        <v>Small</v>
      </c>
      <c r="P6" s="4" t="str">
        <f>IF(AND(Table1[[#This Row],[Margin Flag]]="Low", Table1[[#This Row],[Revenue]]&gt;1000), "Review", "")</f>
        <v/>
      </c>
      <c r="Q6" s="4" t="str">
        <f>IF(OR(Table1[[#This Row],[Qty]]&gt;=5,Table1[[#This Row],[Order Size]] = "Large" ), "Bulk", "")</f>
        <v/>
      </c>
      <c r="R6" s="10">
        <f>_xlfn.XLOOKUP(G6, Lookup!$A$2:$A$7, Lookup!$B$2:$B$7, "")</f>
        <v>0.25</v>
      </c>
      <c r="S6" s="4" t="str">
        <f>IF(Table1[[#This Row],[Margin]]&lt;Table1[[#This Row],[Target Margin]], "Yes", "")</f>
        <v/>
      </c>
    </row>
    <row r="7" spans="1:19">
      <c r="A7" t="s">
        <v>33</v>
      </c>
      <c r="B7" s="2">
        <v>46204</v>
      </c>
      <c r="C7" t="s">
        <v>32</v>
      </c>
      <c r="D7" t="s">
        <v>27</v>
      </c>
      <c r="E7">
        <v>1</v>
      </c>
      <c r="F7" t="str">
        <f>_xlfn.XLOOKUP(D7, Products!$A$2:$A$21, Products!$B$2:$B$21, "Not Found")</f>
        <v>Bluetooth Speaker</v>
      </c>
      <c r="G7" t="str">
        <f>_xlfn.XLOOKUP(D7, Products!$A$2:$A$21, Products!$C$2:$C$21,"not found")</f>
        <v>Audio</v>
      </c>
      <c r="H7" s="4">
        <f>_xlfn.XLOOKUP(D7, Products!$A$2:$A$21, Products!$E$2:$E$21, 0)</f>
        <v>179</v>
      </c>
      <c r="I7" s="4">
        <f>_xlfn.XLOOKUP(D7, Products!$A$2:$A$21, Products!$F$2:$F$21,0)</f>
        <v>95</v>
      </c>
      <c r="J7" t="str">
        <f>_xlfn.XLOOKUP(C7, Stores!$A$2:$A$7, Stores!$D$2:$D$7)</f>
        <v>Sydney South</v>
      </c>
      <c r="K7" s="4">
        <f t="shared" si="0"/>
        <v>179</v>
      </c>
      <c r="L7" s="4">
        <f t="shared" si="1"/>
        <v>84</v>
      </c>
      <c r="M7" s="10">
        <f>IF(Table1[[#This Row],[Revenue]]=0, "", Table1[[#This Row],[Profit]]/Table1[[#This Row],[Revenue]])</f>
        <v>0.46927374301675978</v>
      </c>
      <c r="N7" s="4" t="str">
        <f>IF(Table1[[#This Row],[Margin]]="", "check", IF(Table1[[#This Row],[Margin]]&lt;0.2, "Low", "OK"))</f>
        <v>OK</v>
      </c>
      <c r="O7" s="4" t="str" cm="1">
        <f t="array" ref="O7">_xlfn.IFS(Table1[[#This Row],[Revenue]]=0, "Check", Table1[[#This Row],[Revenue]]&gt;=1000, "Large", Table1[[#This Row],[Revenue]]&gt;=200, "Medium", TRUE, "Small")</f>
        <v>Small</v>
      </c>
      <c r="P7" s="4" t="str">
        <f>IF(AND(Table1[[#This Row],[Margin Flag]]="Low", Table1[[#This Row],[Revenue]]&gt;1000), "Review", "")</f>
        <v/>
      </c>
      <c r="Q7" s="4" t="str">
        <f>IF(OR(Table1[[#This Row],[Qty]]&gt;=5,Table1[[#This Row],[Order Size]] = "Large" ), "Bulk", "")</f>
        <v/>
      </c>
      <c r="R7" s="10">
        <f>_xlfn.XLOOKUP(G7, Lookup!$A$2:$A$7, Lookup!$B$2:$B$7, "")</f>
        <v>0.25</v>
      </c>
      <c r="S7" s="4" t="str">
        <f>IF(Table1[[#This Row],[Margin]]&lt;Table1[[#This Row],[Target Margin]], "Yes", "")</f>
        <v/>
      </c>
    </row>
    <row r="8" spans="1:19">
      <c r="A8" t="s">
        <v>34</v>
      </c>
      <c r="B8" s="2">
        <v>46204</v>
      </c>
      <c r="C8" t="s">
        <v>23</v>
      </c>
      <c r="D8" t="s">
        <v>35</v>
      </c>
      <c r="E8">
        <v>4</v>
      </c>
      <c r="F8" t="str">
        <f>_xlfn.XLOOKUP(D8, Products!$A$2:$A$21, Products!$B$2:$B$21, "Not Found")</f>
        <v>Phone Case</v>
      </c>
      <c r="G8" t="str">
        <f>_xlfn.XLOOKUP(D8, Products!$A$2:$A$21, Products!$C$2:$C$21,"not found")</f>
        <v>Accessories</v>
      </c>
      <c r="H8" s="4">
        <f>_xlfn.XLOOKUP(D8, Products!$A$2:$A$21, Products!$E$2:$E$21, 0)</f>
        <v>39</v>
      </c>
      <c r="I8" s="4">
        <f>_xlfn.XLOOKUP(D8, Products!$A$2:$A$21, Products!$F$2:$F$21,0)</f>
        <v>9</v>
      </c>
      <c r="J8" t="str">
        <f>_xlfn.XLOOKUP(C8, Stores!$A$2:$A$7, Stores!$D$2:$D$7)</f>
        <v>Sydney East</v>
      </c>
      <c r="K8" s="4">
        <f t="shared" si="0"/>
        <v>156</v>
      </c>
      <c r="L8" s="4">
        <f t="shared" si="1"/>
        <v>120</v>
      </c>
      <c r="M8" s="10">
        <f>IF(Table1[[#This Row],[Revenue]]=0, "", Table1[[#This Row],[Profit]]/Table1[[#This Row],[Revenue]])</f>
        <v>0.76923076923076927</v>
      </c>
      <c r="N8" s="4" t="str">
        <f>IF(Table1[[#This Row],[Margin]]="", "check", IF(Table1[[#This Row],[Margin]]&lt;0.2, "Low", "OK"))</f>
        <v>OK</v>
      </c>
      <c r="O8" s="4" t="str" cm="1">
        <f t="array" ref="O8">_xlfn.IFS(Table1[[#This Row],[Revenue]]=0, "Check", Table1[[#This Row],[Revenue]]&gt;=1000, "Large", Table1[[#This Row],[Revenue]]&gt;=200, "Medium", TRUE, "Small")</f>
        <v>Small</v>
      </c>
      <c r="P8" s="4" t="str">
        <f>IF(AND(Table1[[#This Row],[Margin Flag]]="Low", Table1[[#This Row],[Revenue]]&gt;1000), "Review", "")</f>
        <v/>
      </c>
      <c r="Q8" s="4" t="str">
        <f>IF(OR(Table1[[#This Row],[Qty]]&gt;=5,Table1[[#This Row],[Order Size]] = "Large" ), "Bulk", "")</f>
        <v/>
      </c>
      <c r="R8" s="10">
        <f>_xlfn.XLOOKUP(G8, Lookup!$A$2:$A$7, Lookup!$B$2:$B$7, "")</f>
        <v>0.25</v>
      </c>
      <c r="S8" s="4" t="str">
        <f>IF(Table1[[#This Row],[Margin]]&lt;Table1[[#This Row],[Target Margin]], "Yes", "")</f>
        <v/>
      </c>
    </row>
    <row r="9" spans="1:19">
      <c r="A9" t="s">
        <v>36</v>
      </c>
      <c r="B9" s="2">
        <v>46204</v>
      </c>
      <c r="C9" t="s">
        <v>32</v>
      </c>
      <c r="D9" t="s">
        <v>21</v>
      </c>
      <c r="E9">
        <v>1</v>
      </c>
      <c r="F9" t="str">
        <f>_xlfn.XLOOKUP(D9, Products!$A$2:$A$21, Products!$B$2:$B$21, "Not Found")</f>
        <v>Gaming Mouse</v>
      </c>
      <c r="G9" t="str">
        <f>_xlfn.XLOOKUP(D9, Products!$A$2:$A$21, Products!$C$2:$C$21,"not found")</f>
        <v>Accessories</v>
      </c>
      <c r="H9" s="4">
        <f>_xlfn.XLOOKUP(D9, Products!$A$2:$A$21, Products!$E$2:$E$21, 0)</f>
        <v>89</v>
      </c>
      <c r="I9" s="4">
        <f>_xlfn.XLOOKUP(D9, Products!$A$2:$A$21, Products!$F$2:$F$21,0)</f>
        <v>41</v>
      </c>
      <c r="J9" t="str">
        <f>_xlfn.XLOOKUP(C9, Stores!$A$2:$A$7, Stores!$D$2:$D$7)</f>
        <v>Sydney South</v>
      </c>
      <c r="K9" s="4">
        <f t="shared" si="0"/>
        <v>89</v>
      </c>
      <c r="L9" s="4">
        <f t="shared" si="1"/>
        <v>48</v>
      </c>
      <c r="M9" s="10">
        <f>IF(Table1[[#This Row],[Revenue]]=0, "", Table1[[#This Row],[Profit]]/Table1[[#This Row],[Revenue]])</f>
        <v>0.5393258426966292</v>
      </c>
      <c r="N9" s="4" t="str">
        <f>IF(Table1[[#This Row],[Margin]]="", "check", IF(Table1[[#This Row],[Margin]]&lt;0.2, "Low", "OK"))</f>
        <v>OK</v>
      </c>
      <c r="O9" s="4" t="str" cm="1">
        <f t="array" ref="O9">_xlfn.IFS(Table1[[#This Row],[Revenue]]=0, "Check", Table1[[#This Row],[Revenue]]&gt;=1000, "Large", Table1[[#This Row],[Revenue]]&gt;=200, "Medium", TRUE, "Small")</f>
        <v>Small</v>
      </c>
      <c r="P9" s="4" t="str">
        <f>IF(AND(Table1[[#This Row],[Margin Flag]]="Low", Table1[[#This Row],[Revenue]]&gt;1000), "Review", "")</f>
        <v/>
      </c>
      <c r="Q9" s="4" t="str">
        <f>IF(OR(Table1[[#This Row],[Qty]]&gt;=5,Table1[[#This Row],[Order Size]] = "Large" ), "Bulk", "")</f>
        <v/>
      </c>
      <c r="R9" s="10">
        <f>_xlfn.XLOOKUP(G9, Lookup!$A$2:$A$7, Lookup!$B$2:$B$7, "")</f>
        <v>0.25</v>
      </c>
      <c r="S9" s="4" t="str">
        <f>IF(Table1[[#This Row],[Margin]]&lt;Table1[[#This Row],[Target Margin]], "Yes", "")</f>
        <v/>
      </c>
    </row>
    <row r="10" spans="1:19">
      <c r="A10" t="s">
        <v>37</v>
      </c>
      <c r="B10" s="2">
        <v>46204</v>
      </c>
      <c r="C10" t="s">
        <v>23</v>
      </c>
      <c r="D10" t="s">
        <v>38</v>
      </c>
      <c r="E10">
        <v>1</v>
      </c>
      <c r="F10" t="str">
        <f>_xlfn.XLOOKUP(D10, Products!$A$2:$A$21, Products!$B$2:$B$21, "Not Found")</f>
        <v>USB-C Charger</v>
      </c>
      <c r="G10" t="str">
        <f>_xlfn.XLOOKUP(D10, Products!$A$2:$A$21, Products!$C$2:$C$21,"not found")</f>
        <v>Accessories</v>
      </c>
      <c r="H10" s="4">
        <f>_xlfn.XLOOKUP(D10, Products!$A$2:$A$21, Products!$E$2:$E$21, 0)</f>
        <v>49</v>
      </c>
      <c r="I10" s="4">
        <f>_xlfn.XLOOKUP(D10, Products!$A$2:$A$21, Products!$F$2:$F$21,0)</f>
        <v>14</v>
      </c>
      <c r="J10" t="str">
        <f>_xlfn.XLOOKUP(C10, Stores!$A$2:$A$7, Stores!$D$2:$D$7)</f>
        <v>Sydney East</v>
      </c>
      <c r="K10" s="4">
        <f t="shared" si="0"/>
        <v>49</v>
      </c>
      <c r="L10" s="4">
        <f t="shared" si="1"/>
        <v>35</v>
      </c>
      <c r="M10" s="10">
        <f>IF(Table1[[#This Row],[Revenue]]=0, "", Table1[[#This Row],[Profit]]/Table1[[#This Row],[Revenue]])</f>
        <v>0.7142857142857143</v>
      </c>
      <c r="N10" s="4" t="str">
        <f>IF(Table1[[#This Row],[Margin]]="", "check", IF(Table1[[#This Row],[Margin]]&lt;0.2, "Low", "OK"))</f>
        <v>OK</v>
      </c>
      <c r="O10" s="4" t="str" cm="1">
        <f t="array" ref="O10">_xlfn.IFS(Table1[[#This Row],[Revenue]]=0, "Check", Table1[[#This Row],[Revenue]]&gt;=1000, "Large", Table1[[#This Row],[Revenue]]&gt;=200, "Medium", TRUE, "Small")</f>
        <v>Small</v>
      </c>
      <c r="P10" s="4" t="str">
        <f>IF(AND(Table1[[#This Row],[Margin Flag]]="Low", Table1[[#This Row],[Revenue]]&gt;1000), "Review", "")</f>
        <v/>
      </c>
      <c r="Q10" s="4" t="str">
        <f>IF(OR(Table1[[#This Row],[Qty]]&gt;=5,Table1[[#This Row],[Order Size]] = "Large" ), "Bulk", "")</f>
        <v/>
      </c>
      <c r="R10" s="10">
        <f>_xlfn.XLOOKUP(G10, Lookup!$A$2:$A$7, Lookup!$B$2:$B$7, "")</f>
        <v>0.25</v>
      </c>
      <c r="S10" s="4" t="str">
        <f>IF(Table1[[#This Row],[Margin]]&lt;Table1[[#This Row],[Target Margin]], "Yes", "")</f>
        <v/>
      </c>
    </row>
    <row r="11" spans="1:19">
      <c r="A11" t="s">
        <v>39</v>
      </c>
      <c r="B11" s="2">
        <v>46204</v>
      </c>
      <c r="C11" t="s">
        <v>20</v>
      </c>
      <c r="D11" t="s">
        <v>21</v>
      </c>
      <c r="E11">
        <v>1</v>
      </c>
      <c r="F11" t="str">
        <f>_xlfn.XLOOKUP(D11, Products!$A$2:$A$21, Products!$B$2:$B$21, "Not Found")</f>
        <v>Gaming Mouse</v>
      </c>
      <c r="G11" t="str">
        <f>_xlfn.XLOOKUP(D11, Products!$A$2:$A$21, Products!$C$2:$C$21,"not found")</f>
        <v>Accessories</v>
      </c>
      <c r="H11" s="4">
        <f>_xlfn.XLOOKUP(D11, Products!$A$2:$A$21, Products!$E$2:$E$21, 0)</f>
        <v>89</v>
      </c>
      <c r="I11" s="4">
        <f>_xlfn.XLOOKUP(D11, Products!$A$2:$A$21, Products!$F$2:$F$21,0)</f>
        <v>41</v>
      </c>
      <c r="J11" t="str">
        <f>_xlfn.XLOOKUP(C11, Stores!$A$2:$A$7, Stores!$D$2:$D$7)</f>
        <v>Sydney West</v>
      </c>
      <c r="K11" s="4">
        <f t="shared" si="0"/>
        <v>89</v>
      </c>
      <c r="L11" s="4">
        <f t="shared" si="1"/>
        <v>48</v>
      </c>
      <c r="M11" s="10">
        <f>IF(Table1[[#This Row],[Revenue]]=0, "", Table1[[#This Row],[Profit]]/Table1[[#This Row],[Revenue]])</f>
        <v>0.5393258426966292</v>
      </c>
      <c r="N11" s="4" t="str">
        <f>IF(Table1[[#This Row],[Margin]]="", "check", IF(Table1[[#This Row],[Margin]]&lt;0.2, "Low", "OK"))</f>
        <v>OK</v>
      </c>
      <c r="O11" s="4" t="str" cm="1">
        <f t="array" ref="O11">_xlfn.IFS(Table1[[#This Row],[Revenue]]=0, "Check", Table1[[#This Row],[Revenue]]&gt;=1000, "Large", Table1[[#This Row],[Revenue]]&gt;=200, "Medium", TRUE, "Small")</f>
        <v>Small</v>
      </c>
      <c r="P11" s="4" t="str">
        <f>IF(AND(Table1[[#This Row],[Margin Flag]]="Low", Table1[[#This Row],[Revenue]]&gt;1000), "Review", "")</f>
        <v/>
      </c>
      <c r="Q11" s="4" t="str">
        <f>IF(OR(Table1[[#This Row],[Qty]]&gt;=5,Table1[[#This Row],[Order Size]] = "Large" ), "Bulk", "")</f>
        <v/>
      </c>
      <c r="R11" s="10">
        <f>_xlfn.XLOOKUP(G11, Lookup!$A$2:$A$7, Lookup!$B$2:$B$7, "")</f>
        <v>0.25</v>
      </c>
      <c r="S11" s="4" t="str">
        <f>IF(Table1[[#This Row],[Margin]]&lt;Table1[[#This Row],[Target Margin]], "Yes", "")</f>
        <v/>
      </c>
    </row>
    <row r="12" spans="1:19">
      <c r="A12" t="s">
        <v>40</v>
      </c>
      <c r="B12" s="2">
        <v>46204</v>
      </c>
      <c r="C12" t="s">
        <v>23</v>
      </c>
      <c r="D12" t="s">
        <v>24</v>
      </c>
      <c r="E12">
        <v>1</v>
      </c>
      <c r="F12" t="str">
        <f>_xlfn.XLOOKUP(D12, Products!$A$2:$A$21, Products!$B$2:$B$21, "Not Found")</f>
        <v>Wireless Earbuds</v>
      </c>
      <c r="G12" t="str">
        <f>_xlfn.XLOOKUP(D12, Products!$A$2:$A$21, Products!$C$2:$C$21,"not found")</f>
        <v>Audio</v>
      </c>
      <c r="H12" s="4">
        <f>_xlfn.XLOOKUP(D12, Products!$A$2:$A$21, Products!$E$2:$E$21, 0)</f>
        <v>249</v>
      </c>
      <c r="I12" s="4">
        <f>_xlfn.XLOOKUP(D12, Products!$A$2:$A$21, Products!$F$2:$F$21,0)</f>
        <v>140</v>
      </c>
      <c r="J12" t="str">
        <f>_xlfn.XLOOKUP(C12, Stores!$A$2:$A$7, Stores!$D$2:$D$7)</f>
        <v>Sydney East</v>
      </c>
      <c r="K12" s="4">
        <f t="shared" si="0"/>
        <v>249</v>
      </c>
      <c r="L12" s="4">
        <f t="shared" si="1"/>
        <v>109</v>
      </c>
      <c r="M12" s="10">
        <f>IF(Table1[[#This Row],[Revenue]]=0, "", Table1[[#This Row],[Profit]]/Table1[[#This Row],[Revenue]])</f>
        <v>0.43775100401606426</v>
      </c>
      <c r="N12" s="4" t="str">
        <f>IF(Table1[[#This Row],[Margin]]="", "check", IF(Table1[[#This Row],[Margin]]&lt;0.2, "Low", "OK"))</f>
        <v>OK</v>
      </c>
      <c r="O12" s="4" t="str" cm="1">
        <f t="array" ref="O12">_xlfn.IFS(Table1[[#This Row],[Revenue]]=0, "Check", Table1[[#This Row],[Revenue]]&gt;=1000, "Large", Table1[[#This Row],[Revenue]]&gt;=200, "Medium", TRUE, "Small")</f>
        <v>Medium</v>
      </c>
      <c r="P12" s="4" t="str">
        <f>IF(AND(Table1[[#This Row],[Margin Flag]]="Low", Table1[[#This Row],[Revenue]]&gt;1000), "Review", "")</f>
        <v/>
      </c>
      <c r="Q12" s="4" t="str">
        <f>IF(OR(Table1[[#This Row],[Qty]]&gt;=5,Table1[[#This Row],[Order Size]] = "Large" ), "Bulk", "")</f>
        <v/>
      </c>
      <c r="R12" s="10">
        <f>_xlfn.XLOOKUP(G12, Lookup!$A$2:$A$7, Lookup!$B$2:$B$7, "")</f>
        <v>0.25</v>
      </c>
      <c r="S12" s="4" t="str">
        <f>IF(Table1[[#This Row],[Margin]]&lt;Table1[[#This Row],[Target Margin]], "Yes", "")</f>
        <v/>
      </c>
    </row>
    <row r="13" spans="1:19">
      <c r="A13" t="s">
        <v>41</v>
      </c>
      <c r="B13" s="2">
        <v>46205</v>
      </c>
      <c r="C13" t="s">
        <v>29</v>
      </c>
      <c r="D13" t="s">
        <v>30</v>
      </c>
      <c r="E13">
        <v>1</v>
      </c>
      <c r="F13" t="str">
        <f>_xlfn.XLOOKUP(D13, Products!$A$2:$A$21, Products!$B$2:$B$21, "Not Found")</f>
        <v>Video Game</v>
      </c>
      <c r="G13" t="str">
        <f>_xlfn.XLOOKUP(D13, Products!$A$2:$A$21, Products!$C$2:$C$21,"not found")</f>
        <v>Gaming</v>
      </c>
      <c r="H13" s="4">
        <f>_xlfn.XLOOKUP(D13, Products!$A$2:$A$21, Products!$E$2:$E$21, 0)</f>
        <v>79</v>
      </c>
      <c r="I13" s="4">
        <f>_xlfn.XLOOKUP(D13, Products!$A$2:$A$21, Products!$F$2:$F$21,0)</f>
        <v>52</v>
      </c>
      <c r="J13" t="str">
        <f>_xlfn.XLOOKUP(C13, Stores!$A$2:$A$7, Stores!$D$2:$D$7)</f>
        <v>Sydney West</v>
      </c>
      <c r="K13" s="4">
        <f t="shared" si="0"/>
        <v>79</v>
      </c>
      <c r="L13" s="4">
        <f t="shared" si="1"/>
        <v>27</v>
      </c>
      <c r="M13" s="10">
        <f>IF(Table1[[#This Row],[Revenue]]=0, "", Table1[[#This Row],[Profit]]/Table1[[#This Row],[Revenue]])</f>
        <v>0.34177215189873417</v>
      </c>
      <c r="N13" s="4" t="str">
        <f>IF(Table1[[#This Row],[Margin]]="", "check", IF(Table1[[#This Row],[Margin]]&lt;0.2, "Low", "OK"))</f>
        <v>OK</v>
      </c>
      <c r="O13" s="4" t="str" cm="1">
        <f t="array" ref="O13">_xlfn.IFS(Table1[[#This Row],[Revenue]]=0, "Check", Table1[[#This Row],[Revenue]]&gt;=1000, "Large", Table1[[#This Row],[Revenue]]&gt;=200, "Medium", TRUE, "Small")</f>
        <v>Small</v>
      </c>
      <c r="P13" s="4" t="str">
        <f>IF(AND(Table1[[#This Row],[Margin Flag]]="Low", Table1[[#This Row],[Revenue]]&gt;1000), "Review", "")</f>
        <v/>
      </c>
      <c r="Q13" s="4" t="str">
        <f>IF(OR(Table1[[#This Row],[Qty]]&gt;=5,Table1[[#This Row],[Order Size]] = "Large" ), "Bulk", "")</f>
        <v/>
      </c>
      <c r="R13" s="10">
        <f>_xlfn.XLOOKUP(G13, Lookup!$A$2:$A$7, Lookup!$B$2:$B$7, "")</f>
        <v>0.08</v>
      </c>
      <c r="S13" s="4" t="str">
        <f>IF(Table1[[#This Row],[Margin]]&lt;Table1[[#This Row],[Target Margin]], "Yes", "")</f>
        <v/>
      </c>
    </row>
    <row r="14" spans="1:19">
      <c r="A14" t="s">
        <v>42</v>
      </c>
      <c r="B14" s="2">
        <v>46205</v>
      </c>
      <c r="C14" t="s">
        <v>23</v>
      </c>
      <c r="D14" t="s">
        <v>43</v>
      </c>
      <c r="E14">
        <v>1</v>
      </c>
      <c r="F14" t="str">
        <f>_xlfn.XLOOKUP(D14, Products!$A$2:$A$21, Products!$B$2:$B$21, "Not Found")</f>
        <v>Console Controller</v>
      </c>
      <c r="G14" t="str">
        <f>_xlfn.XLOOKUP(D14, Products!$A$2:$A$21, Products!$C$2:$C$21,"not found")</f>
        <v>Gaming</v>
      </c>
      <c r="H14" s="4">
        <f>_xlfn.XLOOKUP(D14, Products!$A$2:$A$21, Products!$E$2:$E$21, 0)</f>
        <v>99</v>
      </c>
      <c r="I14" s="4">
        <f>_xlfn.XLOOKUP(D14, Products!$A$2:$A$21, Products!$F$2:$F$21,0)</f>
        <v>58</v>
      </c>
      <c r="J14" t="str">
        <f>_xlfn.XLOOKUP(C14, Stores!$A$2:$A$7, Stores!$D$2:$D$7)</f>
        <v>Sydney East</v>
      </c>
      <c r="K14" s="4">
        <f t="shared" si="0"/>
        <v>99</v>
      </c>
      <c r="L14" s="4">
        <f t="shared" si="1"/>
        <v>41</v>
      </c>
      <c r="M14" s="10">
        <f>IF(Table1[[#This Row],[Revenue]]=0, "", Table1[[#This Row],[Profit]]/Table1[[#This Row],[Revenue]])</f>
        <v>0.41414141414141414</v>
      </c>
      <c r="N14" s="4" t="str">
        <f>IF(Table1[[#This Row],[Margin]]="", "check", IF(Table1[[#This Row],[Margin]]&lt;0.2, "Low", "OK"))</f>
        <v>OK</v>
      </c>
      <c r="O14" s="4" t="str" cm="1">
        <f t="array" ref="O14">_xlfn.IFS(Table1[[#This Row],[Revenue]]=0, "Check", Table1[[#This Row],[Revenue]]&gt;=1000, "Large", Table1[[#This Row],[Revenue]]&gt;=200, "Medium", TRUE, "Small")</f>
        <v>Small</v>
      </c>
      <c r="P14" s="4" t="str">
        <f>IF(AND(Table1[[#This Row],[Margin Flag]]="Low", Table1[[#This Row],[Revenue]]&gt;1000), "Review", "")</f>
        <v/>
      </c>
      <c r="Q14" s="4" t="str">
        <f>IF(OR(Table1[[#This Row],[Qty]]&gt;=5,Table1[[#This Row],[Order Size]] = "Large" ), "Bulk", "")</f>
        <v/>
      </c>
      <c r="R14" s="10">
        <f>_xlfn.XLOOKUP(G14, Lookup!$A$2:$A$7, Lookup!$B$2:$B$7, "")</f>
        <v>0.08</v>
      </c>
      <c r="S14" s="4" t="str">
        <f>IF(Table1[[#This Row],[Margin]]&lt;Table1[[#This Row],[Target Margin]], "Yes", "")</f>
        <v/>
      </c>
    </row>
    <row r="15" spans="1:19">
      <c r="A15" t="s">
        <v>44</v>
      </c>
      <c r="B15" s="2">
        <v>46205</v>
      </c>
      <c r="C15" t="s">
        <v>20</v>
      </c>
      <c r="D15" t="s">
        <v>38</v>
      </c>
      <c r="E15">
        <v>1</v>
      </c>
      <c r="F15" t="str">
        <f>_xlfn.XLOOKUP(D15, Products!$A$2:$A$21, Products!$B$2:$B$21, "Not Found")</f>
        <v>USB-C Charger</v>
      </c>
      <c r="G15" t="str">
        <f>_xlfn.XLOOKUP(D15, Products!$A$2:$A$21, Products!$C$2:$C$21,"not found")</f>
        <v>Accessories</v>
      </c>
      <c r="H15" s="4">
        <f>_xlfn.XLOOKUP(D15, Products!$A$2:$A$21, Products!$E$2:$E$21, 0)</f>
        <v>49</v>
      </c>
      <c r="I15" s="4">
        <f>_xlfn.XLOOKUP(D15, Products!$A$2:$A$21, Products!$F$2:$F$21,0)</f>
        <v>14</v>
      </c>
      <c r="J15" t="str">
        <f>_xlfn.XLOOKUP(C15, Stores!$A$2:$A$7, Stores!$D$2:$D$7)</f>
        <v>Sydney West</v>
      </c>
      <c r="K15" s="4">
        <f t="shared" si="0"/>
        <v>49</v>
      </c>
      <c r="L15" s="4">
        <f t="shared" si="1"/>
        <v>35</v>
      </c>
      <c r="M15" s="10">
        <f>IF(Table1[[#This Row],[Revenue]]=0, "", Table1[[#This Row],[Profit]]/Table1[[#This Row],[Revenue]])</f>
        <v>0.7142857142857143</v>
      </c>
      <c r="N15" s="4" t="str">
        <f>IF(Table1[[#This Row],[Margin]]="", "check", IF(Table1[[#This Row],[Margin]]&lt;0.2, "Low", "OK"))</f>
        <v>OK</v>
      </c>
      <c r="O15" s="4" t="str" cm="1">
        <f t="array" ref="O15">_xlfn.IFS(Table1[[#This Row],[Revenue]]=0, "Check", Table1[[#This Row],[Revenue]]&gt;=1000, "Large", Table1[[#This Row],[Revenue]]&gt;=200, "Medium", TRUE, "Small")</f>
        <v>Small</v>
      </c>
      <c r="P15" s="4" t="str">
        <f>IF(AND(Table1[[#This Row],[Margin Flag]]="Low", Table1[[#This Row],[Revenue]]&gt;1000), "Review", "")</f>
        <v/>
      </c>
      <c r="Q15" s="4" t="str">
        <f>IF(OR(Table1[[#This Row],[Qty]]&gt;=5,Table1[[#This Row],[Order Size]] = "Large" ), "Bulk", "")</f>
        <v/>
      </c>
      <c r="R15" s="10">
        <f>_xlfn.XLOOKUP(G15, Lookup!$A$2:$A$7, Lookup!$B$2:$B$7, "")</f>
        <v>0.25</v>
      </c>
      <c r="S15" s="4" t="str">
        <f>IF(Table1[[#This Row],[Margin]]&lt;Table1[[#This Row],[Target Margin]], "Yes", "")</f>
        <v/>
      </c>
    </row>
    <row r="16" spans="1:19">
      <c r="A16" t="s">
        <v>45</v>
      </c>
      <c r="B16" s="2">
        <v>46205</v>
      </c>
      <c r="C16" t="s">
        <v>29</v>
      </c>
      <c r="D16" t="s">
        <v>35</v>
      </c>
      <c r="E16">
        <v>1</v>
      </c>
      <c r="F16" t="str">
        <f>_xlfn.XLOOKUP(D16, Products!$A$2:$A$21, Products!$B$2:$B$21, "Not Found")</f>
        <v>Phone Case</v>
      </c>
      <c r="G16" t="str">
        <f>_xlfn.XLOOKUP(D16, Products!$A$2:$A$21, Products!$C$2:$C$21,"not found")</f>
        <v>Accessories</v>
      </c>
      <c r="H16" s="4">
        <f>_xlfn.XLOOKUP(D16, Products!$A$2:$A$21, Products!$E$2:$E$21, 0)</f>
        <v>39</v>
      </c>
      <c r="I16" s="4">
        <f>_xlfn.XLOOKUP(D16, Products!$A$2:$A$21, Products!$F$2:$F$21,0)</f>
        <v>9</v>
      </c>
      <c r="J16" t="str">
        <f>_xlfn.XLOOKUP(C16, Stores!$A$2:$A$7, Stores!$D$2:$D$7)</f>
        <v>Sydney West</v>
      </c>
      <c r="K16" s="4">
        <f t="shared" si="0"/>
        <v>39</v>
      </c>
      <c r="L16" s="4">
        <f t="shared" si="1"/>
        <v>30</v>
      </c>
      <c r="M16" s="10">
        <f>IF(Table1[[#This Row],[Revenue]]=0, "", Table1[[#This Row],[Profit]]/Table1[[#This Row],[Revenue]])</f>
        <v>0.76923076923076927</v>
      </c>
      <c r="N16" s="4" t="str">
        <f>IF(Table1[[#This Row],[Margin]]="", "check", IF(Table1[[#This Row],[Margin]]&lt;0.2, "Low", "OK"))</f>
        <v>OK</v>
      </c>
      <c r="O16" s="4" t="str" cm="1">
        <f t="array" ref="O16">_xlfn.IFS(Table1[[#This Row],[Revenue]]=0, "Check", Table1[[#This Row],[Revenue]]&gt;=1000, "Large", Table1[[#This Row],[Revenue]]&gt;=200, "Medium", TRUE, "Small")</f>
        <v>Small</v>
      </c>
      <c r="P16" s="4" t="str">
        <f>IF(AND(Table1[[#This Row],[Margin Flag]]="Low", Table1[[#This Row],[Revenue]]&gt;1000), "Review", "")</f>
        <v/>
      </c>
      <c r="Q16" s="4" t="str">
        <f>IF(OR(Table1[[#This Row],[Qty]]&gt;=5,Table1[[#This Row],[Order Size]] = "Large" ), "Bulk", "")</f>
        <v/>
      </c>
      <c r="R16" s="10">
        <f>_xlfn.XLOOKUP(G16, Lookup!$A$2:$A$7, Lookup!$B$2:$B$7, "")</f>
        <v>0.25</v>
      </c>
      <c r="S16" s="4" t="str">
        <f>IF(Table1[[#This Row],[Margin]]&lt;Table1[[#This Row],[Target Margin]], "Yes", "")</f>
        <v/>
      </c>
    </row>
    <row r="17" spans="1:19">
      <c r="A17" t="s">
        <v>46</v>
      </c>
      <c r="B17" s="2">
        <v>46205</v>
      </c>
      <c r="C17" t="s">
        <v>20</v>
      </c>
      <c r="D17" t="s">
        <v>24</v>
      </c>
      <c r="E17">
        <v>1</v>
      </c>
      <c r="F17" t="str">
        <f>_xlfn.XLOOKUP(D17, Products!$A$2:$A$21, Products!$B$2:$B$21, "Not Found")</f>
        <v>Wireless Earbuds</v>
      </c>
      <c r="G17" t="str">
        <f>_xlfn.XLOOKUP(D17, Products!$A$2:$A$21, Products!$C$2:$C$21,"not found")</f>
        <v>Audio</v>
      </c>
      <c r="H17" s="4">
        <f>_xlfn.XLOOKUP(D17, Products!$A$2:$A$21, Products!$E$2:$E$21, 0)</f>
        <v>249</v>
      </c>
      <c r="I17" s="4">
        <f>_xlfn.XLOOKUP(D17, Products!$A$2:$A$21, Products!$F$2:$F$21,0)</f>
        <v>140</v>
      </c>
      <c r="J17" t="str">
        <f>_xlfn.XLOOKUP(C17, Stores!$A$2:$A$7, Stores!$D$2:$D$7)</f>
        <v>Sydney West</v>
      </c>
      <c r="K17" s="4">
        <f t="shared" si="0"/>
        <v>249</v>
      </c>
      <c r="L17" s="4">
        <f t="shared" si="1"/>
        <v>109</v>
      </c>
      <c r="M17" s="10">
        <f>IF(Table1[[#This Row],[Revenue]]=0, "", Table1[[#This Row],[Profit]]/Table1[[#This Row],[Revenue]])</f>
        <v>0.43775100401606426</v>
      </c>
      <c r="N17" s="4" t="str">
        <f>IF(Table1[[#This Row],[Margin]]="", "check", IF(Table1[[#This Row],[Margin]]&lt;0.2, "Low", "OK"))</f>
        <v>OK</v>
      </c>
      <c r="O17" s="4" t="str" cm="1">
        <f t="array" ref="O17">_xlfn.IFS(Table1[[#This Row],[Revenue]]=0, "Check", Table1[[#This Row],[Revenue]]&gt;=1000, "Large", Table1[[#This Row],[Revenue]]&gt;=200, "Medium", TRUE, "Small")</f>
        <v>Medium</v>
      </c>
      <c r="P17" s="4" t="str">
        <f>IF(AND(Table1[[#This Row],[Margin Flag]]="Low", Table1[[#This Row],[Revenue]]&gt;1000), "Review", "")</f>
        <v/>
      </c>
      <c r="Q17" s="4" t="str">
        <f>IF(OR(Table1[[#This Row],[Qty]]&gt;=5,Table1[[#This Row],[Order Size]] = "Large" ), "Bulk", "")</f>
        <v/>
      </c>
      <c r="R17" s="10">
        <f>_xlfn.XLOOKUP(G17, Lookup!$A$2:$A$7, Lookup!$B$2:$B$7, "")</f>
        <v>0.25</v>
      </c>
      <c r="S17" s="4" t="str">
        <f>IF(Table1[[#This Row],[Margin]]&lt;Table1[[#This Row],[Target Margin]], "Yes", "")</f>
        <v/>
      </c>
    </row>
    <row r="18" spans="1:19">
      <c r="A18" t="s">
        <v>47</v>
      </c>
      <c r="B18" s="2">
        <v>46205</v>
      </c>
      <c r="C18" t="s">
        <v>26</v>
      </c>
      <c r="D18" t="s">
        <v>21</v>
      </c>
      <c r="E18">
        <v>1</v>
      </c>
      <c r="F18" t="str">
        <f>_xlfn.XLOOKUP(D18, Products!$A$2:$A$21, Products!$B$2:$B$21, "Not Found")</f>
        <v>Gaming Mouse</v>
      </c>
      <c r="G18" t="str">
        <f>_xlfn.XLOOKUP(D18, Products!$A$2:$A$21, Products!$C$2:$C$21,"not found")</f>
        <v>Accessories</v>
      </c>
      <c r="H18" s="4">
        <f>_xlfn.XLOOKUP(D18, Products!$A$2:$A$21, Products!$E$2:$E$21, 0)</f>
        <v>89</v>
      </c>
      <c r="I18" s="4">
        <f>_xlfn.XLOOKUP(D18, Products!$A$2:$A$21, Products!$F$2:$F$21,0)</f>
        <v>41</v>
      </c>
      <c r="J18" t="str">
        <f>_xlfn.XLOOKUP(C18, Stores!$A$2:$A$7, Stores!$D$2:$D$7)</f>
        <v>Sydney North</v>
      </c>
      <c r="K18" s="4">
        <f t="shared" si="0"/>
        <v>89</v>
      </c>
      <c r="L18" s="4">
        <f t="shared" si="1"/>
        <v>48</v>
      </c>
      <c r="M18" s="10">
        <f>IF(Table1[[#This Row],[Revenue]]=0, "", Table1[[#This Row],[Profit]]/Table1[[#This Row],[Revenue]])</f>
        <v>0.5393258426966292</v>
      </c>
      <c r="N18" s="4" t="str">
        <f>IF(Table1[[#This Row],[Margin]]="", "check", IF(Table1[[#This Row],[Margin]]&lt;0.2, "Low", "OK"))</f>
        <v>OK</v>
      </c>
      <c r="O18" s="4" t="str" cm="1">
        <f t="array" ref="O18">_xlfn.IFS(Table1[[#This Row],[Revenue]]=0, "Check", Table1[[#This Row],[Revenue]]&gt;=1000, "Large", Table1[[#This Row],[Revenue]]&gt;=200, "Medium", TRUE, "Small")</f>
        <v>Small</v>
      </c>
      <c r="P18" s="4" t="str">
        <f>IF(AND(Table1[[#This Row],[Margin Flag]]="Low", Table1[[#This Row],[Revenue]]&gt;1000), "Review", "")</f>
        <v/>
      </c>
      <c r="Q18" s="4" t="str">
        <f>IF(OR(Table1[[#This Row],[Qty]]&gt;=5,Table1[[#This Row],[Order Size]] = "Large" ), "Bulk", "")</f>
        <v/>
      </c>
      <c r="R18" s="10">
        <f>_xlfn.XLOOKUP(G18, Lookup!$A$2:$A$7, Lookup!$B$2:$B$7, "")</f>
        <v>0.25</v>
      </c>
      <c r="S18" s="4" t="str">
        <f>IF(Table1[[#This Row],[Margin]]&lt;Table1[[#This Row],[Target Margin]], "Yes", "")</f>
        <v/>
      </c>
    </row>
    <row r="19" spans="1:19">
      <c r="A19" t="s">
        <v>48</v>
      </c>
      <c r="B19" s="2">
        <v>46206</v>
      </c>
      <c r="C19" t="s">
        <v>29</v>
      </c>
      <c r="D19" t="s">
        <v>30</v>
      </c>
      <c r="E19">
        <v>1</v>
      </c>
      <c r="F19" t="str">
        <f>_xlfn.XLOOKUP(D19, Products!$A$2:$A$21, Products!$B$2:$B$21, "Not Found")</f>
        <v>Video Game</v>
      </c>
      <c r="G19" t="str">
        <f>_xlfn.XLOOKUP(D19, Products!$A$2:$A$21, Products!$C$2:$C$21,"not found")</f>
        <v>Gaming</v>
      </c>
      <c r="H19" s="4">
        <f>_xlfn.XLOOKUP(D19, Products!$A$2:$A$21, Products!$E$2:$E$21, 0)</f>
        <v>79</v>
      </c>
      <c r="I19" s="4">
        <f>_xlfn.XLOOKUP(D19, Products!$A$2:$A$21, Products!$F$2:$F$21,0)</f>
        <v>52</v>
      </c>
      <c r="J19" t="str">
        <f>_xlfn.XLOOKUP(C19, Stores!$A$2:$A$7, Stores!$D$2:$D$7)</f>
        <v>Sydney West</v>
      </c>
      <c r="K19" s="4">
        <f t="shared" si="0"/>
        <v>79</v>
      </c>
      <c r="L19" s="4">
        <f t="shared" si="1"/>
        <v>27</v>
      </c>
      <c r="M19" s="10">
        <f>IF(Table1[[#This Row],[Revenue]]=0, "", Table1[[#This Row],[Profit]]/Table1[[#This Row],[Revenue]])</f>
        <v>0.34177215189873417</v>
      </c>
      <c r="N19" s="4" t="str">
        <f>IF(Table1[[#This Row],[Margin]]="", "check", IF(Table1[[#This Row],[Margin]]&lt;0.2, "Low", "OK"))</f>
        <v>OK</v>
      </c>
      <c r="O19" s="4" t="str" cm="1">
        <f t="array" ref="O19">_xlfn.IFS(Table1[[#This Row],[Revenue]]=0, "Check", Table1[[#This Row],[Revenue]]&gt;=1000, "Large", Table1[[#This Row],[Revenue]]&gt;=200, "Medium", TRUE, "Small")</f>
        <v>Small</v>
      </c>
      <c r="P19" s="4" t="str">
        <f>IF(AND(Table1[[#This Row],[Margin Flag]]="Low", Table1[[#This Row],[Revenue]]&gt;1000), "Review", "")</f>
        <v/>
      </c>
      <c r="Q19" s="4" t="str">
        <f>IF(OR(Table1[[#This Row],[Qty]]&gt;=5,Table1[[#This Row],[Order Size]] = "Large" ), "Bulk", "")</f>
        <v/>
      </c>
      <c r="R19" s="10">
        <f>_xlfn.XLOOKUP(G19, Lookup!$A$2:$A$7, Lookup!$B$2:$B$7, "")</f>
        <v>0.08</v>
      </c>
      <c r="S19" s="4" t="str">
        <f>IF(Table1[[#This Row],[Margin]]&lt;Table1[[#This Row],[Target Margin]], "Yes", "")</f>
        <v/>
      </c>
    </row>
    <row r="20" spans="1:19">
      <c r="A20" t="s">
        <v>49</v>
      </c>
      <c r="B20" s="2">
        <v>46206</v>
      </c>
      <c r="C20" t="s">
        <v>29</v>
      </c>
      <c r="D20" t="s">
        <v>50</v>
      </c>
      <c r="E20">
        <v>1</v>
      </c>
      <c r="F20" t="str">
        <f>_xlfn.XLOOKUP(D20, Products!$A$2:$A$21, Products!$B$2:$B$21, "Not Found")</f>
        <v>Smartphone 128GB</v>
      </c>
      <c r="G20" t="str">
        <f>_xlfn.XLOOKUP(D20, Products!$A$2:$A$21, Products!$C$2:$C$21,"not found")</f>
        <v>Phones</v>
      </c>
      <c r="H20" s="4">
        <f>_xlfn.XLOOKUP(D20, Products!$A$2:$A$21, Products!$E$2:$E$21, 0)</f>
        <v>1099</v>
      </c>
      <c r="I20" s="4">
        <f>_xlfn.XLOOKUP(D20, Products!$A$2:$A$21, Products!$F$2:$F$21,0)</f>
        <v>860</v>
      </c>
      <c r="J20" t="str">
        <f>_xlfn.XLOOKUP(C20, Stores!$A$2:$A$7, Stores!$D$2:$D$7)</f>
        <v>Sydney West</v>
      </c>
      <c r="K20" s="4">
        <f t="shared" si="0"/>
        <v>1099</v>
      </c>
      <c r="L20" s="4">
        <f t="shared" si="1"/>
        <v>239</v>
      </c>
      <c r="M20" s="10">
        <f>IF(Table1[[#This Row],[Revenue]]=0, "", Table1[[#This Row],[Profit]]/Table1[[#This Row],[Revenue]])</f>
        <v>0.21747042766151045</v>
      </c>
      <c r="N20" s="4" t="str">
        <f>IF(Table1[[#This Row],[Margin]]="", "check", IF(Table1[[#This Row],[Margin]]&lt;0.2, "Low", "OK"))</f>
        <v>OK</v>
      </c>
      <c r="O20" s="4" t="str" cm="1">
        <f t="array" ref="O20">_xlfn.IFS(Table1[[#This Row],[Revenue]]=0, "Check", Table1[[#This Row],[Revenue]]&gt;=1000, "Large", Table1[[#This Row],[Revenue]]&gt;=200, "Medium", TRUE, "Small")</f>
        <v>Large</v>
      </c>
      <c r="P20" s="4" t="str">
        <f>IF(AND(Table1[[#This Row],[Margin Flag]]="Low", Table1[[#This Row],[Revenue]]&gt;1000), "Review", "")</f>
        <v/>
      </c>
      <c r="Q20" s="4" t="str">
        <f>IF(OR(Table1[[#This Row],[Qty]]&gt;=5,Table1[[#This Row],[Order Size]] = "Large" ), "Bulk", "")</f>
        <v>Bulk</v>
      </c>
      <c r="R20" s="10">
        <f>_xlfn.XLOOKUP(G20, Lookup!$A$2:$A$7, Lookup!$B$2:$B$7, "")</f>
        <v>0.25</v>
      </c>
      <c r="S20" s="4" t="str">
        <f>IF(Table1[[#This Row],[Margin]]&lt;Table1[[#This Row],[Target Margin]], "Yes", "")</f>
        <v>Yes</v>
      </c>
    </row>
    <row r="21" spans="1:19">
      <c r="A21" t="s">
        <v>51</v>
      </c>
      <c r="B21" s="2">
        <v>46206</v>
      </c>
      <c r="C21" t="s">
        <v>20</v>
      </c>
      <c r="D21" t="s">
        <v>27</v>
      </c>
      <c r="E21">
        <v>3</v>
      </c>
      <c r="F21" t="str">
        <f>_xlfn.XLOOKUP(D21, Products!$A$2:$A$21, Products!$B$2:$B$21, "Not Found")</f>
        <v>Bluetooth Speaker</v>
      </c>
      <c r="G21" t="str">
        <f>_xlfn.XLOOKUP(D21, Products!$A$2:$A$21, Products!$C$2:$C$21,"not found")</f>
        <v>Audio</v>
      </c>
      <c r="H21" s="4">
        <f>_xlfn.XLOOKUP(D21, Products!$A$2:$A$21, Products!$E$2:$E$21, 0)</f>
        <v>179</v>
      </c>
      <c r="I21" s="4">
        <f>_xlfn.XLOOKUP(D21, Products!$A$2:$A$21, Products!$F$2:$F$21,0)</f>
        <v>95</v>
      </c>
      <c r="J21" t="str">
        <f>_xlfn.XLOOKUP(C21, Stores!$A$2:$A$7, Stores!$D$2:$D$7)</f>
        <v>Sydney West</v>
      </c>
      <c r="K21" s="4">
        <f t="shared" si="0"/>
        <v>537</v>
      </c>
      <c r="L21" s="4">
        <f t="shared" si="1"/>
        <v>252</v>
      </c>
      <c r="M21" s="10">
        <f>IF(Table1[[#This Row],[Revenue]]=0, "", Table1[[#This Row],[Profit]]/Table1[[#This Row],[Revenue]])</f>
        <v>0.46927374301675978</v>
      </c>
      <c r="N21" s="4" t="str">
        <f>IF(Table1[[#This Row],[Margin]]="", "check", IF(Table1[[#This Row],[Margin]]&lt;0.2, "Low", "OK"))</f>
        <v>OK</v>
      </c>
      <c r="O21" s="4" t="str" cm="1">
        <f t="array" ref="O21">_xlfn.IFS(Table1[[#This Row],[Revenue]]=0, "Check", Table1[[#This Row],[Revenue]]&gt;=1000, "Large", Table1[[#This Row],[Revenue]]&gt;=200, "Medium", TRUE, "Small")</f>
        <v>Medium</v>
      </c>
      <c r="P21" s="4" t="str">
        <f>IF(AND(Table1[[#This Row],[Margin Flag]]="Low", Table1[[#This Row],[Revenue]]&gt;1000), "Review", "")</f>
        <v/>
      </c>
      <c r="Q21" s="4" t="str">
        <f>IF(OR(Table1[[#This Row],[Qty]]&gt;=5,Table1[[#This Row],[Order Size]] = "Large" ), "Bulk", "")</f>
        <v/>
      </c>
      <c r="R21" s="10">
        <f>_xlfn.XLOOKUP(G21, Lookup!$A$2:$A$7, Lookup!$B$2:$B$7, "")</f>
        <v>0.25</v>
      </c>
      <c r="S21" s="4" t="str">
        <f>IF(Table1[[#This Row],[Margin]]&lt;Table1[[#This Row],[Target Margin]], "Yes", "")</f>
        <v/>
      </c>
    </row>
    <row r="22" spans="1:19">
      <c r="A22" t="s">
        <v>52</v>
      </c>
      <c r="B22" s="2">
        <v>46206</v>
      </c>
      <c r="C22" t="s">
        <v>20</v>
      </c>
      <c r="D22" t="s">
        <v>35</v>
      </c>
      <c r="E22">
        <v>1</v>
      </c>
      <c r="F22" t="str">
        <f>_xlfn.XLOOKUP(D22, Products!$A$2:$A$21, Products!$B$2:$B$21, "Not Found")</f>
        <v>Phone Case</v>
      </c>
      <c r="G22" t="str">
        <f>_xlfn.XLOOKUP(D22, Products!$A$2:$A$21, Products!$C$2:$C$21,"not found")</f>
        <v>Accessories</v>
      </c>
      <c r="H22" s="4">
        <f>_xlfn.XLOOKUP(D22, Products!$A$2:$A$21, Products!$E$2:$E$21, 0)</f>
        <v>39</v>
      </c>
      <c r="I22" s="4">
        <f>_xlfn.XLOOKUP(D22, Products!$A$2:$A$21, Products!$F$2:$F$21,0)</f>
        <v>9</v>
      </c>
      <c r="J22" t="str">
        <f>_xlfn.XLOOKUP(C22, Stores!$A$2:$A$7, Stores!$D$2:$D$7)</f>
        <v>Sydney West</v>
      </c>
      <c r="K22" s="4">
        <f t="shared" si="0"/>
        <v>39</v>
      </c>
      <c r="L22" s="4">
        <f t="shared" si="1"/>
        <v>30</v>
      </c>
      <c r="M22" s="10">
        <f>IF(Table1[[#This Row],[Revenue]]=0, "", Table1[[#This Row],[Profit]]/Table1[[#This Row],[Revenue]])</f>
        <v>0.76923076923076927</v>
      </c>
      <c r="N22" s="4" t="str">
        <f>IF(Table1[[#This Row],[Margin]]="", "check", IF(Table1[[#This Row],[Margin]]&lt;0.2, "Low", "OK"))</f>
        <v>OK</v>
      </c>
      <c r="O22" s="4" t="str" cm="1">
        <f t="array" ref="O22">_xlfn.IFS(Table1[[#This Row],[Revenue]]=0, "Check", Table1[[#This Row],[Revenue]]&gt;=1000, "Large", Table1[[#This Row],[Revenue]]&gt;=200, "Medium", TRUE, "Small")</f>
        <v>Small</v>
      </c>
      <c r="P22" s="4" t="str">
        <f>IF(AND(Table1[[#This Row],[Margin Flag]]="Low", Table1[[#This Row],[Revenue]]&gt;1000), "Review", "")</f>
        <v/>
      </c>
      <c r="Q22" s="4" t="str">
        <f>IF(OR(Table1[[#This Row],[Qty]]&gt;=5,Table1[[#This Row],[Order Size]] = "Large" ), "Bulk", "")</f>
        <v/>
      </c>
      <c r="R22" s="10">
        <f>_xlfn.XLOOKUP(G22, Lookup!$A$2:$A$7, Lookup!$B$2:$B$7, "")</f>
        <v>0.25</v>
      </c>
      <c r="S22" s="4" t="str">
        <f>IF(Table1[[#This Row],[Margin]]&lt;Table1[[#This Row],[Target Margin]], "Yes", "")</f>
        <v/>
      </c>
    </row>
    <row r="23" spans="1:19">
      <c r="A23" t="s">
        <v>53</v>
      </c>
      <c r="B23" s="2">
        <v>46206</v>
      </c>
      <c r="C23" t="s">
        <v>23</v>
      </c>
      <c r="D23" t="s">
        <v>54</v>
      </c>
      <c r="E23">
        <v>1</v>
      </c>
      <c r="F23" t="str">
        <f>_xlfn.XLOOKUP(D23, Products!$A$2:$A$21, Products!$B$2:$B$21, "Not Found")</f>
        <v>Tablet 11in</v>
      </c>
      <c r="G23" t="str">
        <f>_xlfn.XLOOKUP(D23, Products!$A$2:$A$21, Products!$C$2:$C$21,"not found")</f>
        <v>Computers</v>
      </c>
      <c r="H23" s="4">
        <f>_xlfn.XLOOKUP(D23, Products!$A$2:$A$21, Products!$E$2:$E$21, 0)</f>
        <v>899</v>
      </c>
      <c r="I23" s="4">
        <f>_xlfn.XLOOKUP(D23, Products!$A$2:$A$21, Products!$F$2:$F$21,0)</f>
        <v>690</v>
      </c>
      <c r="J23" t="str">
        <f>_xlfn.XLOOKUP(C23, Stores!$A$2:$A$7, Stores!$D$2:$D$7)</f>
        <v>Sydney East</v>
      </c>
      <c r="K23" s="4">
        <f t="shared" si="0"/>
        <v>899</v>
      </c>
      <c r="L23" s="4">
        <f t="shared" si="1"/>
        <v>209</v>
      </c>
      <c r="M23" s="10">
        <f>IF(Table1[[#This Row],[Revenue]]=0, "", Table1[[#This Row],[Profit]]/Table1[[#This Row],[Revenue]])</f>
        <v>0.2324805339265851</v>
      </c>
      <c r="N23" s="4" t="str">
        <f>IF(Table1[[#This Row],[Margin]]="", "check", IF(Table1[[#This Row],[Margin]]&lt;0.2, "Low", "OK"))</f>
        <v>OK</v>
      </c>
      <c r="O23" s="4" t="str" cm="1">
        <f t="array" ref="O23">_xlfn.IFS(Table1[[#This Row],[Revenue]]=0, "Check", Table1[[#This Row],[Revenue]]&gt;=1000, "Large", Table1[[#This Row],[Revenue]]&gt;=200, "Medium", TRUE, "Small")</f>
        <v>Medium</v>
      </c>
      <c r="P23" s="4" t="str">
        <f>IF(AND(Table1[[#This Row],[Margin Flag]]="Low", Table1[[#This Row],[Revenue]]&gt;1000), "Review", "")</f>
        <v/>
      </c>
      <c r="Q23" s="4" t="str">
        <f>IF(OR(Table1[[#This Row],[Qty]]&gt;=5,Table1[[#This Row],[Order Size]] = "Large" ), "Bulk", "")</f>
        <v/>
      </c>
      <c r="R23" s="10">
        <f>_xlfn.XLOOKUP(G23, Lookup!$A$2:$A$7, Lookup!$B$2:$B$7, "")</f>
        <v>0.25</v>
      </c>
      <c r="S23" s="4" t="str">
        <f>IF(Table1[[#This Row],[Margin]]&lt;Table1[[#This Row],[Target Margin]], "Yes", "")</f>
        <v>Yes</v>
      </c>
    </row>
    <row r="24" spans="1:19">
      <c r="A24" t="s">
        <v>55</v>
      </c>
      <c r="B24" s="2">
        <v>46206</v>
      </c>
      <c r="C24" t="s">
        <v>29</v>
      </c>
      <c r="D24" t="s">
        <v>35</v>
      </c>
      <c r="E24">
        <v>1</v>
      </c>
      <c r="F24" t="str">
        <f>_xlfn.XLOOKUP(D24, Products!$A$2:$A$21, Products!$B$2:$B$21, "Not Found")</f>
        <v>Phone Case</v>
      </c>
      <c r="G24" t="str">
        <f>_xlfn.XLOOKUP(D24, Products!$A$2:$A$21, Products!$C$2:$C$21,"not found")</f>
        <v>Accessories</v>
      </c>
      <c r="H24" s="4">
        <f>_xlfn.XLOOKUP(D24, Products!$A$2:$A$21, Products!$E$2:$E$21, 0)</f>
        <v>39</v>
      </c>
      <c r="I24" s="4">
        <f>_xlfn.XLOOKUP(D24, Products!$A$2:$A$21, Products!$F$2:$F$21,0)</f>
        <v>9</v>
      </c>
      <c r="J24" t="str">
        <f>_xlfn.XLOOKUP(C24, Stores!$A$2:$A$7, Stores!$D$2:$D$7)</f>
        <v>Sydney West</v>
      </c>
      <c r="K24" s="4">
        <f t="shared" si="0"/>
        <v>39</v>
      </c>
      <c r="L24" s="4">
        <f t="shared" si="1"/>
        <v>30</v>
      </c>
      <c r="M24" s="10">
        <f>IF(Table1[[#This Row],[Revenue]]=0, "", Table1[[#This Row],[Profit]]/Table1[[#This Row],[Revenue]])</f>
        <v>0.76923076923076927</v>
      </c>
      <c r="N24" s="4" t="str">
        <f>IF(Table1[[#This Row],[Margin]]="", "check", IF(Table1[[#This Row],[Margin]]&lt;0.2, "Low", "OK"))</f>
        <v>OK</v>
      </c>
      <c r="O24" s="4" t="str" cm="1">
        <f t="array" ref="O24">_xlfn.IFS(Table1[[#This Row],[Revenue]]=0, "Check", Table1[[#This Row],[Revenue]]&gt;=1000, "Large", Table1[[#This Row],[Revenue]]&gt;=200, "Medium", TRUE, "Small")</f>
        <v>Small</v>
      </c>
      <c r="P24" s="4" t="str">
        <f>IF(AND(Table1[[#This Row],[Margin Flag]]="Low", Table1[[#This Row],[Revenue]]&gt;1000), "Review", "")</f>
        <v/>
      </c>
      <c r="Q24" s="4" t="str">
        <f>IF(OR(Table1[[#This Row],[Qty]]&gt;=5,Table1[[#This Row],[Order Size]] = "Large" ), "Bulk", "")</f>
        <v/>
      </c>
      <c r="R24" s="10">
        <f>_xlfn.XLOOKUP(G24, Lookup!$A$2:$A$7, Lookup!$B$2:$B$7, "")</f>
        <v>0.25</v>
      </c>
      <c r="S24" s="4" t="str">
        <f>IF(Table1[[#This Row],[Margin]]&lt;Table1[[#This Row],[Target Margin]], "Yes", "")</f>
        <v/>
      </c>
    </row>
    <row r="25" spans="1:19">
      <c r="A25" t="s">
        <v>56</v>
      </c>
      <c r="B25" s="2">
        <v>46207</v>
      </c>
      <c r="C25" t="s">
        <v>57</v>
      </c>
      <c r="D25" t="s">
        <v>58</v>
      </c>
      <c r="E25">
        <v>1</v>
      </c>
      <c r="F25" t="str">
        <f>_xlfn.XLOOKUP(D25, Products!$A$2:$A$21, Products!$B$2:$B$21, "Not Found")</f>
        <v>Mech Keyboard</v>
      </c>
      <c r="G25" t="str">
        <f>_xlfn.XLOOKUP(D25, Products!$A$2:$A$21, Products!$C$2:$C$21,"not found")</f>
        <v>Accessories</v>
      </c>
      <c r="H25" s="4">
        <f>_xlfn.XLOOKUP(D25, Products!$A$2:$A$21, Products!$E$2:$E$21, 0)</f>
        <v>149</v>
      </c>
      <c r="I25" s="4">
        <f>_xlfn.XLOOKUP(D25, Products!$A$2:$A$21, Products!$F$2:$F$21,0)</f>
        <v>72</v>
      </c>
      <c r="J25" t="str">
        <f>_xlfn.XLOOKUP(C25, Stores!$A$2:$A$7, Stores!$D$2:$D$7)</f>
        <v>Sydney South</v>
      </c>
      <c r="K25" s="4">
        <f t="shared" si="0"/>
        <v>149</v>
      </c>
      <c r="L25" s="4">
        <f t="shared" si="1"/>
        <v>77</v>
      </c>
      <c r="M25" s="10">
        <f>IF(Table1[[#This Row],[Revenue]]=0, "", Table1[[#This Row],[Profit]]/Table1[[#This Row],[Revenue]])</f>
        <v>0.51677852348993292</v>
      </c>
      <c r="N25" s="4" t="str">
        <f>IF(Table1[[#This Row],[Margin]]="", "check", IF(Table1[[#This Row],[Margin]]&lt;0.2, "Low", "OK"))</f>
        <v>OK</v>
      </c>
      <c r="O25" s="4" t="str" cm="1">
        <f t="array" ref="O25">_xlfn.IFS(Table1[[#This Row],[Revenue]]=0, "Check", Table1[[#This Row],[Revenue]]&gt;=1000, "Large", Table1[[#This Row],[Revenue]]&gt;=200, "Medium", TRUE, "Small")</f>
        <v>Small</v>
      </c>
      <c r="P25" s="4" t="str">
        <f>IF(AND(Table1[[#This Row],[Margin Flag]]="Low", Table1[[#This Row],[Revenue]]&gt;1000), "Review", "")</f>
        <v/>
      </c>
      <c r="Q25" s="4" t="str">
        <f>IF(OR(Table1[[#This Row],[Qty]]&gt;=5,Table1[[#This Row],[Order Size]] = "Large" ), "Bulk", "")</f>
        <v/>
      </c>
      <c r="R25" s="10">
        <f>_xlfn.XLOOKUP(G25, Lookup!$A$2:$A$7, Lookup!$B$2:$B$7, "")</f>
        <v>0.25</v>
      </c>
      <c r="S25" s="4" t="str">
        <f>IF(Table1[[#This Row],[Margin]]&lt;Table1[[#This Row],[Target Margin]], "Yes", "")</f>
        <v/>
      </c>
    </row>
    <row r="26" spans="1:19">
      <c r="A26" t="s">
        <v>59</v>
      </c>
      <c r="B26" s="2">
        <v>46207</v>
      </c>
      <c r="C26" t="s">
        <v>32</v>
      </c>
      <c r="D26" t="s">
        <v>60</v>
      </c>
      <c r="E26">
        <v>1</v>
      </c>
      <c r="F26" t="str">
        <f>_xlfn.XLOOKUP(D26, Products!$A$2:$A$21, Products!$B$2:$B$21, "Not Found")</f>
        <v>55in TV</v>
      </c>
      <c r="G26" t="str">
        <f>_xlfn.XLOOKUP(D26, Products!$A$2:$A$21, Products!$C$2:$C$21,"not found")</f>
        <v>TV</v>
      </c>
      <c r="H26" s="4">
        <f>_xlfn.XLOOKUP(D26, Products!$A$2:$A$21, Products!$E$2:$E$21, 0)</f>
        <v>1299</v>
      </c>
      <c r="I26" s="4">
        <f>_xlfn.XLOOKUP(D26, Products!$A$2:$A$21, Products!$F$2:$F$21,0)</f>
        <v>980</v>
      </c>
      <c r="J26" t="str">
        <f>_xlfn.XLOOKUP(C26, Stores!$A$2:$A$7, Stores!$D$2:$D$7)</f>
        <v>Sydney South</v>
      </c>
      <c r="K26" s="4">
        <f t="shared" si="0"/>
        <v>1299</v>
      </c>
      <c r="L26" s="4">
        <f t="shared" si="1"/>
        <v>319</v>
      </c>
      <c r="M26" s="10">
        <f>IF(Table1[[#This Row],[Revenue]]=0, "", Table1[[#This Row],[Profit]]/Table1[[#This Row],[Revenue]])</f>
        <v>0.2455735180908391</v>
      </c>
      <c r="N26" s="4" t="str">
        <f>IF(Table1[[#This Row],[Margin]]="", "check", IF(Table1[[#This Row],[Margin]]&lt;0.2, "Low", "OK"))</f>
        <v>OK</v>
      </c>
      <c r="O26" s="4" t="str" cm="1">
        <f t="array" ref="O26">_xlfn.IFS(Table1[[#This Row],[Revenue]]=0, "Check", Table1[[#This Row],[Revenue]]&gt;=1000, "Large", Table1[[#This Row],[Revenue]]&gt;=200, "Medium", TRUE, "Small")</f>
        <v>Large</v>
      </c>
      <c r="P26" s="4" t="str">
        <f>IF(AND(Table1[[#This Row],[Margin Flag]]="Low", Table1[[#This Row],[Revenue]]&gt;1000), "Review", "")</f>
        <v/>
      </c>
      <c r="Q26" s="4" t="str">
        <f>IF(OR(Table1[[#This Row],[Qty]]&gt;=5,Table1[[#This Row],[Order Size]] = "Large" ), "Bulk", "")</f>
        <v>Bulk</v>
      </c>
      <c r="R26" s="10">
        <f>_xlfn.XLOOKUP(G26, Lookup!$A$2:$A$7, Lookup!$B$2:$B$7, "")</f>
        <v>0.25</v>
      </c>
      <c r="S26" s="4" t="str">
        <f>IF(Table1[[#This Row],[Margin]]&lt;Table1[[#This Row],[Target Margin]], "Yes", "")</f>
        <v>Yes</v>
      </c>
    </row>
    <row r="27" spans="1:19">
      <c r="A27" t="s">
        <v>61</v>
      </c>
      <c r="B27" s="2">
        <v>46207</v>
      </c>
      <c r="C27" t="s">
        <v>26</v>
      </c>
      <c r="D27" t="s">
        <v>60</v>
      </c>
      <c r="E27">
        <v>1</v>
      </c>
      <c r="F27" t="str">
        <f>_xlfn.XLOOKUP(D27, Products!$A$2:$A$21, Products!$B$2:$B$21, "Not Found")</f>
        <v>55in TV</v>
      </c>
      <c r="G27" t="str">
        <f>_xlfn.XLOOKUP(D27, Products!$A$2:$A$21, Products!$C$2:$C$21,"not found")</f>
        <v>TV</v>
      </c>
      <c r="H27" s="4">
        <f>_xlfn.XLOOKUP(D27, Products!$A$2:$A$21, Products!$E$2:$E$21, 0)</f>
        <v>1299</v>
      </c>
      <c r="I27" s="4">
        <f>_xlfn.XLOOKUP(D27, Products!$A$2:$A$21, Products!$F$2:$F$21,0)</f>
        <v>980</v>
      </c>
      <c r="J27" t="str">
        <f>_xlfn.XLOOKUP(C27, Stores!$A$2:$A$7, Stores!$D$2:$D$7)</f>
        <v>Sydney North</v>
      </c>
      <c r="K27" s="4">
        <f t="shared" si="0"/>
        <v>1299</v>
      </c>
      <c r="L27" s="4">
        <f t="shared" si="1"/>
        <v>319</v>
      </c>
      <c r="M27" s="10">
        <f>IF(Table1[[#This Row],[Revenue]]=0, "", Table1[[#This Row],[Profit]]/Table1[[#This Row],[Revenue]])</f>
        <v>0.2455735180908391</v>
      </c>
      <c r="N27" s="4" t="str">
        <f>IF(Table1[[#This Row],[Margin]]="", "check", IF(Table1[[#This Row],[Margin]]&lt;0.2, "Low", "OK"))</f>
        <v>OK</v>
      </c>
      <c r="O27" s="4" t="str" cm="1">
        <f t="array" ref="O27">_xlfn.IFS(Table1[[#This Row],[Revenue]]=0, "Check", Table1[[#This Row],[Revenue]]&gt;=1000, "Large", Table1[[#This Row],[Revenue]]&gt;=200, "Medium", TRUE, "Small")</f>
        <v>Large</v>
      </c>
      <c r="P27" s="4" t="str">
        <f>IF(AND(Table1[[#This Row],[Margin Flag]]="Low", Table1[[#This Row],[Revenue]]&gt;1000), "Review", "")</f>
        <v/>
      </c>
      <c r="Q27" s="4" t="str">
        <f>IF(OR(Table1[[#This Row],[Qty]]&gt;=5,Table1[[#This Row],[Order Size]] = "Large" ), "Bulk", "")</f>
        <v>Bulk</v>
      </c>
      <c r="R27" s="10">
        <f>_xlfn.XLOOKUP(G27, Lookup!$A$2:$A$7, Lookup!$B$2:$B$7, "")</f>
        <v>0.25</v>
      </c>
      <c r="S27" s="4" t="str">
        <f>IF(Table1[[#This Row],[Margin]]&lt;Table1[[#This Row],[Target Margin]], "Yes", "")</f>
        <v>Yes</v>
      </c>
    </row>
    <row r="28" spans="1:19">
      <c r="A28" t="s">
        <v>62</v>
      </c>
      <c r="B28" s="2">
        <v>46207</v>
      </c>
      <c r="C28" t="s">
        <v>32</v>
      </c>
      <c r="D28" t="s">
        <v>30</v>
      </c>
      <c r="E28">
        <v>2</v>
      </c>
      <c r="F28" t="str">
        <f>_xlfn.XLOOKUP(D28, Products!$A$2:$A$21, Products!$B$2:$B$21, "Not Found")</f>
        <v>Video Game</v>
      </c>
      <c r="G28" t="str">
        <f>_xlfn.XLOOKUP(D28, Products!$A$2:$A$21, Products!$C$2:$C$21,"not found")</f>
        <v>Gaming</v>
      </c>
      <c r="H28" s="4">
        <f>_xlfn.XLOOKUP(D28, Products!$A$2:$A$21, Products!$E$2:$E$21, 0)</f>
        <v>79</v>
      </c>
      <c r="I28" s="4">
        <f>_xlfn.XLOOKUP(D28, Products!$A$2:$A$21, Products!$F$2:$F$21,0)</f>
        <v>52</v>
      </c>
      <c r="J28" t="str">
        <f>_xlfn.XLOOKUP(C28, Stores!$A$2:$A$7, Stores!$D$2:$D$7)</f>
        <v>Sydney South</v>
      </c>
      <c r="K28" s="4">
        <f t="shared" si="0"/>
        <v>158</v>
      </c>
      <c r="L28" s="4">
        <f t="shared" si="1"/>
        <v>54</v>
      </c>
      <c r="M28" s="10">
        <f>IF(Table1[[#This Row],[Revenue]]=0, "", Table1[[#This Row],[Profit]]/Table1[[#This Row],[Revenue]])</f>
        <v>0.34177215189873417</v>
      </c>
      <c r="N28" s="4" t="str">
        <f>IF(Table1[[#This Row],[Margin]]="", "check", IF(Table1[[#This Row],[Margin]]&lt;0.2, "Low", "OK"))</f>
        <v>OK</v>
      </c>
      <c r="O28" s="4" t="str" cm="1">
        <f t="array" ref="O28">_xlfn.IFS(Table1[[#This Row],[Revenue]]=0, "Check", Table1[[#This Row],[Revenue]]&gt;=1000, "Large", Table1[[#This Row],[Revenue]]&gt;=200, "Medium", TRUE, "Small")</f>
        <v>Small</v>
      </c>
      <c r="P28" s="4" t="str">
        <f>IF(AND(Table1[[#This Row],[Margin Flag]]="Low", Table1[[#This Row],[Revenue]]&gt;1000), "Review", "")</f>
        <v/>
      </c>
      <c r="Q28" s="4" t="str">
        <f>IF(OR(Table1[[#This Row],[Qty]]&gt;=5,Table1[[#This Row],[Order Size]] = "Large" ), "Bulk", "")</f>
        <v/>
      </c>
      <c r="R28" s="10">
        <f>_xlfn.XLOOKUP(G28, Lookup!$A$2:$A$7, Lookup!$B$2:$B$7, "")</f>
        <v>0.08</v>
      </c>
      <c r="S28" s="4" t="str">
        <f>IF(Table1[[#This Row],[Margin]]&lt;Table1[[#This Row],[Target Margin]], "Yes", "")</f>
        <v/>
      </c>
    </row>
    <row r="29" spans="1:19">
      <c r="A29" t="s">
        <v>63</v>
      </c>
      <c r="B29" s="2">
        <v>46207</v>
      </c>
      <c r="C29" t="s">
        <v>26</v>
      </c>
      <c r="D29" t="s">
        <v>27</v>
      </c>
      <c r="E29">
        <v>1</v>
      </c>
      <c r="F29" t="str">
        <f>_xlfn.XLOOKUP(D29, Products!$A$2:$A$21, Products!$B$2:$B$21, "Not Found")</f>
        <v>Bluetooth Speaker</v>
      </c>
      <c r="G29" t="str">
        <f>_xlfn.XLOOKUP(D29, Products!$A$2:$A$21, Products!$C$2:$C$21,"not found")</f>
        <v>Audio</v>
      </c>
      <c r="H29" s="4">
        <f>_xlfn.XLOOKUP(D29, Products!$A$2:$A$21, Products!$E$2:$E$21, 0)</f>
        <v>179</v>
      </c>
      <c r="I29" s="4">
        <f>_xlfn.XLOOKUP(D29, Products!$A$2:$A$21, Products!$F$2:$F$21,0)</f>
        <v>95</v>
      </c>
      <c r="J29" t="str">
        <f>_xlfn.XLOOKUP(C29, Stores!$A$2:$A$7, Stores!$D$2:$D$7)</f>
        <v>Sydney North</v>
      </c>
      <c r="K29" s="4">
        <f t="shared" si="0"/>
        <v>179</v>
      </c>
      <c r="L29" s="4">
        <f t="shared" si="1"/>
        <v>84</v>
      </c>
      <c r="M29" s="10">
        <f>IF(Table1[[#This Row],[Revenue]]=0, "", Table1[[#This Row],[Profit]]/Table1[[#This Row],[Revenue]])</f>
        <v>0.46927374301675978</v>
      </c>
      <c r="N29" s="4" t="str">
        <f>IF(Table1[[#This Row],[Margin]]="", "check", IF(Table1[[#This Row],[Margin]]&lt;0.2, "Low", "OK"))</f>
        <v>OK</v>
      </c>
      <c r="O29" s="4" t="str" cm="1">
        <f t="array" ref="O29">_xlfn.IFS(Table1[[#This Row],[Revenue]]=0, "Check", Table1[[#This Row],[Revenue]]&gt;=1000, "Large", Table1[[#This Row],[Revenue]]&gt;=200, "Medium", TRUE, "Small")</f>
        <v>Small</v>
      </c>
      <c r="P29" s="4" t="str">
        <f>IF(AND(Table1[[#This Row],[Margin Flag]]="Low", Table1[[#This Row],[Revenue]]&gt;1000), "Review", "")</f>
        <v/>
      </c>
      <c r="Q29" s="4" t="str">
        <f>IF(OR(Table1[[#This Row],[Qty]]&gt;=5,Table1[[#This Row],[Order Size]] = "Large" ), "Bulk", "")</f>
        <v/>
      </c>
      <c r="R29" s="10">
        <f>_xlfn.XLOOKUP(G29, Lookup!$A$2:$A$7, Lookup!$B$2:$B$7, "")</f>
        <v>0.25</v>
      </c>
      <c r="S29" s="4" t="str">
        <f>IF(Table1[[#This Row],[Margin]]&lt;Table1[[#This Row],[Target Margin]], "Yes", "")</f>
        <v/>
      </c>
    </row>
    <row r="30" spans="1:19">
      <c r="A30" t="s">
        <v>64</v>
      </c>
      <c r="B30" s="2">
        <v>46207</v>
      </c>
      <c r="C30" t="s">
        <v>32</v>
      </c>
      <c r="D30" t="s">
        <v>21</v>
      </c>
      <c r="E30">
        <v>1</v>
      </c>
      <c r="F30" t="str">
        <f>_xlfn.XLOOKUP(D30, Products!$A$2:$A$21, Products!$B$2:$B$21, "Not Found")</f>
        <v>Gaming Mouse</v>
      </c>
      <c r="G30" t="str">
        <f>_xlfn.XLOOKUP(D30, Products!$A$2:$A$21, Products!$C$2:$C$21,"not found")</f>
        <v>Accessories</v>
      </c>
      <c r="H30" s="4">
        <f>_xlfn.XLOOKUP(D30, Products!$A$2:$A$21, Products!$E$2:$E$21, 0)</f>
        <v>89</v>
      </c>
      <c r="I30" s="4">
        <f>_xlfn.XLOOKUP(D30, Products!$A$2:$A$21, Products!$F$2:$F$21,0)</f>
        <v>41</v>
      </c>
      <c r="J30" t="str">
        <f>_xlfn.XLOOKUP(C30, Stores!$A$2:$A$7, Stores!$D$2:$D$7)</f>
        <v>Sydney South</v>
      </c>
      <c r="K30" s="4">
        <f t="shared" si="0"/>
        <v>89</v>
      </c>
      <c r="L30" s="4">
        <f t="shared" si="1"/>
        <v>48</v>
      </c>
      <c r="M30" s="10">
        <f>IF(Table1[[#This Row],[Revenue]]=0, "", Table1[[#This Row],[Profit]]/Table1[[#This Row],[Revenue]])</f>
        <v>0.5393258426966292</v>
      </c>
      <c r="N30" s="4" t="str">
        <f>IF(Table1[[#This Row],[Margin]]="", "check", IF(Table1[[#This Row],[Margin]]&lt;0.2, "Low", "OK"))</f>
        <v>OK</v>
      </c>
      <c r="O30" s="4" t="str" cm="1">
        <f t="array" ref="O30">_xlfn.IFS(Table1[[#This Row],[Revenue]]=0, "Check", Table1[[#This Row],[Revenue]]&gt;=1000, "Large", Table1[[#This Row],[Revenue]]&gt;=200, "Medium", TRUE, "Small")</f>
        <v>Small</v>
      </c>
      <c r="P30" s="4" t="str">
        <f>IF(AND(Table1[[#This Row],[Margin Flag]]="Low", Table1[[#This Row],[Revenue]]&gt;1000), "Review", "")</f>
        <v/>
      </c>
      <c r="Q30" s="4" t="str">
        <f>IF(OR(Table1[[#This Row],[Qty]]&gt;=5,Table1[[#This Row],[Order Size]] = "Large" ), "Bulk", "")</f>
        <v/>
      </c>
      <c r="R30" s="10">
        <f>_xlfn.XLOOKUP(G30, Lookup!$A$2:$A$7, Lookup!$B$2:$B$7, "")</f>
        <v>0.25</v>
      </c>
      <c r="S30" s="4" t="str">
        <f>IF(Table1[[#This Row],[Margin]]&lt;Table1[[#This Row],[Target Margin]], "Yes", "")</f>
        <v/>
      </c>
    </row>
    <row r="31" spans="1:19">
      <c r="A31" t="s">
        <v>65</v>
      </c>
      <c r="B31" s="2">
        <v>46208</v>
      </c>
      <c r="C31" t="s">
        <v>32</v>
      </c>
      <c r="D31" t="s">
        <v>21</v>
      </c>
      <c r="E31">
        <v>1</v>
      </c>
      <c r="F31" t="str">
        <f>_xlfn.XLOOKUP(D31, Products!$A$2:$A$21, Products!$B$2:$B$21, "Not Found")</f>
        <v>Gaming Mouse</v>
      </c>
      <c r="G31" t="str">
        <f>_xlfn.XLOOKUP(D31, Products!$A$2:$A$21, Products!$C$2:$C$21,"not found")</f>
        <v>Accessories</v>
      </c>
      <c r="H31" s="4">
        <f>_xlfn.XLOOKUP(D31, Products!$A$2:$A$21, Products!$E$2:$E$21, 0)</f>
        <v>89</v>
      </c>
      <c r="I31" s="4">
        <f>_xlfn.XLOOKUP(D31, Products!$A$2:$A$21, Products!$F$2:$F$21,0)</f>
        <v>41</v>
      </c>
      <c r="J31" t="str">
        <f>_xlfn.XLOOKUP(C31, Stores!$A$2:$A$7, Stores!$D$2:$D$7)</f>
        <v>Sydney South</v>
      </c>
      <c r="K31" s="4">
        <f t="shared" si="0"/>
        <v>89</v>
      </c>
      <c r="L31" s="4">
        <f t="shared" si="1"/>
        <v>48</v>
      </c>
      <c r="M31" s="10">
        <f>IF(Table1[[#This Row],[Revenue]]=0, "", Table1[[#This Row],[Profit]]/Table1[[#This Row],[Revenue]])</f>
        <v>0.5393258426966292</v>
      </c>
      <c r="N31" s="4" t="str">
        <f>IF(Table1[[#This Row],[Margin]]="", "check", IF(Table1[[#This Row],[Margin]]&lt;0.2, "Low", "OK"))</f>
        <v>OK</v>
      </c>
      <c r="O31" s="4" t="str" cm="1">
        <f t="array" ref="O31">_xlfn.IFS(Table1[[#This Row],[Revenue]]=0, "Check", Table1[[#This Row],[Revenue]]&gt;=1000, "Large", Table1[[#This Row],[Revenue]]&gt;=200, "Medium", TRUE, "Small")</f>
        <v>Small</v>
      </c>
      <c r="P31" s="4" t="str">
        <f>IF(AND(Table1[[#This Row],[Margin Flag]]="Low", Table1[[#This Row],[Revenue]]&gt;1000), "Review", "")</f>
        <v/>
      </c>
      <c r="Q31" s="4" t="str">
        <f>IF(OR(Table1[[#This Row],[Qty]]&gt;=5,Table1[[#This Row],[Order Size]] = "Large" ), "Bulk", "")</f>
        <v/>
      </c>
      <c r="R31" s="10">
        <f>_xlfn.XLOOKUP(G31, Lookup!$A$2:$A$7, Lookup!$B$2:$B$7, "")</f>
        <v>0.25</v>
      </c>
      <c r="S31" s="4" t="str">
        <f>IF(Table1[[#This Row],[Margin]]&lt;Table1[[#This Row],[Target Margin]], "Yes", "")</f>
        <v/>
      </c>
    </row>
    <row r="32" spans="1:19">
      <c r="A32" t="s">
        <v>66</v>
      </c>
      <c r="B32" s="2">
        <v>46208</v>
      </c>
      <c r="C32" t="s">
        <v>32</v>
      </c>
      <c r="D32" t="s">
        <v>67</v>
      </c>
      <c r="E32">
        <v>1</v>
      </c>
      <c r="F32" t="str">
        <f>_xlfn.XLOOKUP(D32, Products!$A$2:$A$21, Products!$B$2:$B$21, "Not Found")</f>
        <v>Soundbar</v>
      </c>
      <c r="G32" t="str">
        <f>_xlfn.XLOOKUP(D32, Products!$A$2:$A$21, Products!$C$2:$C$21,"not found")</f>
        <v>Audio</v>
      </c>
      <c r="H32" s="4">
        <f>_xlfn.XLOOKUP(D32, Products!$A$2:$A$21, Products!$E$2:$E$21, 0)</f>
        <v>699</v>
      </c>
      <c r="I32" s="4">
        <f>_xlfn.XLOOKUP(D32, Products!$A$2:$A$21, Products!$F$2:$F$21,0)</f>
        <v>450</v>
      </c>
      <c r="J32" t="str">
        <f>_xlfn.XLOOKUP(C32, Stores!$A$2:$A$7, Stores!$D$2:$D$7)</f>
        <v>Sydney South</v>
      </c>
      <c r="K32" s="4">
        <f t="shared" si="0"/>
        <v>699</v>
      </c>
      <c r="L32" s="4">
        <f t="shared" si="1"/>
        <v>249</v>
      </c>
      <c r="M32" s="10">
        <f>IF(Table1[[#This Row],[Revenue]]=0, "", Table1[[#This Row],[Profit]]/Table1[[#This Row],[Revenue]])</f>
        <v>0.35622317596566522</v>
      </c>
      <c r="N32" s="4" t="str">
        <f>IF(Table1[[#This Row],[Margin]]="", "check", IF(Table1[[#This Row],[Margin]]&lt;0.2, "Low", "OK"))</f>
        <v>OK</v>
      </c>
      <c r="O32" s="4" t="str" cm="1">
        <f t="array" ref="O32">_xlfn.IFS(Table1[[#This Row],[Revenue]]=0, "Check", Table1[[#This Row],[Revenue]]&gt;=1000, "Large", Table1[[#This Row],[Revenue]]&gt;=200, "Medium", TRUE, "Small")</f>
        <v>Medium</v>
      </c>
      <c r="P32" s="4" t="str">
        <f>IF(AND(Table1[[#This Row],[Margin Flag]]="Low", Table1[[#This Row],[Revenue]]&gt;1000), "Review", "")</f>
        <v/>
      </c>
      <c r="Q32" s="4" t="str">
        <f>IF(OR(Table1[[#This Row],[Qty]]&gt;=5,Table1[[#This Row],[Order Size]] = "Large" ), "Bulk", "")</f>
        <v/>
      </c>
      <c r="R32" s="10">
        <f>_xlfn.XLOOKUP(G32, Lookup!$A$2:$A$7, Lookup!$B$2:$B$7, "")</f>
        <v>0.25</v>
      </c>
      <c r="S32" s="4" t="str">
        <f>IF(Table1[[#This Row],[Margin]]&lt;Table1[[#This Row],[Target Margin]], "Yes", "")</f>
        <v/>
      </c>
    </row>
    <row r="33" spans="1:19">
      <c r="A33" t="s">
        <v>68</v>
      </c>
      <c r="B33" s="2">
        <v>46208</v>
      </c>
      <c r="C33" t="s">
        <v>32</v>
      </c>
      <c r="D33" t="s">
        <v>69</v>
      </c>
      <c r="E33">
        <v>1</v>
      </c>
      <c r="F33" t="str">
        <f>_xlfn.XLOOKUP(D33, Products!$A$2:$A$21, Products!$B$2:$B$21, "Not Found")</f>
        <v>27in Monitor</v>
      </c>
      <c r="G33" t="str">
        <f>_xlfn.XLOOKUP(D33, Products!$A$2:$A$21, Products!$C$2:$C$21,"not found")</f>
        <v>Computers</v>
      </c>
      <c r="H33" s="4">
        <f>_xlfn.XLOOKUP(D33, Products!$A$2:$A$21, Products!$E$2:$E$21, 0)</f>
        <v>399</v>
      </c>
      <c r="I33" s="4">
        <f>_xlfn.XLOOKUP(D33, Products!$A$2:$A$21, Products!$F$2:$F$21,0)</f>
        <v>290</v>
      </c>
      <c r="J33" t="str">
        <f>_xlfn.XLOOKUP(C33, Stores!$A$2:$A$7, Stores!$D$2:$D$7)</f>
        <v>Sydney South</v>
      </c>
      <c r="K33" s="4">
        <f t="shared" si="0"/>
        <v>399</v>
      </c>
      <c r="L33" s="4">
        <f t="shared" si="1"/>
        <v>109</v>
      </c>
      <c r="M33" s="10">
        <f>IF(Table1[[#This Row],[Revenue]]=0, "", Table1[[#This Row],[Profit]]/Table1[[#This Row],[Revenue]])</f>
        <v>0.27318295739348369</v>
      </c>
      <c r="N33" s="4" t="str">
        <f>IF(Table1[[#This Row],[Margin]]="", "check", IF(Table1[[#This Row],[Margin]]&lt;0.2, "Low", "OK"))</f>
        <v>OK</v>
      </c>
      <c r="O33" s="4" t="str" cm="1">
        <f t="array" ref="O33">_xlfn.IFS(Table1[[#This Row],[Revenue]]=0, "Check", Table1[[#This Row],[Revenue]]&gt;=1000, "Large", Table1[[#This Row],[Revenue]]&gt;=200, "Medium", TRUE, "Small")</f>
        <v>Medium</v>
      </c>
      <c r="P33" s="4" t="str">
        <f>IF(AND(Table1[[#This Row],[Margin Flag]]="Low", Table1[[#This Row],[Revenue]]&gt;1000), "Review", "")</f>
        <v/>
      </c>
      <c r="Q33" s="4" t="str">
        <f>IF(OR(Table1[[#This Row],[Qty]]&gt;=5,Table1[[#This Row],[Order Size]] = "Large" ), "Bulk", "")</f>
        <v/>
      </c>
      <c r="R33" s="10">
        <f>_xlfn.XLOOKUP(G33, Lookup!$A$2:$A$7, Lookup!$B$2:$B$7, "")</f>
        <v>0.25</v>
      </c>
      <c r="S33" s="4" t="str">
        <f>IF(Table1[[#This Row],[Margin]]&lt;Table1[[#This Row],[Target Margin]], "Yes", "")</f>
        <v/>
      </c>
    </row>
    <row r="34" spans="1:19">
      <c r="A34" t="s">
        <v>70</v>
      </c>
      <c r="B34" s="2">
        <v>46208</v>
      </c>
      <c r="C34" t="s">
        <v>26</v>
      </c>
      <c r="D34" t="s">
        <v>21</v>
      </c>
      <c r="E34">
        <v>1</v>
      </c>
      <c r="F34" t="str">
        <f>_xlfn.XLOOKUP(D34, Products!$A$2:$A$21, Products!$B$2:$B$21, "Not Found")</f>
        <v>Gaming Mouse</v>
      </c>
      <c r="G34" t="str">
        <f>_xlfn.XLOOKUP(D34, Products!$A$2:$A$21, Products!$C$2:$C$21,"not found")</f>
        <v>Accessories</v>
      </c>
      <c r="H34" s="4">
        <f>_xlfn.XLOOKUP(D34, Products!$A$2:$A$21, Products!$E$2:$E$21, 0)</f>
        <v>89</v>
      </c>
      <c r="I34" s="4">
        <f>_xlfn.XLOOKUP(D34, Products!$A$2:$A$21, Products!$F$2:$F$21,0)</f>
        <v>41</v>
      </c>
      <c r="J34" t="str">
        <f>_xlfn.XLOOKUP(C34, Stores!$A$2:$A$7, Stores!$D$2:$D$7)</f>
        <v>Sydney North</v>
      </c>
      <c r="K34" s="4">
        <f t="shared" si="0"/>
        <v>89</v>
      </c>
      <c r="L34" s="4">
        <f t="shared" si="1"/>
        <v>48</v>
      </c>
      <c r="M34" s="10">
        <f>IF(Table1[[#This Row],[Revenue]]=0, "", Table1[[#This Row],[Profit]]/Table1[[#This Row],[Revenue]])</f>
        <v>0.5393258426966292</v>
      </c>
      <c r="N34" s="4" t="str">
        <f>IF(Table1[[#This Row],[Margin]]="", "check", IF(Table1[[#This Row],[Margin]]&lt;0.2, "Low", "OK"))</f>
        <v>OK</v>
      </c>
      <c r="O34" s="4" t="str" cm="1">
        <f t="array" ref="O34">_xlfn.IFS(Table1[[#This Row],[Revenue]]=0, "Check", Table1[[#This Row],[Revenue]]&gt;=1000, "Large", Table1[[#This Row],[Revenue]]&gt;=200, "Medium", TRUE, "Small")</f>
        <v>Small</v>
      </c>
      <c r="P34" s="4" t="str">
        <f>IF(AND(Table1[[#This Row],[Margin Flag]]="Low", Table1[[#This Row],[Revenue]]&gt;1000), "Review", "")</f>
        <v/>
      </c>
      <c r="Q34" s="4" t="str">
        <f>IF(OR(Table1[[#This Row],[Qty]]&gt;=5,Table1[[#This Row],[Order Size]] = "Large" ), "Bulk", "")</f>
        <v/>
      </c>
      <c r="R34" s="10">
        <f>_xlfn.XLOOKUP(G34, Lookup!$A$2:$A$7, Lookup!$B$2:$B$7, "")</f>
        <v>0.25</v>
      </c>
      <c r="S34" s="4" t="str">
        <f>IF(Table1[[#This Row],[Margin]]&lt;Table1[[#This Row],[Target Margin]], "Yes", "")</f>
        <v/>
      </c>
    </row>
    <row r="35" spans="1:19">
      <c r="A35" t="s">
        <v>71</v>
      </c>
      <c r="B35" s="2">
        <v>46208</v>
      </c>
      <c r="C35" t="s">
        <v>20</v>
      </c>
      <c r="D35" t="s">
        <v>60</v>
      </c>
      <c r="E35">
        <v>1</v>
      </c>
      <c r="F35" t="str">
        <f>_xlfn.XLOOKUP(D35, Products!$A$2:$A$21, Products!$B$2:$B$21, "Not Found")</f>
        <v>55in TV</v>
      </c>
      <c r="G35" t="str">
        <f>_xlfn.XLOOKUP(D35, Products!$A$2:$A$21, Products!$C$2:$C$21,"not found")</f>
        <v>TV</v>
      </c>
      <c r="H35" s="4">
        <f>_xlfn.XLOOKUP(D35, Products!$A$2:$A$21, Products!$E$2:$E$21, 0)</f>
        <v>1299</v>
      </c>
      <c r="I35" s="4">
        <f>_xlfn.XLOOKUP(D35, Products!$A$2:$A$21, Products!$F$2:$F$21,0)</f>
        <v>980</v>
      </c>
      <c r="J35" t="str">
        <f>_xlfn.XLOOKUP(C35, Stores!$A$2:$A$7, Stores!$D$2:$D$7)</f>
        <v>Sydney West</v>
      </c>
      <c r="K35" s="4">
        <f t="shared" si="0"/>
        <v>1299</v>
      </c>
      <c r="L35" s="4">
        <f t="shared" si="1"/>
        <v>319</v>
      </c>
      <c r="M35" s="10">
        <f>IF(Table1[[#This Row],[Revenue]]=0, "", Table1[[#This Row],[Profit]]/Table1[[#This Row],[Revenue]])</f>
        <v>0.2455735180908391</v>
      </c>
      <c r="N35" s="4" t="str">
        <f>IF(Table1[[#This Row],[Margin]]="", "check", IF(Table1[[#This Row],[Margin]]&lt;0.2, "Low", "OK"))</f>
        <v>OK</v>
      </c>
      <c r="O35" s="4" t="str" cm="1">
        <f t="array" ref="O35">_xlfn.IFS(Table1[[#This Row],[Revenue]]=0, "Check", Table1[[#This Row],[Revenue]]&gt;=1000, "Large", Table1[[#This Row],[Revenue]]&gt;=200, "Medium", TRUE, "Small")</f>
        <v>Large</v>
      </c>
      <c r="P35" s="4" t="str">
        <f>IF(AND(Table1[[#This Row],[Margin Flag]]="Low", Table1[[#This Row],[Revenue]]&gt;1000), "Review", "")</f>
        <v/>
      </c>
      <c r="Q35" s="4" t="str">
        <f>IF(OR(Table1[[#This Row],[Qty]]&gt;=5,Table1[[#This Row],[Order Size]] = "Large" ), "Bulk", "")</f>
        <v>Bulk</v>
      </c>
      <c r="R35" s="10">
        <f>_xlfn.XLOOKUP(G35, Lookup!$A$2:$A$7, Lookup!$B$2:$B$7, "")</f>
        <v>0.25</v>
      </c>
      <c r="S35" s="4" t="str">
        <f>IF(Table1[[#This Row],[Margin]]&lt;Table1[[#This Row],[Target Margin]], "Yes", "")</f>
        <v>Yes</v>
      </c>
    </row>
    <row r="36" spans="1:19">
      <c r="A36" t="s">
        <v>72</v>
      </c>
      <c r="B36" s="2">
        <v>46208</v>
      </c>
      <c r="C36" t="s">
        <v>23</v>
      </c>
      <c r="D36" t="s">
        <v>30</v>
      </c>
      <c r="E36">
        <v>1</v>
      </c>
      <c r="F36" t="str">
        <f>_xlfn.XLOOKUP(D36, Products!$A$2:$A$21, Products!$B$2:$B$21, "Not Found")</f>
        <v>Video Game</v>
      </c>
      <c r="G36" t="str">
        <f>_xlfn.XLOOKUP(D36, Products!$A$2:$A$21, Products!$C$2:$C$21,"not found")</f>
        <v>Gaming</v>
      </c>
      <c r="H36" s="4">
        <f>_xlfn.XLOOKUP(D36, Products!$A$2:$A$21, Products!$E$2:$E$21, 0)</f>
        <v>79</v>
      </c>
      <c r="I36" s="4">
        <f>_xlfn.XLOOKUP(D36, Products!$A$2:$A$21, Products!$F$2:$F$21,0)</f>
        <v>52</v>
      </c>
      <c r="J36" t="str">
        <f>_xlfn.XLOOKUP(C36, Stores!$A$2:$A$7, Stores!$D$2:$D$7)</f>
        <v>Sydney East</v>
      </c>
      <c r="K36" s="4">
        <f t="shared" si="0"/>
        <v>79</v>
      </c>
      <c r="L36" s="4">
        <f t="shared" si="1"/>
        <v>27</v>
      </c>
      <c r="M36" s="10">
        <f>IF(Table1[[#This Row],[Revenue]]=0, "", Table1[[#This Row],[Profit]]/Table1[[#This Row],[Revenue]])</f>
        <v>0.34177215189873417</v>
      </c>
      <c r="N36" s="4" t="str">
        <f>IF(Table1[[#This Row],[Margin]]="", "check", IF(Table1[[#This Row],[Margin]]&lt;0.2, "Low", "OK"))</f>
        <v>OK</v>
      </c>
      <c r="O36" s="4" t="str" cm="1">
        <f t="array" ref="O36">_xlfn.IFS(Table1[[#This Row],[Revenue]]=0, "Check", Table1[[#This Row],[Revenue]]&gt;=1000, "Large", Table1[[#This Row],[Revenue]]&gt;=200, "Medium", TRUE, "Small")</f>
        <v>Small</v>
      </c>
      <c r="P36" s="4" t="str">
        <f>IF(AND(Table1[[#This Row],[Margin Flag]]="Low", Table1[[#This Row],[Revenue]]&gt;1000), "Review", "")</f>
        <v/>
      </c>
      <c r="Q36" s="4" t="str">
        <f>IF(OR(Table1[[#This Row],[Qty]]&gt;=5,Table1[[#This Row],[Order Size]] = "Large" ), "Bulk", "")</f>
        <v/>
      </c>
      <c r="R36" s="10">
        <f>_xlfn.XLOOKUP(G36, Lookup!$A$2:$A$7, Lookup!$B$2:$B$7, "")</f>
        <v>0.08</v>
      </c>
      <c r="S36" s="4" t="str">
        <f>IF(Table1[[#This Row],[Margin]]&lt;Table1[[#This Row],[Target Margin]], "Yes", "")</f>
        <v/>
      </c>
    </row>
    <row r="37" spans="1:19">
      <c r="A37" t="s">
        <v>73</v>
      </c>
      <c r="B37" s="2">
        <v>46208</v>
      </c>
      <c r="C37" t="s">
        <v>57</v>
      </c>
      <c r="D37" t="s">
        <v>50</v>
      </c>
      <c r="E37">
        <v>1</v>
      </c>
      <c r="F37" t="str">
        <f>_xlfn.XLOOKUP(D37, Products!$A$2:$A$21, Products!$B$2:$B$21, "Not Found")</f>
        <v>Smartphone 128GB</v>
      </c>
      <c r="G37" t="str">
        <f>_xlfn.XLOOKUP(D37, Products!$A$2:$A$21, Products!$C$2:$C$21,"not found")</f>
        <v>Phones</v>
      </c>
      <c r="H37" s="4">
        <f>_xlfn.XLOOKUP(D37, Products!$A$2:$A$21, Products!$E$2:$E$21, 0)</f>
        <v>1099</v>
      </c>
      <c r="I37" s="4">
        <f>_xlfn.XLOOKUP(D37, Products!$A$2:$A$21, Products!$F$2:$F$21,0)</f>
        <v>860</v>
      </c>
      <c r="J37" t="str">
        <f>_xlfn.XLOOKUP(C37, Stores!$A$2:$A$7, Stores!$D$2:$D$7)</f>
        <v>Sydney South</v>
      </c>
      <c r="K37" s="4">
        <f t="shared" si="0"/>
        <v>1099</v>
      </c>
      <c r="L37" s="4">
        <f t="shared" si="1"/>
        <v>239</v>
      </c>
      <c r="M37" s="10">
        <f>IF(Table1[[#This Row],[Revenue]]=0, "", Table1[[#This Row],[Profit]]/Table1[[#This Row],[Revenue]])</f>
        <v>0.21747042766151045</v>
      </c>
      <c r="N37" s="4" t="str">
        <f>IF(Table1[[#This Row],[Margin]]="", "check", IF(Table1[[#This Row],[Margin]]&lt;0.2, "Low", "OK"))</f>
        <v>OK</v>
      </c>
      <c r="O37" s="4" t="str" cm="1">
        <f t="array" ref="O37">_xlfn.IFS(Table1[[#This Row],[Revenue]]=0, "Check", Table1[[#This Row],[Revenue]]&gt;=1000, "Large", Table1[[#This Row],[Revenue]]&gt;=200, "Medium", TRUE, "Small")</f>
        <v>Large</v>
      </c>
      <c r="P37" s="4" t="str">
        <f>IF(AND(Table1[[#This Row],[Margin Flag]]="Low", Table1[[#This Row],[Revenue]]&gt;1000), "Review", "")</f>
        <v/>
      </c>
      <c r="Q37" s="4" t="str">
        <f>IF(OR(Table1[[#This Row],[Qty]]&gt;=5,Table1[[#This Row],[Order Size]] = "Large" ), "Bulk", "")</f>
        <v>Bulk</v>
      </c>
      <c r="R37" s="10">
        <f>_xlfn.XLOOKUP(G37, Lookup!$A$2:$A$7, Lookup!$B$2:$B$7, "")</f>
        <v>0.25</v>
      </c>
      <c r="S37" s="4" t="str">
        <f>IF(Table1[[#This Row],[Margin]]&lt;Table1[[#This Row],[Target Margin]], "Yes", "")</f>
        <v>Yes</v>
      </c>
    </row>
    <row r="38" spans="1:19">
      <c r="A38" t="s">
        <v>74</v>
      </c>
      <c r="B38" s="2">
        <v>46209</v>
      </c>
      <c r="C38" t="s">
        <v>26</v>
      </c>
      <c r="D38" t="s">
        <v>38</v>
      </c>
      <c r="E38">
        <v>2</v>
      </c>
      <c r="F38" t="str">
        <f>_xlfn.XLOOKUP(D38, Products!$A$2:$A$21, Products!$B$2:$B$21, "Not Found")</f>
        <v>USB-C Charger</v>
      </c>
      <c r="G38" t="str">
        <f>_xlfn.XLOOKUP(D38, Products!$A$2:$A$21, Products!$C$2:$C$21,"not found")</f>
        <v>Accessories</v>
      </c>
      <c r="H38" s="4">
        <f>_xlfn.XLOOKUP(D38, Products!$A$2:$A$21, Products!$E$2:$E$21, 0)</f>
        <v>49</v>
      </c>
      <c r="I38" s="4">
        <f>_xlfn.XLOOKUP(D38, Products!$A$2:$A$21, Products!$F$2:$F$21,0)</f>
        <v>14</v>
      </c>
      <c r="J38" t="str">
        <f>_xlfn.XLOOKUP(C38, Stores!$A$2:$A$7, Stores!$D$2:$D$7)</f>
        <v>Sydney North</v>
      </c>
      <c r="K38" s="4">
        <f t="shared" si="0"/>
        <v>98</v>
      </c>
      <c r="L38" s="4">
        <f t="shared" si="1"/>
        <v>70</v>
      </c>
      <c r="M38" s="10">
        <f>IF(Table1[[#This Row],[Revenue]]=0, "", Table1[[#This Row],[Profit]]/Table1[[#This Row],[Revenue]])</f>
        <v>0.7142857142857143</v>
      </c>
      <c r="N38" s="4" t="str">
        <f>IF(Table1[[#This Row],[Margin]]="", "check", IF(Table1[[#This Row],[Margin]]&lt;0.2, "Low", "OK"))</f>
        <v>OK</v>
      </c>
      <c r="O38" s="4" t="str" cm="1">
        <f t="array" ref="O38">_xlfn.IFS(Table1[[#This Row],[Revenue]]=0, "Check", Table1[[#This Row],[Revenue]]&gt;=1000, "Large", Table1[[#This Row],[Revenue]]&gt;=200, "Medium", TRUE, "Small")</f>
        <v>Small</v>
      </c>
      <c r="P38" s="4" t="str">
        <f>IF(AND(Table1[[#This Row],[Margin Flag]]="Low", Table1[[#This Row],[Revenue]]&gt;1000), "Review", "")</f>
        <v/>
      </c>
      <c r="Q38" s="4" t="str">
        <f>IF(OR(Table1[[#This Row],[Qty]]&gt;=5,Table1[[#This Row],[Order Size]] = "Large" ), "Bulk", "")</f>
        <v/>
      </c>
      <c r="R38" s="10">
        <f>_xlfn.XLOOKUP(G38, Lookup!$A$2:$A$7, Lookup!$B$2:$B$7, "")</f>
        <v>0.25</v>
      </c>
      <c r="S38" s="4" t="str">
        <f>IF(Table1[[#This Row],[Margin]]&lt;Table1[[#This Row],[Target Margin]], "Yes", "")</f>
        <v/>
      </c>
    </row>
    <row r="39" spans="1:19">
      <c r="A39" t="s">
        <v>75</v>
      </c>
      <c r="B39" s="2">
        <v>46209</v>
      </c>
      <c r="C39" t="s">
        <v>32</v>
      </c>
      <c r="D39" t="s">
        <v>27</v>
      </c>
      <c r="E39">
        <v>1</v>
      </c>
      <c r="F39" t="str">
        <f>_xlfn.XLOOKUP(D39, Products!$A$2:$A$21, Products!$B$2:$B$21, "Not Found")</f>
        <v>Bluetooth Speaker</v>
      </c>
      <c r="G39" t="str">
        <f>_xlfn.XLOOKUP(D39, Products!$A$2:$A$21, Products!$C$2:$C$21,"not found")</f>
        <v>Audio</v>
      </c>
      <c r="H39" s="4">
        <f>_xlfn.XLOOKUP(D39, Products!$A$2:$A$21, Products!$E$2:$E$21, 0)</f>
        <v>179</v>
      </c>
      <c r="I39" s="4">
        <f>_xlfn.XLOOKUP(D39, Products!$A$2:$A$21, Products!$F$2:$F$21,0)</f>
        <v>95</v>
      </c>
      <c r="J39" t="str">
        <f>_xlfn.XLOOKUP(C39, Stores!$A$2:$A$7, Stores!$D$2:$D$7)</f>
        <v>Sydney South</v>
      </c>
      <c r="K39" s="4">
        <f t="shared" si="0"/>
        <v>179</v>
      </c>
      <c r="L39" s="4">
        <f t="shared" si="1"/>
        <v>84</v>
      </c>
      <c r="M39" s="10">
        <f>IF(Table1[[#This Row],[Revenue]]=0, "", Table1[[#This Row],[Profit]]/Table1[[#This Row],[Revenue]])</f>
        <v>0.46927374301675978</v>
      </c>
      <c r="N39" s="4" t="str">
        <f>IF(Table1[[#This Row],[Margin]]="", "check", IF(Table1[[#This Row],[Margin]]&lt;0.2, "Low", "OK"))</f>
        <v>OK</v>
      </c>
      <c r="O39" s="4" t="str" cm="1">
        <f t="array" ref="O39">_xlfn.IFS(Table1[[#This Row],[Revenue]]=0, "Check", Table1[[#This Row],[Revenue]]&gt;=1000, "Large", Table1[[#This Row],[Revenue]]&gt;=200, "Medium", TRUE, "Small")</f>
        <v>Small</v>
      </c>
      <c r="P39" s="4" t="str">
        <f>IF(AND(Table1[[#This Row],[Margin Flag]]="Low", Table1[[#This Row],[Revenue]]&gt;1000), "Review", "")</f>
        <v/>
      </c>
      <c r="Q39" s="4" t="str">
        <f>IF(OR(Table1[[#This Row],[Qty]]&gt;=5,Table1[[#This Row],[Order Size]] = "Large" ), "Bulk", "")</f>
        <v/>
      </c>
      <c r="R39" s="10">
        <f>_xlfn.XLOOKUP(G39, Lookup!$A$2:$A$7, Lookup!$B$2:$B$7, "")</f>
        <v>0.25</v>
      </c>
      <c r="S39" s="4" t="str">
        <f>IF(Table1[[#This Row],[Margin]]&lt;Table1[[#This Row],[Target Margin]], "Yes", "")</f>
        <v/>
      </c>
    </row>
    <row r="40" spans="1:19">
      <c r="A40" t="s">
        <v>76</v>
      </c>
      <c r="B40" s="2">
        <v>46209</v>
      </c>
      <c r="C40" t="s">
        <v>29</v>
      </c>
      <c r="D40" t="s">
        <v>58</v>
      </c>
      <c r="E40">
        <v>1</v>
      </c>
      <c r="F40" t="str">
        <f>_xlfn.XLOOKUP(D40, Products!$A$2:$A$21, Products!$B$2:$B$21, "Not Found")</f>
        <v>Mech Keyboard</v>
      </c>
      <c r="G40" t="str">
        <f>_xlfn.XLOOKUP(D40, Products!$A$2:$A$21, Products!$C$2:$C$21,"not found")</f>
        <v>Accessories</v>
      </c>
      <c r="H40" s="4">
        <f>_xlfn.XLOOKUP(D40, Products!$A$2:$A$21, Products!$E$2:$E$21, 0)</f>
        <v>149</v>
      </c>
      <c r="I40" s="4">
        <f>_xlfn.XLOOKUP(D40, Products!$A$2:$A$21, Products!$F$2:$F$21,0)</f>
        <v>72</v>
      </c>
      <c r="J40" t="str">
        <f>_xlfn.XLOOKUP(C40, Stores!$A$2:$A$7, Stores!$D$2:$D$7)</f>
        <v>Sydney West</v>
      </c>
      <c r="K40" s="4">
        <f t="shared" si="0"/>
        <v>149</v>
      </c>
      <c r="L40" s="4">
        <f t="shared" si="1"/>
        <v>77</v>
      </c>
      <c r="M40" s="10">
        <f>IF(Table1[[#This Row],[Revenue]]=0, "", Table1[[#This Row],[Profit]]/Table1[[#This Row],[Revenue]])</f>
        <v>0.51677852348993292</v>
      </c>
      <c r="N40" s="4" t="str">
        <f>IF(Table1[[#This Row],[Margin]]="", "check", IF(Table1[[#This Row],[Margin]]&lt;0.2, "Low", "OK"))</f>
        <v>OK</v>
      </c>
      <c r="O40" s="4" t="str" cm="1">
        <f t="array" ref="O40">_xlfn.IFS(Table1[[#This Row],[Revenue]]=0, "Check", Table1[[#This Row],[Revenue]]&gt;=1000, "Large", Table1[[#This Row],[Revenue]]&gt;=200, "Medium", TRUE, "Small")</f>
        <v>Small</v>
      </c>
      <c r="P40" s="4" t="str">
        <f>IF(AND(Table1[[#This Row],[Margin Flag]]="Low", Table1[[#This Row],[Revenue]]&gt;1000), "Review", "")</f>
        <v/>
      </c>
      <c r="Q40" s="4" t="str">
        <f>IF(OR(Table1[[#This Row],[Qty]]&gt;=5,Table1[[#This Row],[Order Size]] = "Large" ), "Bulk", "")</f>
        <v/>
      </c>
      <c r="R40" s="10">
        <f>_xlfn.XLOOKUP(G40, Lookup!$A$2:$A$7, Lookup!$B$2:$B$7, "")</f>
        <v>0.25</v>
      </c>
      <c r="S40" s="4" t="str">
        <f>IF(Table1[[#This Row],[Margin]]&lt;Table1[[#This Row],[Target Margin]], "Yes", "")</f>
        <v/>
      </c>
    </row>
    <row r="41" spans="1:19">
      <c r="A41" t="s">
        <v>77</v>
      </c>
      <c r="B41" s="2">
        <v>46209</v>
      </c>
      <c r="C41" t="s">
        <v>26</v>
      </c>
      <c r="D41" t="s">
        <v>30</v>
      </c>
      <c r="E41">
        <v>1</v>
      </c>
      <c r="F41" t="str">
        <f>_xlfn.XLOOKUP(D41, Products!$A$2:$A$21, Products!$B$2:$B$21, "Not Found")</f>
        <v>Video Game</v>
      </c>
      <c r="G41" t="str">
        <f>_xlfn.XLOOKUP(D41, Products!$A$2:$A$21, Products!$C$2:$C$21,"not found")</f>
        <v>Gaming</v>
      </c>
      <c r="H41" s="4">
        <f>_xlfn.XLOOKUP(D41, Products!$A$2:$A$21, Products!$E$2:$E$21, 0)</f>
        <v>79</v>
      </c>
      <c r="I41" s="4">
        <f>_xlfn.XLOOKUP(D41, Products!$A$2:$A$21, Products!$F$2:$F$21,0)</f>
        <v>52</v>
      </c>
      <c r="J41" t="str">
        <f>_xlfn.XLOOKUP(C41, Stores!$A$2:$A$7, Stores!$D$2:$D$7)</f>
        <v>Sydney North</v>
      </c>
      <c r="K41" s="4">
        <f t="shared" si="0"/>
        <v>79</v>
      </c>
      <c r="L41" s="4">
        <f t="shared" si="1"/>
        <v>27</v>
      </c>
      <c r="M41" s="10">
        <f>IF(Table1[[#This Row],[Revenue]]=0, "", Table1[[#This Row],[Profit]]/Table1[[#This Row],[Revenue]])</f>
        <v>0.34177215189873417</v>
      </c>
      <c r="N41" s="4" t="str">
        <f>IF(Table1[[#This Row],[Margin]]="", "check", IF(Table1[[#This Row],[Margin]]&lt;0.2, "Low", "OK"))</f>
        <v>OK</v>
      </c>
      <c r="O41" s="4" t="str" cm="1">
        <f t="array" ref="O41">_xlfn.IFS(Table1[[#This Row],[Revenue]]=0, "Check", Table1[[#This Row],[Revenue]]&gt;=1000, "Large", Table1[[#This Row],[Revenue]]&gt;=200, "Medium", TRUE, "Small")</f>
        <v>Small</v>
      </c>
      <c r="P41" s="4" t="str">
        <f>IF(AND(Table1[[#This Row],[Margin Flag]]="Low", Table1[[#This Row],[Revenue]]&gt;1000), "Review", "")</f>
        <v/>
      </c>
      <c r="Q41" s="4" t="str">
        <f>IF(OR(Table1[[#This Row],[Qty]]&gt;=5,Table1[[#This Row],[Order Size]] = "Large" ), "Bulk", "")</f>
        <v/>
      </c>
      <c r="R41" s="10">
        <f>_xlfn.XLOOKUP(G41, Lookup!$A$2:$A$7, Lookup!$B$2:$B$7, "")</f>
        <v>0.08</v>
      </c>
      <c r="S41" s="4" t="str">
        <f>IF(Table1[[#This Row],[Margin]]&lt;Table1[[#This Row],[Target Margin]], "Yes", "")</f>
        <v/>
      </c>
    </row>
    <row r="42" spans="1:19">
      <c r="A42" t="s">
        <v>78</v>
      </c>
      <c r="B42" s="2">
        <v>46209</v>
      </c>
      <c r="C42" t="s">
        <v>32</v>
      </c>
      <c r="D42" t="s">
        <v>38</v>
      </c>
      <c r="E42">
        <v>2</v>
      </c>
      <c r="F42" t="str">
        <f>_xlfn.XLOOKUP(D42, Products!$A$2:$A$21, Products!$B$2:$B$21, "Not Found")</f>
        <v>USB-C Charger</v>
      </c>
      <c r="G42" t="str">
        <f>_xlfn.XLOOKUP(D42, Products!$A$2:$A$21, Products!$C$2:$C$21,"not found")</f>
        <v>Accessories</v>
      </c>
      <c r="H42" s="4">
        <f>_xlfn.XLOOKUP(D42, Products!$A$2:$A$21, Products!$E$2:$E$21, 0)</f>
        <v>49</v>
      </c>
      <c r="I42" s="4">
        <f>_xlfn.XLOOKUP(D42, Products!$A$2:$A$21, Products!$F$2:$F$21,0)</f>
        <v>14</v>
      </c>
      <c r="J42" t="str">
        <f>_xlfn.XLOOKUP(C42, Stores!$A$2:$A$7, Stores!$D$2:$D$7)</f>
        <v>Sydney South</v>
      </c>
      <c r="K42" s="4">
        <f t="shared" si="0"/>
        <v>98</v>
      </c>
      <c r="L42" s="4">
        <f t="shared" si="1"/>
        <v>70</v>
      </c>
      <c r="M42" s="10">
        <f>IF(Table1[[#This Row],[Revenue]]=0, "", Table1[[#This Row],[Profit]]/Table1[[#This Row],[Revenue]])</f>
        <v>0.7142857142857143</v>
      </c>
      <c r="N42" s="4" t="str">
        <f>IF(Table1[[#This Row],[Margin]]="", "check", IF(Table1[[#This Row],[Margin]]&lt;0.2, "Low", "OK"))</f>
        <v>OK</v>
      </c>
      <c r="O42" s="4" t="str" cm="1">
        <f t="array" ref="O42">_xlfn.IFS(Table1[[#This Row],[Revenue]]=0, "Check", Table1[[#This Row],[Revenue]]&gt;=1000, "Large", Table1[[#This Row],[Revenue]]&gt;=200, "Medium", TRUE, "Small")</f>
        <v>Small</v>
      </c>
      <c r="P42" s="4" t="str">
        <f>IF(AND(Table1[[#This Row],[Margin Flag]]="Low", Table1[[#This Row],[Revenue]]&gt;1000), "Review", "")</f>
        <v/>
      </c>
      <c r="Q42" s="4" t="str">
        <f>IF(OR(Table1[[#This Row],[Qty]]&gt;=5,Table1[[#This Row],[Order Size]] = "Large" ), "Bulk", "")</f>
        <v/>
      </c>
      <c r="R42" s="10">
        <f>_xlfn.XLOOKUP(G42, Lookup!$A$2:$A$7, Lookup!$B$2:$B$7, "")</f>
        <v>0.25</v>
      </c>
      <c r="S42" s="4" t="str">
        <f>IF(Table1[[#This Row],[Margin]]&lt;Table1[[#This Row],[Target Margin]], "Yes", "")</f>
        <v/>
      </c>
    </row>
    <row r="43" spans="1:19">
      <c r="A43" t="s">
        <v>79</v>
      </c>
      <c r="B43" s="2">
        <v>46210</v>
      </c>
      <c r="C43" t="s">
        <v>20</v>
      </c>
      <c r="D43" t="s">
        <v>80</v>
      </c>
      <c r="E43">
        <v>1</v>
      </c>
      <c r="F43" t="str">
        <f>_xlfn.XLOOKUP(D43, Products!$A$2:$A$21, Products!$B$2:$B$21, "Not Found")</f>
        <v>Over-Ear Headphones</v>
      </c>
      <c r="G43" t="str">
        <f>_xlfn.XLOOKUP(D43, Products!$A$2:$A$21, Products!$C$2:$C$21,"not found")</f>
        <v>Audio</v>
      </c>
      <c r="H43" s="4">
        <f>_xlfn.XLOOKUP(D43, Products!$A$2:$A$21, Products!$E$2:$E$21, 0)</f>
        <v>499</v>
      </c>
      <c r="I43" s="4">
        <f>_xlfn.XLOOKUP(D43, Products!$A$2:$A$21, Products!$F$2:$F$21,0)</f>
        <v>310</v>
      </c>
      <c r="J43" t="str">
        <f>_xlfn.XLOOKUP(C43, Stores!$A$2:$A$7, Stores!$D$2:$D$7)</f>
        <v>Sydney West</v>
      </c>
      <c r="K43" s="4">
        <f t="shared" si="0"/>
        <v>499</v>
      </c>
      <c r="L43" s="4">
        <f t="shared" si="1"/>
        <v>189</v>
      </c>
      <c r="M43" s="10">
        <f>IF(Table1[[#This Row],[Revenue]]=0, "", Table1[[#This Row],[Profit]]/Table1[[#This Row],[Revenue]])</f>
        <v>0.37875751503006011</v>
      </c>
      <c r="N43" s="4" t="str">
        <f>IF(Table1[[#This Row],[Margin]]="", "check", IF(Table1[[#This Row],[Margin]]&lt;0.2, "Low", "OK"))</f>
        <v>OK</v>
      </c>
      <c r="O43" s="4" t="str" cm="1">
        <f t="array" ref="O43">_xlfn.IFS(Table1[[#This Row],[Revenue]]=0, "Check", Table1[[#This Row],[Revenue]]&gt;=1000, "Large", Table1[[#This Row],[Revenue]]&gt;=200, "Medium", TRUE, "Small")</f>
        <v>Medium</v>
      </c>
      <c r="P43" s="4" t="str">
        <f>IF(AND(Table1[[#This Row],[Margin Flag]]="Low", Table1[[#This Row],[Revenue]]&gt;1000), "Review", "")</f>
        <v/>
      </c>
      <c r="Q43" s="4" t="str">
        <f>IF(OR(Table1[[#This Row],[Qty]]&gt;=5,Table1[[#This Row],[Order Size]] = "Large" ), "Bulk", "")</f>
        <v/>
      </c>
      <c r="R43" s="10">
        <f>_xlfn.XLOOKUP(G43, Lookup!$A$2:$A$7, Lookup!$B$2:$B$7, "")</f>
        <v>0.25</v>
      </c>
      <c r="S43" s="4" t="str">
        <f>IF(Table1[[#This Row],[Margin]]&lt;Table1[[#This Row],[Target Margin]], "Yes", "")</f>
        <v/>
      </c>
    </row>
    <row r="44" spans="1:19">
      <c r="A44" t="s">
        <v>81</v>
      </c>
      <c r="B44" s="2">
        <v>46210</v>
      </c>
      <c r="C44" t="s">
        <v>29</v>
      </c>
      <c r="D44" t="s">
        <v>30</v>
      </c>
      <c r="E44">
        <v>1</v>
      </c>
      <c r="F44" t="str">
        <f>_xlfn.XLOOKUP(D44, Products!$A$2:$A$21, Products!$B$2:$B$21, "Not Found")</f>
        <v>Video Game</v>
      </c>
      <c r="G44" t="str">
        <f>_xlfn.XLOOKUP(D44, Products!$A$2:$A$21, Products!$C$2:$C$21,"not found")</f>
        <v>Gaming</v>
      </c>
      <c r="H44" s="4">
        <f>_xlfn.XLOOKUP(D44, Products!$A$2:$A$21, Products!$E$2:$E$21, 0)</f>
        <v>79</v>
      </c>
      <c r="I44" s="4">
        <f>_xlfn.XLOOKUP(D44, Products!$A$2:$A$21, Products!$F$2:$F$21,0)</f>
        <v>52</v>
      </c>
      <c r="J44" t="str">
        <f>_xlfn.XLOOKUP(C44, Stores!$A$2:$A$7, Stores!$D$2:$D$7)</f>
        <v>Sydney West</v>
      </c>
      <c r="K44" s="4">
        <f t="shared" si="0"/>
        <v>79</v>
      </c>
      <c r="L44" s="4">
        <f t="shared" si="1"/>
        <v>27</v>
      </c>
      <c r="M44" s="10">
        <f>IF(Table1[[#This Row],[Revenue]]=0, "", Table1[[#This Row],[Profit]]/Table1[[#This Row],[Revenue]])</f>
        <v>0.34177215189873417</v>
      </c>
      <c r="N44" s="4" t="str">
        <f>IF(Table1[[#This Row],[Margin]]="", "check", IF(Table1[[#This Row],[Margin]]&lt;0.2, "Low", "OK"))</f>
        <v>OK</v>
      </c>
      <c r="O44" s="4" t="str" cm="1">
        <f t="array" ref="O44">_xlfn.IFS(Table1[[#This Row],[Revenue]]=0, "Check", Table1[[#This Row],[Revenue]]&gt;=1000, "Large", Table1[[#This Row],[Revenue]]&gt;=200, "Medium", TRUE, "Small")</f>
        <v>Small</v>
      </c>
      <c r="P44" s="4" t="str">
        <f>IF(AND(Table1[[#This Row],[Margin Flag]]="Low", Table1[[#This Row],[Revenue]]&gt;1000), "Review", "")</f>
        <v/>
      </c>
      <c r="Q44" s="4" t="str">
        <f>IF(OR(Table1[[#This Row],[Qty]]&gt;=5,Table1[[#This Row],[Order Size]] = "Large" ), "Bulk", "")</f>
        <v/>
      </c>
      <c r="R44" s="10">
        <f>_xlfn.XLOOKUP(G44, Lookup!$A$2:$A$7, Lookup!$B$2:$B$7, "")</f>
        <v>0.08</v>
      </c>
      <c r="S44" s="4" t="str">
        <f>IF(Table1[[#This Row],[Margin]]&lt;Table1[[#This Row],[Target Margin]], "Yes", "")</f>
        <v/>
      </c>
    </row>
    <row r="45" spans="1:19">
      <c r="A45" t="s">
        <v>82</v>
      </c>
      <c r="B45" s="2">
        <v>46210</v>
      </c>
      <c r="C45" t="s">
        <v>23</v>
      </c>
      <c r="D45" t="s">
        <v>35</v>
      </c>
      <c r="E45">
        <v>1</v>
      </c>
      <c r="F45" t="str">
        <f>_xlfn.XLOOKUP(D45, Products!$A$2:$A$21, Products!$B$2:$B$21, "Not Found")</f>
        <v>Phone Case</v>
      </c>
      <c r="G45" t="str">
        <f>_xlfn.XLOOKUP(D45, Products!$A$2:$A$21, Products!$C$2:$C$21,"not found")</f>
        <v>Accessories</v>
      </c>
      <c r="H45" s="4">
        <f>_xlfn.XLOOKUP(D45, Products!$A$2:$A$21, Products!$E$2:$E$21, 0)</f>
        <v>39</v>
      </c>
      <c r="I45" s="4">
        <f>_xlfn.XLOOKUP(D45, Products!$A$2:$A$21, Products!$F$2:$F$21,0)</f>
        <v>9</v>
      </c>
      <c r="J45" t="str">
        <f>_xlfn.XLOOKUP(C45, Stores!$A$2:$A$7, Stores!$D$2:$D$7)</f>
        <v>Sydney East</v>
      </c>
      <c r="K45" s="4">
        <f t="shared" si="0"/>
        <v>39</v>
      </c>
      <c r="L45" s="4">
        <f t="shared" si="1"/>
        <v>30</v>
      </c>
      <c r="M45" s="10">
        <f>IF(Table1[[#This Row],[Revenue]]=0, "", Table1[[#This Row],[Profit]]/Table1[[#This Row],[Revenue]])</f>
        <v>0.76923076923076927</v>
      </c>
      <c r="N45" s="4" t="str">
        <f>IF(Table1[[#This Row],[Margin]]="", "check", IF(Table1[[#This Row],[Margin]]&lt;0.2, "Low", "OK"))</f>
        <v>OK</v>
      </c>
      <c r="O45" s="4" t="str" cm="1">
        <f t="array" ref="O45">_xlfn.IFS(Table1[[#This Row],[Revenue]]=0, "Check", Table1[[#This Row],[Revenue]]&gt;=1000, "Large", Table1[[#This Row],[Revenue]]&gt;=200, "Medium", TRUE, "Small")</f>
        <v>Small</v>
      </c>
      <c r="P45" s="4" t="str">
        <f>IF(AND(Table1[[#This Row],[Margin Flag]]="Low", Table1[[#This Row],[Revenue]]&gt;1000), "Review", "")</f>
        <v/>
      </c>
      <c r="Q45" s="4" t="str">
        <f>IF(OR(Table1[[#This Row],[Qty]]&gt;=5,Table1[[#This Row],[Order Size]] = "Large" ), "Bulk", "")</f>
        <v/>
      </c>
      <c r="R45" s="10">
        <f>_xlfn.XLOOKUP(G45, Lookup!$A$2:$A$7, Lookup!$B$2:$B$7, "")</f>
        <v>0.25</v>
      </c>
      <c r="S45" s="4" t="str">
        <f>IF(Table1[[#This Row],[Margin]]&lt;Table1[[#This Row],[Target Margin]], "Yes", "")</f>
        <v/>
      </c>
    </row>
    <row r="46" spans="1:19">
      <c r="A46" t="s">
        <v>83</v>
      </c>
      <c r="B46" s="2">
        <v>46210</v>
      </c>
      <c r="C46" t="s">
        <v>23</v>
      </c>
      <c r="D46" t="s">
        <v>50</v>
      </c>
      <c r="E46">
        <v>1</v>
      </c>
      <c r="F46" t="str">
        <f>_xlfn.XLOOKUP(D46, Products!$A$2:$A$21, Products!$B$2:$B$21, "Not Found")</f>
        <v>Smartphone 128GB</v>
      </c>
      <c r="G46" t="str">
        <f>_xlfn.XLOOKUP(D46, Products!$A$2:$A$21, Products!$C$2:$C$21,"not found")</f>
        <v>Phones</v>
      </c>
      <c r="H46" s="4">
        <f>_xlfn.XLOOKUP(D46, Products!$A$2:$A$21, Products!$E$2:$E$21, 0)</f>
        <v>1099</v>
      </c>
      <c r="I46" s="4">
        <f>_xlfn.XLOOKUP(D46, Products!$A$2:$A$21, Products!$F$2:$F$21,0)</f>
        <v>860</v>
      </c>
      <c r="J46" t="str">
        <f>_xlfn.XLOOKUP(C46, Stores!$A$2:$A$7, Stores!$D$2:$D$7)</f>
        <v>Sydney East</v>
      </c>
      <c r="K46" s="4">
        <f t="shared" si="0"/>
        <v>1099</v>
      </c>
      <c r="L46" s="4">
        <f t="shared" si="1"/>
        <v>239</v>
      </c>
      <c r="M46" s="10">
        <f>IF(Table1[[#This Row],[Revenue]]=0, "", Table1[[#This Row],[Profit]]/Table1[[#This Row],[Revenue]])</f>
        <v>0.21747042766151045</v>
      </c>
      <c r="N46" s="4" t="str">
        <f>IF(Table1[[#This Row],[Margin]]="", "check", IF(Table1[[#This Row],[Margin]]&lt;0.2, "Low", "OK"))</f>
        <v>OK</v>
      </c>
      <c r="O46" s="4" t="str" cm="1">
        <f t="array" ref="O46">_xlfn.IFS(Table1[[#This Row],[Revenue]]=0, "Check", Table1[[#This Row],[Revenue]]&gt;=1000, "Large", Table1[[#This Row],[Revenue]]&gt;=200, "Medium", TRUE, "Small")</f>
        <v>Large</v>
      </c>
      <c r="P46" s="4" t="str">
        <f>IF(AND(Table1[[#This Row],[Margin Flag]]="Low", Table1[[#This Row],[Revenue]]&gt;1000), "Review", "")</f>
        <v/>
      </c>
      <c r="Q46" s="4" t="str">
        <f>IF(OR(Table1[[#This Row],[Qty]]&gt;=5,Table1[[#This Row],[Order Size]] = "Large" ), "Bulk", "")</f>
        <v>Bulk</v>
      </c>
      <c r="R46" s="10">
        <f>_xlfn.XLOOKUP(G46, Lookup!$A$2:$A$7, Lookup!$B$2:$B$7, "")</f>
        <v>0.25</v>
      </c>
      <c r="S46" s="4" t="str">
        <f>IF(Table1[[#This Row],[Margin]]&lt;Table1[[#This Row],[Target Margin]], "Yes", "")</f>
        <v>Yes</v>
      </c>
    </row>
    <row r="47" spans="1:19">
      <c r="A47" t="s">
        <v>84</v>
      </c>
      <c r="B47" s="2">
        <v>46210</v>
      </c>
      <c r="C47" t="s">
        <v>20</v>
      </c>
      <c r="D47" t="s">
        <v>80</v>
      </c>
      <c r="E47">
        <v>1</v>
      </c>
      <c r="F47" t="str">
        <f>_xlfn.XLOOKUP(D47, Products!$A$2:$A$21, Products!$B$2:$B$21, "Not Found")</f>
        <v>Over-Ear Headphones</v>
      </c>
      <c r="G47" t="str">
        <f>_xlfn.XLOOKUP(D47, Products!$A$2:$A$21, Products!$C$2:$C$21,"not found")</f>
        <v>Audio</v>
      </c>
      <c r="H47" s="4">
        <f>_xlfn.XLOOKUP(D47, Products!$A$2:$A$21, Products!$E$2:$E$21, 0)</f>
        <v>499</v>
      </c>
      <c r="I47" s="4">
        <f>_xlfn.XLOOKUP(D47, Products!$A$2:$A$21, Products!$F$2:$F$21,0)</f>
        <v>310</v>
      </c>
      <c r="J47" t="str">
        <f>_xlfn.XLOOKUP(C47, Stores!$A$2:$A$7, Stores!$D$2:$D$7)</f>
        <v>Sydney West</v>
      </c>
      <c r="K47" s="4">
        <f t="shared" si="0"/>
        <v>499</v>
      </c>
      <c r="L47" s="4">
        <f t="shared" si="1"/>
        <v>189</v>
      </c>
      <c r="M47" s="10">
        <f>IF(Table1[[#This Row],[Revenue]]=0, "", Table1[[#This Row],[Profit]]/Table1[[#This Row],[Revenue]])</f>
        <v>0.37875751503006011</v>
      </c>
      <c r="N47" s="4" t="str">
        <f>IF(Table1[[#This Row],[Margin]]="", "check", IF(Table1[[#This Row],[Margin]]&lt;0.2, "Low", "OK"))</f>
        <v>OK</v>
      </c>
      <c r="O47" s="4" t="str" cm="1">
        <f t="array" ref="O47">_xlfn.IFS(Table1[[#This Row],[Revenue]]=0, "Check", Table1[[#This Row],[Revenue]]&gt;=1000, "Large", Table1[[#This Row],[Revenue]]&gt;=200, "Medium", TRUE, "Small")</f>
        <v>Medium</v>
      </c>
      <c r="P47" s="4" t="str">
        <f>IF(AND(Table1[[#This Row],[Margin Flag]]="Low", Table1[[#This Row],[Revenue]]&gt;1000), "Review", "")</f>
        <v/>
      </c>
      <c r="Q47" s="4" t="str">
        <f>IF(OR(Table1[[#This Row],[Qty]]&gt;=5,Table1[[#This Row],[Order Size]] = "Large" ), "Bulk", "")</f>
        <v/>
      </c>
      <c r="R47" s="10">
        <f>_xlfn.XLOOKUP(G47, Lookup!$A$2:$A$7, Lookup!$B$2:$B$7, "")</f>
        <v>0.25</v>
      </c>
      <c r="S47" s="4" t="str">
        <f>IF(Table1[[#This Row],[Margin]]&lt;Table1[[#This Row],[Target Margin]], "Yes", "")</f>
        <v/>
      </c>
    </row>
    <row r="48" spans="1:19">
      <c r="A48" t="s">
        <v>85</v>
      </c>
      <c r="B48" s="2">
        <v>46210</v>
      </c>
      <c r="C48" t="s">
        <v>29</v>
      </c>
      <c r="D48" t="s">
        <v>24</v>
      </c>
      <c r="E48">
        <v>3</v>
      </c>
      <c r="F48" t="str">
        <f>_xlfn.XLOOKUP(D48, Products!$A$2:$A$21, Products!$B$2:$B$21, "Not Found")</f>
        <v>Wireless Earbuds</v>
      </c>
      <c r="G48" t="str">
        <f>_xlfn.XLOOKUP(D48, Products!$A$2:$A$21, Products!$C$2:$C$21,"not found")</f>
        <v>Audio</v>
      </c>
      <c r="H48" s="4">
        <f>_xlfn.XLOOKUP(D48, Products!$A$2:$A$21, Products!$E$2:$E$21, 0)</f>
        <v>249</v>
      </c>
      <c r="I48" s="4">
        <f>_xlfn.XLOOKUP(D48, Products!$A$2:$A$21, Products!$F$2:$F$21,0)</f>
        <v>140</v>
      </c>
      <c r="J48" t="str">
        <f>_xlfn.XLOOKUP(C48, Stores!$A$2:$A$7, Stores!$D$2:$D$7)</f>
        <v>Sydney West</v>
      </c>
      <c r="K48" s="4">
        <f t="shared" si="0"/>
        <v>747</v>
      </c>
      <c r="L48" s="4">
        <f t="shared" si="1"/>
        <v>327</v>
      </c>
      <c r="M48" s="10">
        <f>IF(Table1[[#This Row],[Revenue]]=0, "", Table1[[#This Row],[Profit]]/Table1[[#This Row],[Revenue]])</f>
        <v>0.43775100401606426</v>
      </c>
      <c r="N48" s="4" t="str">
        <f>IF(Table1[[#This Row],[Margin]]="", "check", IF(Table1[[#This Row],[Margin]]&lt;0.2, "Low", "OK"))</f>
        <v>OK</v>
      </c>
      <c r="O48" s="4" t="str" cm="1">
        <f t="array" ref="O48">_xlfn.IFS(Table1[[#This Row],[Revenue]]=0, "Check", Table1[[#This Row],[Revenue]]&gt;=1000, "Large", Table1[[#This Row],[Revenue]]&gt;=200, "Medium", TRUE, "Small")</f>
        <v>Medium</v>
      </c>
      <c r="P48" s="4" t="str">
        <f>IF(AND(Table1[[#This Row],[Margin Flag]]="Low", Table1[[#This Row],[Revenue]]&gt;1000), "Review", "")</f>
        <v/>
      </c>
      <c r="Q48" s="4" t="str">
        <f>IF(OR(Table1[[#This Row],[Qty]]&gt;=5,Table1[[#This Row],[Order Size]] = "Large" ), "Bulk", "")</f>
        <v/>
      </c>
      <c r="R48" s="10">
        <f>_xlfn.XLOOKUP(G48, Lookup!$A$2:$A$7, Lookup!$B$2:$B$7, "")</f>
        <v>0.25</v>
      </c>
      <c r="S48" s="4" t="str">
        <f>IF(Table1[[#This Row],[Margin]]&lt;Table1[[#This Row],[Target Margin]], "Yes", "")</f>
        <v/>
      </c>
    </row>
    <row r="49" spans="1:19">
      <c r="A49" t="s">
        <v>86</v>
      </c>
      <c r="B49" s="2">
        <v>46210</v>
      </c>
      <c r="C49" t="s">
        <v>23</v>
      </c>
      <c r="D49" t="s">
        <v>87</v>
      </c>
      <c r="E49">
        <v>4</v>
      </c>
      <c r="F49" t="str">
        <f>_xlfn.XLOOKUP(D49, Products!$A$2:$A$21, Products!$B$2:$B$21, "Not Found")</f>
        <v>Laptop 16in</v>
      </c>
      <c r="G49" t="str">
        <f>_xlfn.XLOOKUP(D49, Products!$A$2:$A$21, Products!$C$2:$C$21,"not found")</f>
        <v>Computers</v>
      </c>
      <c r="H49" s="4">
        <f>_xlfn.XLOOKUP(D49, Products!$A$2:$A$21, Products!$E$2:$E$21, 0)</f>
        <v>1799</v>
      </c>
      <c r="I49" s="4">
        <f>_xlfn.XLOOKUP(D49, Products!$A$2:$A$21, Products!$F$2:$F$21,0)</f>
        <v>1390</v>
      </c>
      <c r="J49" t="str">
        <f>_xlfn.XLOOKUP(C49, Stores!$A$2:$A$7, Stores!$D$2:$D$7)</f>
        <v>Sydney East</v>
      </c>
      <c r="K49" s="4">
        <f t="shared" si="0"/>
        <v>7196</v>
      </c>
      <c r="L49" s="4">
        <f t="shared" si="1"/>
        <v>1636</v>
      </c>
      <c r="M49" s="10">
        <f>IF(Table1[[#This Row],[Revenue]]=0, "", Table1[[#This Row],[Profit]]/Table1[[#This Row],[Revenue]])</f>
        <v>0.2273485269594219</v>
      </c>
      <c r="N49" s="4" t="str">
        <f>IF(Table1[[#This Row],[Margin]]="", "check", IF(Table1[[#This Row],[Margin]]&lt;0.2, "Low", "OK"))</f>
        <v>OK</v>
      </c>
      <c r="O49" s="4" t="str" cm="1">
        <f t="array" ref="O49">_xlfn.IFS(Table1[[#This Row],[Revenue]]=0, "Check", Table1[[#This Row],[Revenue]]&gt;=1000, "Large", Table1[[#This Row],[Revenue]]&gt;=200, "Medium", TRUE, "Small")</f>
        <v>Large</v>
      </c>
      <c r="P49" s="4" t="str">
        <f>IF(AND(Table1[[#This Row],[Margin Flag]]="Low", Table1[[#This Row],[Revenue]]&gt;1000), "Review", "")</f>
        <v/>
      </c>
      <c r="Q49" s="4" t="str">
        <f>IF(OR(Table1[[#This Row],[Qty]]&gt;=5,Table1[[#This Row],[Order Size]] = "Large" ), "Bulk", "")</f>
        <v>Bulk</v>
      </c>
      <c r="R49" s="10">
        <f>_xlfn.XLOOKUP(G49, Lookup!$A$2:$A$7, Lookup!$B$2:$B$7, "")</f>
        <v>0.25</v>
      </c>
      <c r="S49" s="4" t="str">
        <f>IF(Table1[[#This Row],[Margin]]&lt;Table1[[#This Row],[Target Margin]], "Yes", "")</f>
        <v>Yes</v>
      </c>
    </row>
    <row r="50" spans="1:19">
      <c r="A50" t="s">
        <v>88</v>
      </c>
      <c r="B50" s="2">
        <v>46211</v>
      </c>
      <c r="C50" t="s">
        <v>57</v>
      </c>
      <c r="D50" t="s">
        <v>43</v>
      </c>
      <c r="E50">
        <v>1</v>
      </c>
      <c r="F50" t="str">
        <f>_xlfn.XLOOKUP(D50, Products!$A$2:$A$21, Products!$B$2:$B$21, "Not Found")</f>
        <v>Console Controller</v>
      </c>
      <c r="G50" t="str">
        <f>_xlfn.XLOOKUP(D50, Products!$A$2:$A$21, Products!$C$2:$C$21,"not found")</f>
        <v>Gaming</v>
      </c>
      <c r="H50" s="4">
        <f>_xlfn.XLOOKUP(D50, Products!$A$2:$A$21, Products!$E$2:$E$21, 0)</f>
        <v>99</v>
      </c>
      <c r="I50" s="4">
        <f>_xlfn.XLOOKUP(D50, Products!$A$2:$A$21, Products!$F$2:$F$21,0)</f>
        <v>58</v>
      </c>
      <c r="J50" t="str">
        <f>_xlfn.XLOOKUP(C50, Stores!$A$2:$A$7, Stores!$D$2:$D$7)</f>
        <v>Sydney South</v>
      </c>
      <c r="K50" s="4">
        <f t="shared" si="0"/>
        <v>99</v>
      </c>
      <c r="L50" s="4">
        <f t="shared" si="1"/>
        <v>41</v>
      </c>
      <c r="M50" s="10">
        <f>IF(Table1[[#This Row],[Revenue]]=0, "", Table1[[#This Row],[Profit]]/Table1[[#This Row],[Revenue]])</f>
        <v>0.41414141414141414</v>
      </c>
      <c r="N50" s="4" t="str">
        <f>IF(Table1[[#This Row],[Margin]]="", "check", IF(Table1[[#This Row],[Margin]]&lt;0.2, "Low", "OK"))</f>
        <v>OK</v>
      </c>
      <c r="O50" s="4" t="str" cm="1">
        <f t="array" ref="O50">_xlfn.IFS(Table1[[#This Row],[Revenue]]=0, "Check", Table1[[#This Row],[Revenue]]&gt;=1000, "Large", Table1[[#This Row],[Revenue]]&gt;=200, "Medium", TRUE, "Small")</f>
        <v>Small</v>
      </c>
      <c r="P50" s="4" t="str">
        <f>IF(AND(Table1[[#This Row],[Margin Flag]]="Low", Table1[[#This Row],[Revenue]]&gt;1000), "Review", "")</f>
        <v/>
      </c>
      <c r="Q50" s="4" t="str">
        <f>IF(OR(Table1[[#This Row],[Qty]]&gt;=5,Table1[[#This Row],[Order Size]] = "Large" ), "Bulk", "")</f>
        <v/>
      </c>
      <c r="R50" s="10">
        <f>_xlfn.XLOOKUP(G50, Lookup!$A$2:$A$7, Lookup!$B$2:$B$7, "")</f>
        <v>0.08</v>
      </c>
      <c r="S50" s="4" t="str">
        <f>IF(Table1[[#This Row],[Margin]]&lt;Table1[[#This Row],[Target Margin]], "Yes", "")</f>
        <v/>
      </c>
    </row>
    <row r="51" spans="1:19">
      <c r="A51" t="s">
        <v>89</v>
      </c>
      <c r="B51" s="2">
        <v>46211</v>
      </c>
      <c r="C51" t="s">
        <v>23</v>
      </c>
      <c r="D51" t="s">
        <v>43</v>
      </c>
      <c r="E51">
        <v>1</v>
      </c>
      <c r="F51" t="str">
        <f>_xlfn.XLOOKUP(D51, Products!$A$2:$A$21, Products!$B$2:$B$21, "Not Found")</f>
        <v>Console Controller</v>
      </c>
      <c r="G51" t="str">
        <f>_xlfn.XLOOKUP(D51, Products!$A$2:$A$21, Products!$C$2:$C$21,"not found")</f>
        <v>Gaming</v>
      </c>
      <c r="H51" s="4">
        <f>_xlfn.XLOOKUP(D51, Products!$A$2:$A$21, Products!$E$2:$E$21, 0)</f>
        <v>99</v>
      </c>
      <c r="I51" s="4">
        <f>_xlfn.XLOOKUP(D51, Products!$A$2:$A$21, Products!$F$2:$F$21,0)</f>
        <v>58</v>
      </c>
      <c r="J51" t="str">
        <f>_xlfn.XLOOKUP(C51, Stores!$A$2:$A$7, Stores!$D$2:$D$7)</f>
        <v>Sydney East</v>
      </c>
      <c r="K51" s="4">
        <f t="shared" si="0"/>
        <v>99</v>
      </c>
      <c r="L51" s="4">
        <f t="shared" si="1"/>
        <v>41</v>
      </c>
      <c r="M51" s="10">
        <f>IF(Table1[[#This Row],[Revenue]]=0, "", Table1[[#This Row],[Profit]]/Table1[[#This Row],[Revenue]])</f>
        <v>0.41414141414141414</v>
      </c>
      <c r="N51" s="4" t="str">
        <f>IF(Table1[[#This Row],[Margin]]="", "check", IF(Table1[[#This Row],[Margin]]&lt;0.2, "Low", "OK"))</f>
        <v>OK</v>
      </c>
      <c r="O51" s="4" t="str" cm="1">
        <f t="array" ref="O51">_xlfn.IFS(Table1[[#This Row],[Revenue]]=0, "Check", Table1[[#This Row],[Revenue]]&gt;=1000, "Large", Table1[[#This Row],[Revenue]]&gt;=200, "Medium", TRUE, "Small")</f>
        <v>Small</v>
      </c>
      <c r="P51" s="4" t="str">
        <f>IF(AND(Table1[[#This Row],[Margin Flag]]="Low", Table1[[#This Row],[Revenue]]&gt;1000), "Review", "")</f>
        <v/>
      </c>
      <c r="Q51" s="4" t="str">
        <f>IF(OR(Table1[[#This Row],[Qty]]&gt;=5,Table1[[#This Row],[Order Size]] = "Large" ), "Bulk", "")</f>
        <v/>
      </c>
      <c r="R51" s="10">
        <f>_xlfn.XLOOKUP(G51, Lookup!$A$2:$A$7, Lookup!$B$2:$B$7, "")</f>
        <v>0.08</v>
      </c>
      <c r="S51" s="4" t="str">
        <f>IF(Table1[[#This Row],[Margin]]&lt;Table1[[#This Row],[Target Margin]], "Yes", "")</f>
        <v/>
      </c>
    </row>
    <row r="52" spans="1:19">
      <c r="A52" t="s">
        <v>90</v>
      </c>
      <c r="B52" s="2">
        <v>46211</v>
      </c>
      <c r="C52" t="s">
        <v>26</v>
      </c>
      <c r="D52" t="s">
        <v>24</v>
      </c>
      <c r="E52">
        <v>1</v>
      </c>
      <c r="F52" t="str">
        <f>_xlfn.XLOOKUP(D52, Products!$A$2:$A$21, Products!$B$2:$B$21, "Not Found")</f>
        <v>Wireless Earbuds</v>
      </c>
      <c r="G52" t="str">
        <f>_xlfn.XLOOKUP(D52, Products!$A$2:$A$21, Products!$C$2:$C$21,"not found")</f>
        <v>Audio</v>
      </c>
      <c r="H52" s="4">
        <f>_xlfn.XLOOKUP(D52, Products!$A$2:$A$21, Products!$E$2:$E$21, 0)</f>
        <v>249</v>
      </c>
      <c r="I52" s="4">
        <f>_xlfn.XLOOKUP(D52, Products!$A$2:$A$21, Products!$F$2:$F$21,0)</f>
        <v>140</v>
      </c>
      <c r="J52" t="str">
        <f>_xlfn.XLOOKUP(C52, Stores!$A$2:$A$7, Stores!$D$2:$D$7)</f>
        <v>Sydney North</v>
      </c>
      <c r="K52" s="4">
        <f t="shared" si="0"/>
        <v>249</v>
      </c>
      <c r="L52" s="4">
        <f t="shared" si="1"/>
        <v>109</v>
      </c>
      <c r="M52" s="10">
        <f>IF(Table1[[#This Row],[Revenue]]=0, "", Table1[[#This Row],[Profit]]/Table1[[#This Row],[Revenue]])</f>
        <v>0.43775100401606426</v>
      </c>
      <c r="N52" s="4" t="str">
        <f>IF(Table1[[#This Row],[Margin]]="", "check", IF(Table1[[#This Row],[Margin]]&lt;0.2, "Low", "OK"))</f>
        <v>OK</v>
      </c>
      <c r="O52" s="4" t="str" cm="1">
        <f t="array" ref="O52">_xlfn.IFS(Table1[[#This Row],[Revenue]]=0, "Check", Table1[[#This Row],[Revenue]]&gt;=1000, "Large", Table1[[#This Row],[Revenue]]&gt;=200, "Medium", TRUE, "Small")</f>
        <v>Medium</v>
      </c>
      <c r="P52" s="4" t="str">
        <f>IF(AND(Table1[[#This Row],[Margin Flag]]="Low", Table1[[#This Row],[Revenue]]&gt;1000), "Review", "")</f>
        <v/>
      </c>
      <c r="Q52" s="4" t="str">
        <f>IF(OR(Table1[[#This Row],[Qty]]&gt;=5,Table1[[#This Row],[Order Size]] = "Large" ), "Bulk", "")</f>
        <v/>
      </c>
      <c r="R52" s="10">
        <f>_xlfn.XLOOKUP(G52, Lookup!$A$2:$A$7, Lookup!$B$2:$B$7, "")</f>
        <v>0.25</v>
      </c>
      <c r="S52" s="4" t="str">
        <f>IF(Table1[[#This Row],[Margin]]&lt;Table1[[#This Row],[Target Margin]], "Yes", "")</f>
        <v/>
      </c>
    </row>
    <row r="53" spans="1:19">
      <c r="A53" t="s">
        <v>91</v>
      </c>
      <c r="B53" s="2">
        <v>46211</v>
      </c>
      <c r="C53" t="s">
        <v>57</v>
      </c>
      <c r="D53" t="s">
        <v>27</v>
      </c>
      <c r="E53">
        <v>3</v>
      </c>
      <c r="F53" t="str">
        <f>_xlfn.XLOOKUP(D53, Products!$A$2:$A$21, Products!$B$2:$B$21, "Not Found")</f>
        <v>Bluetooth Speaker</v>
      </c>
      <c r="G53" t="str">
        <f>_xlfn.XLOOKUP(D53, Products!$A$2:$A$21, Products!$C$2:$C$21,"not found")</f>
        <v>Audio</v>
      </c>
      <c r="H53" s="4">
        <f>_xlfn.XLOOKUP(D53, Products!$A$2:$A$21, Products!$E$2:$E$21, 0)</f>
        <v>179</v>
      </c>
      <c r="I53" s="4">
        <f>_xlfn.XLOOKUP(D53, Products!$A$2:$A$21, Products!$F$2:$F$21,0)</f>
        <v>95</v>
      </c>
      <c r="J53" t="str">
        <f>_xlfn.XLOOKUP(C53, Stores!$A$2:$A$7, Stores!$D$2:$D$7)</f>
        <v>Sydney South</v>
      </c>
      <c r="K53" s="4">
        <f t="shared" si="0"/>
        <v>537</v>
      </c>
      <c r="L53" s="4">
        <f t="shared" si="1"/>
        <v>252</v>
      </c>
      <c r="M53" s="10">
        <f>IF(Table1[[#This Row],[Revenue]]=0, "", Table1[[#This Row],[Profit]]/Table1[[#This Row],[Revenue]])</f>
        <v>0.46927374301675978</v>
      </c>
      <c r="N53" s="4" t="str">
        <f>IF(Table1[[#This Row],[Margin]]="", "check", IF(Table1[[#This Row],[Margin]]&lt;0.2, "Low", "OK"))</f>
        <v>OK</v>
      </c>
      <c r="O53" s="4" t="str" cm="1">
        <f t="array" ref="O53">_xlfn.IFS(Table1[[#This Row],[Revenue]]=0, "Check", Table1[[#This Row],[Revenue]]&gt;=1000, "Large", Table1[[#This Row],[Revenue]]&gt;=200, "Medium", TRUE, "Small")</f>
        <v>Medium</v>
      </c>
      <c r="P53" s="4" t="str">
        <f>IF(AND(Table1[[#This Row],[Margin Flag]]="Low", Table1[[#This Row],[Revenue]]&gt;1000), "Review", "")</f>
        <v/>
      </c>
      <c r="Q53" s="4" t="str">
        <f>IF(OR(Table1[[#This Row],[Qty]]&gt;=5,Table1[[#This Row],[Order Size]] = "Large" ), "Bulk", "")</f>
        <v/>
      </c>
      <c r="R53" s="10">
        <f>_xlfn.XLOOKUP(G53, Lookup!$A$2:$A$7, Lookup!$B$2:$B$7, "")</f>
        <v>0.25</v>
      </c>
      <c r="S53" s="4" t="str">
        <f>IF(Table1[[#This Row],[Margin]]&lt;Table1[[#This Row],[Target Margin]], "Yes", "")</f>
        <v/>
      </c>
    </row>
    <row r="54" spans="1:19">
      <c r="A54" t="s">
        <v>92</v>
      </c>
      <c r="B54" s="2">
        <v>46211</v>
      </c>
      <c r="C54" t="s">
        <v>23</v>
      </c>
      <c r="D54" t="s">
        <v>87</v>
      </c>
      <c r="E54">
        <v>1</v>
      </c>
      <c r="F54" t="str">
        <f>_xlfn.XLOOKUP(D54, Products!$A$2:$A$21, Products!$B$2:$B$21, "Not Found")</f>
        <v>Laptop 16in</v>
      </c>
      <c r="G54" t="str">
        <f>_xlfn.XLOOKUP(D54, Products!$A$2:$A$21, Products!$C$2:$C$21,"not found")</f>
        <v>Computers</v>
      </c>
      <c r="H54" s="4">
        <f>_xlfn.XLOOKUP(D54, Products!$A$2:$A$21, Products!$E$2:$E$21, 0)</f>
        <v>1799</v>
      </c>
      <c r="I54" s="4">
        <f>_xlfn.XLOOKUP(D54, Products!$A$2:$A$21, Products!$F$2:$F$21,0)</f>
        <v>1390</v>
      </c>
      <c r="J54" t="str">
        <f>_xlfn.XLOOKUP(C54, Stores!$A$2:$A$7, Stores!$D$2:$D$7)</f>
        <v>Sydney East</v>
      </c>
      <c r="K54" s="4">
        <f t="shared" si="0"/>
        <v>1799</v>
      </c>
      <c r="L54" s="4">
        <f t="shared" si="1"/>
        <v>409</v>
      </c>
      <c r="M54" s="10">
        <f>IF(Table1[[#This Row],[Revenue]]=0, "", Table1[[#This Row],[Profit]]/Table1[[#This Row],[Revenue]])</f>
        <v>0.2273485269594219</v>
      </c>
      <c r="N54" s="4" t="str">
        <f>IF(Table1[[#This Row],[Margin]]="", "check", IF(Table1[[#This Row],[Margin]]&lt;0.2, "Low", "OK"))</f>
        <v>OK</v>
      </c>
      <c r="O54" s="4" t="str" cm="1">
        <f t="array" ref="O54">_xlfn.IFS(Table1[[#This Row],[Revenue]]=0, "Check", Table1[[#This Row],[Revenue]]&gt;=1000, "Large", Table1[[#This Row],[Revenue]]&gt;=200, "Medium", TRUE, "Small")</f>
        <v>Large</v>
      </c>
      <c r="P54" s="4" t="str">
        <f>IF(AND(Table1[[#This Row],[Margin Flag]]="Low", Table1[[#This Row],[Revenue]]&gt;1000), "Review", "")</f>
        <v/>
      </c>
      <c r="Q54" s="4" t="str">
        <f>IF(OR(Table1[[#This Row],[Qty]]&gt;=5,Table1[[#This Row],[Order Size]] = "Large" ), "Bulk", "")</f>
        <v>Bulk</v>
      </c>
      <c r="R54" s="10">
        <f>_xlfn.XLOOKUP(G54, Lookup!$A$2:$A$7, Lookup!$B$2:$B$7, "")</f>
        <v>0.25</v>
      </c>
      <c r="S54" s="4" t="str">
        <f>IF(Table1[[#This Row],[Margin]]&lt;Table1[[#This Row],[Target Margin]], "Yes", "")</f>
        <v>Yes</v>
      </c>
    </row>
    <row r="55" spans="1:19">
      <c r="A55" t="s">
        <v>93</v>
      </c>
      <c r="B55" s="2">
        <v>46211</v>
      </c>
      <c r="C55" t="s">
        <v>29</v>
      </c>
      <c r="D55" t="s">
        <v>38</v>
      </c>
      <c r="E55">
        <v>3</v>
      </c>
      <c r="F55" t="str">
        <f>_xlfn.XLOOKUP(D55, Products!$A$2:$A$21, Products!$B$2:$B$21, "Not Found")</f>
        <v>USB-C Charger</v>
      </c>
      <c r="G55" t="str">
        <f>_xlfn.XLOOKUP(D55, Products!$A$2:$A$21, Products!$C$2:$C$21,"not found")</f>
        <v>Accessories</v>
      </c>
      <c r="H55" s="4">
        <f>_xlfn.XLOOKUP(D55, Products!$A$2:$A$21, Products!$E$2:$E$21, 0)</f>
        <v>49</v>
      </c>
      <c r="I55" s="4">
        <f>_xlfn.XLOOKUP(D55, Products!$A$2:$A$21, Products!$F$2:$F$21,0)</f>
        <v>14</v>
      </c>
      <c r="J55" t="str">
        <f>_xlfn.XLOOKUP(C55, Stores!$A$2:$A$7, Stores!$D$2:$D$7)</f>
        <v>Sydney West</v>
      </c>
      <c r="K55" s="4">
        <f t="shared" si="0"/>
        <v>147</v>
      </c>
      <c r="L55" s="4">
        <f t="shared" si="1"/>
        <v>105</v>
      </c>
      <c r="M55" s="10">
        <f>IF(Table1[[#This Row],[Revenue]]=0, "", Table1[[#This Row],[Profit]]/Table1[[#This Row],[Revenue]])</f>
        <v>0.7142857142857143</v>
      </c>
      <c r="N55" s="4" t="str">
        <f>IF(Table1[[#This Row],[Margin]]="", "check", IF(Table1[[#This Row],[Margin]]&lt;0.2, "Low", "OK"))</f>
        <v>OK</v>
      </c>
      <c r="O55" s="4" t="str" cm="1">
        <f t="array" ref="O55">_xlfn.IFS(Table1[[#This Row],[Revenue]]=0, "Check", Table1[[#This Row],[Revenue]]&gt;=1000, "Large", Table1[[#This Row],[Revenue]]&gt;=200, "Medium", TRUE, "Small")</f>
        <v>Small</v>
      </c>
      <c r="P55" s="4" t="str">
        <f>IF(AND(Table1[[#This Row],[Margin Flag]]="Low", Table1[[#This Row],[Revenue]]&gt;1000), "Review", "")</f>
        <v/>
      </c>
      <c r="Q55" s="4" t="str">
        <f>IF(OR(Table1[[#This Row],[Qty]]&gt;=5,Table1[[#This Row],[Order Size]] = "Large" ), "Bulk", "")</f>
        <v/>
      </c>
      <c r="R55" s="10">
        <f>_xlfn.XLOOKUP(G55, Lookup!$A$2:$A$7, Lookup!$B$2:$B$7, "")</f>
        <v>0.25</v>
      </c>
      <c r="S55" s="4" t="str">
        <f>IF(Table1[[#This Row],[Margin]]&lt;Table1[[#This Row],[Target Margin]], "Yes", "")</f>
        <v/>
      </c>
    </row>
    <row r="56" spans="1:19">
      <c r="A56" t="s">
        <v>94</v>
      </c>
      <c r="B56" s="2">
        <v>46211</v>
      </c>
      <c r="C56" t="s">
        <v>32</v>
      </c>
      <c r="D56" t="s">
        <v>50</v>
      </c>
      <c r="E56">
        <v>1</v>
      </c>
      <c r="F56" t="str">
        <f>_xlfn.XLOOKUP(D56, Products!$A$2:$A$21, Products!$B$2:$B$21, "Not Found")</f>
        <v>Smartphone 128GB</v>
      </c>
      <c r="G56" t="str">
        <f>_xlfn.XLOOKUP(D56, Products!$A$2:$A$21, Products!$C$2:$C$21,"not found")</f>
        <v>Phones</v>
      </c>
      <c r="H56" s="4">
        <f>_xlfn.XLOOKUP(D56, Products!$A$2:$A$21, Products!$E$2:$E$21, 0)</f>
        <v>1099</v>
      </c>
      <c r="I56" s="4">
        <f>_xlfn.XLOOKUP(D56, Products!$A$2:$A$21, Products!$F$2:$F$21,0)</f>
        <v>860</v>
      </c>
      <c r="J56" t="str">
        <f>_xlfn.XLOOKUP(C56, Stores!$A$2:$A$7, Stores!$D$2:$D$7)</f>
        <v>Sydney South</v>
      </c>
      <c r="K56" s="4">
        <f t="shared" si="0"/>
        <v>1099</v>
      </c>
      <c r="L56" s="4">
        <f t="shared" si="1"/>
        <v>239</v>
      </c>
      <c r="M56" s="10">
        <f>IF(Table1[[#This Row],[Revenue]]=0, "", Table1[[#This Row],[Profit]]/Table1[[#This Row],[Revenue]])</f>
        <v>0.21747042766151045</v>
      </c>
      <c r="N56" s="4" t="str">
        <f>IF(Table1[[#This Row],[Margin]]="", "check", IF(Table1[[#This Row],[Margin]]&lt;0.2, "Low", "OK"))</f>
        <v>OK</v>
      </c>
      <c r="O56" s="4" t="str" cm="1">
        <f t="array" ref="O56">_xlfn.IFS(Table1[[#This Row],[Revenue]]=0, "Check", Table1[[#This Row],[Revenue]]&gt;=1000, "Large", Table1[[#This Row],[Revenue]]&gt;=200, "Medium", TRUE, "Small")</f>
        <v>Large</v>
      </c>
      <c r="P56" s="4" t="str">
        <f>IF(AND(Table1[[#This Row],[Margin Flag]]="Low", Table1[[#This Row],[Revenue]]&gt;1000), "Review", "")</f>
        <v/>
      </c>
      <c r="Q56" s="4" t="str">
        <f>IF(OR(Table1[[#This Row],[Qty]]&gt;=5,Table1[[#This Row],[Order Size]] = "Large" ), "Bulk", "")</f>
        <v>Bulk</v>
      </c>
      <c r="R56" s="10">
        <f>_xlfn.XLOOKUP(G56, Lookup!$A$2:$A$7, Lookup!$B$2:$B$7, "")</f>
        <v>0.25</v>
      </c>
      <c r="S56" s="4" t="str">
        <f>IF(Table1[[#This Row],[Margin]]&lt;Table1[[#This Row],[Target Margin]], "Yes", "")</f>
        <v>Yes</v>
      </c>
    </row>
    <row r="57" spans="1:19" hidden="1">
      <c r="A57" t="s">
        <v>95</v>
      </c>
      <c r="B57" s="2">
        <v>46211</v>
      </c>
      <c r="C57" t="s">
        <v>29</v>
      </c>
      <c r="D57" t="s">
        <v>96</v>
      </c>
      <c r="E57">
        <v>1</v>
      </c>
      <c r="F57" t="str">
        <f>_xlfn.XLOOKUP(D57, Products!$A$2:$A$21, Products!$B$2:$B$21, "Not Found")</f>
        <v>Not Found</v>
      </c>
      <c r="G57" t="str">
        <f>_xlfn.XLOOKUP(D57, Products!$A$2:$A$21, Products!$C$2:$C$21,"not found")</f>
        <v>not found</v>
      </c>
      <c r="H57" s="4">
        <f>_xlfn.XLOOKUP(D57, Products!$A$2:$A$21, Products!$E$2:$E$21, 0)</f>
        <v>0</v>
      </c>
      <c r="I57" s="4">
        <f>_xlfn.XLOOKUP(D57, Products!$A$2:$A$21, Products!$F$2:$F$21,0)</f>
        <v>0</v>
      </c>
      <c r="J57" t="str">
        <f>_xlfn.XLOOKUP(C57, Stores!$A$2:$A$7, Stores!$D$2:$D$7)</f>
        <v>Sydney West</v>
      </c>
      <c r="K57" s="4">
        <f t="shared" si="0"/>
        <v>0</v>
      </c>
      <c r="L57" s="4">
        <f t="shared" si="1"/>
        <v>0</v>
      </c>
      <c r="M57" t="str">
        <f>IF(Table1[[#This Row],[Revenue]]=0, "", Table1[[#This Row],[Profit]]/Table1[[#This Row],[Revenue]])</f>
        <v/>
      </c>
      <c r="N57" s="4" t="str">
        <f>IF(Table1[[#This Row],[Margin]]="", "check", IF(Table1[[#This Row],[Margin]]&lt;0.2, "Low", "OK"))</f>
        <v>check</v>
      </c>
      <c r="O57" s="4" t="str" cm="1">
        <f t="array" ref="O57">_xlfn.IFS(Table1[[#This Row],[Revenue]]=0, "Check", Table1[[#This Row],[Revenue]]&gt;=1000, "Large", Table1[[#This Row],[Revenue]]&gt;=200, "Medium", TRUE, "Small")</f>
        <v>Check</v>
      </c>
      <c r="P57" s="4" t="str">
        <f>IF(AND(Table1[[#This Row],[Margin Flag]]="Low", Table1[[#This Row],[Revenue]]&gt;1000), "Review", "")</f>
        <v/>
      </c>
      <c r="Q57" s="4" t="str">
        <f>IF(OR(Table1[[#This Row],[Qty]]&gt;=5,Table1[[#This Row],[Order Size]] = "Large" ), "Bulk", "")</f>
        <v/>
      </c>
      <c r="R57" s="4" t="str">
        <f>_xlfn.XLOOKUP(G57, Lookup!$A$2:$A$7, Lookup!$B$2:$B$7, "")</f>
        <v/>
      </c>
      <c r="S57" s="4" t="str">
        <f>IF(Table1[[#This Row],[Margin]]&lt;Table1[[#This Row],[Target Margin]], "Yes", "")</f>
        <v/>
      </c>
    </row>
    <row r="58" spans="1:19">
      <c r="A58" t="s">
        <v>97</v>
      </c>
      <c r="B58" s="2">
        <v>46211</v>
      </c>
      <c r="C58" t="s">
        <v>20</v>
      </c>
      <c r="D58" t="s">
        <v>58</v>
      </c>
      <c r="E58">
        <v>1</v>
      </c>
      <c r="F58" t="str">
        <f>_xlfn.XLOOKUP(D58, Products!$A$2:$A$21, Products!$B$2:$B$21, "Not Found")</f>
        <v>Mech Keyboard</v>
      </c>
      <c r="G58" t="str">
        <f>_xlfn.XLOOKUP(D58, Products!$A$2:$A$21, Products!$C$2:$C$21,"not found")</f>
        <v>Accessories</v>
      </c>
      <c r="H58" s="4">
        <f>_xlfn.XLOOKUP(D58, Products!$A$2:$A$21, Products!$E$2:$E$21, 0)</f>
        <v>149</v>
      </c>
      <c r="I58" s="4">
        <f>_xlfn.XLOOKUP(D58, Products!$A$2:$A$21, Products!$F$2:$F$21,0)</f>
        <v>72</v>
      </c>
      <c r="J58" t="str">
        <f>_xlfn.XLOOKUP(C58, Stores!$A$2:$A$7, Stores!$D$2:$D$7)</f>
        <v>Sydney West</v>
      </c>
      <c r="K58" s="4">
        <f t="shared" si="0"/>
        <v>149</v>
      </c>
      <c r="L58" s="4">
        <f t="shared" si="1"/>
        <v>77</v>
      </c>
      <c r="M58" s="10">
        <f>IF(Table1[[#This Row],[Revenue]]=0, "", Table1[[#This Row],[Profit]]/Table1[[#This Row],[Revenue]])</f>
        <v>0.51677852348993292</v>
      </c>
      <c r="N58" s="4" t="str">
        <f>IF(Table1[[#This Row],[Margin]]="", "check", IF(Table1[[#This Row],[Margin]]&lt;0.2, "Low", "OK"))</f>
        <v>OK</v>
      </c>
      <c r="O58" s="4" t="str" cm="1">
        <f t="array" ref="O58">_xlfn.IFS(Table1[[#This Row],[Revenue]]=0, "Check", Table1[[#This Row],[Revenue]]&gt;=1000, "Large", Table1[[#This Row],[Revenue]]&gt;=200, "Medium", TRUE, "Small")</f>
        <v>Small</v>
      </c>
      <c r="P58" s="4" t="str">
        <f>IF(AND(Table1[[#This Row],[Margin Flag]]="Low", Table1[[#This Row],[Revenue]]&gt;1000), "Review", "")</f>
        <v/>
      </c>
      <c r="Q58" s="4" t="str">
        <f>IF(OR(Table1[[#This Row],[Qty]]&gt;=5,Table1[[#This Row],[Order Size]] = "Large" ), "Bulk", "")</f>
        <v/>
      </c>
      <c r="R58" s="10">
        <f>_xlfn.XLOOKUP(G58, Lookup!$A$2:$A$7, Lookup!$B$2:$B$7, "")</f>
        <v>0.25</v>
      </c>
      <c r="S58" s="4" t="str">
        <f>IF(Table1[[#This Row],[Margin]]&lt;Table1[[#This Row],[Target Margin]], "Yes", "")</f>
        <v/>
      </c>
    </row>
    <row r="59" spans="1:19">
      <c r="A59" t="s">
        <v>98</v>
      </c>
      <c r="B59" s="2">
        <v>46211</v>
      </c>
      <c r="C59" t="s">
        <v>29</v>
      </c>
      <c r="D59" t="s">
        <v>99</v>
      </c>
      <c r="E59">
        <v>2</v>
      </c>
      <c r="F59" t="str">
        <f>_xlfn.XLOOKUP(D59, Products!$A$2:$A$21, Products!$B$2:$B$21, "Not Found")</f>
        <v>Smartphone 256GB</v>
      </c>
      <c r="G59" t="str">
        <f>_xlfn.XLOOKUP(D59, Products!$A$2:$A$21, Products!$C$2:$C$21,"not found")</f>
        <v>Phones</v>
      </c>
      <c r="H59" s="4">
        <f>_xlfn.XLOOKUP(D59, Products!$A$2:$A$21, Products!$E$2:$E$21, 0)</f>
        <v>1499</v>
      </c>
      <c r="I59" s="4">
        <f>_xlfn.XLOOKUP(D59, Products!$A$2:$A$21, Products!$F$2:$F$21,0)</f>
        <v>1180</v>
      </c>
      <c r="J59" t="str">
        <f>_xlfn.XLOOKUP(C59, Stores!$A$2:$A$7, Stores!$D$2:$D$7)</f>
        <v>Sydney West</v>
      </c>
      <c r="K59" s="4">
        <f t="shared" si="0"/>
        <v>2998</v>
      </c>
      <c r="L59" s="4">
        <f t="shared" si="1"/>
        <v>638</v>
      </c>
      <c r="M59" s="10">
        <f>IF(Table1[[#This Row],[Revenue]]=0, "", Table1[[#This Row],[Profit]]/Table1[[#This Row],[Revenue]])</f>
        <v>0.21280853902601735</v>
      </c>
      <c r="N59" s="4" t="str">
        <f>IF(Table1[[#This Row],[Margin]]="", "check", IF(Table1[[#This Row],[Margin]]&lt;0.2, "Low", "OK"))</f>
        <v>OK</v>
      </c>
      <c r="O59" s="4" t="str" cm="1">
        <f t="array" ref="O59">_xlfn.IFS(Table1[[#This Row],[Revenue]]=0, "Check", Table1[[#This Row],[Revenue]]&gt;=1000, "Large", Table1[[#This Row],[Revenue]]&gt;=200, "Medium", TRUE, "Small")</f>
        <v>Large</v>
      </c>
      <c r="P59" s="4" t="str">
        <f>IF(AND(Table1[[#This Row],[Margin Flag]]="Low", Table1[[#This Row],[Revenue]]&gt;1000), "Review", "")</f>
        <v/>
      </c>
      <c r="Q59" s="4" t="str">
        <f>IF(OR(Table1[[#This Row],[Qty]]&gt;=5,Table1[[#This Row],[Order Size]] = "Large" ), "Bulk", "")</f>
        <v>Bulk</v>
      </c>
      <c r="R59" s="10">
        <f>_xlfn.XLOOKUP(G59, Lookup!$A$2:$A$7, Lookup!$B$2:$B$7, "")</f>
        <v>0.25</v>
      </c>
      <c r="S59" s="4" t="str">
        <f>IF(Table1[[#This Row],[Margin]]&lt;Table1[[#This Row],[Target Margin]], "Yes", "")</f>
        <v>Yes</v>
      </c>
    </row>
    <row r="60" spans="1:19">
      <c r="A60" t="s">
        <v>100</v>
      </c>
      <c r="B60" s="2">
        <v>46211</v>
      </c>
      <c r="C60" t="s">
        <v>57</v>
      </c>
      <c r="D60" t="s">
        <v>60</v>
      </c>
      <c r="E60">
        <v>2</v>
      </c>
      <c r="F60" t="str">
        <f>_xlfn.XLOOKUP(D60, Products!$A$2:$A$21, Products!$B$2:$B$21, "Not Found")</f>
        <v>55in TV</v>
      </c>
      <c r="G60" t="str">
        <f>_xlfn.XLOOKUP(D60, Products!$A$2:$A$21, Products!$C$2:$C$21,"not found")</f>
        <v>TV</v>
      </c>
      <c r="H60" s="4">
        <f>_xlfn.XLOOKUP(D60, Products!$A$2:$A$21, Products!$E$2:$E$21, 0)</f>
        <v>1299</v>
      </c>
      <c r="I60" s="4">
        <f>_xlfn.XLOOKUP(D60, Products!$A$2:$A$21, Products!$F$2:$F$21,0)</f>
        <v>980</v>
      </c>
      <c r="J60" t="str">
        <f>_xlfn.XLOOKUP(C60, Stores!$A$2:$A$7, Stores!$D$2:$D$7)</f>
        <v>Sydney South</v>
      </c>
      <c r="K60" s="4">
        <f t="shared" si="0"/>
        <v>2598</v>
      </c>
      <c r="L60" s="4">
        <f t="shared" si="1"/>
        <v>638</v>
      </c>
      <c r="M60" s="10">
        <f>IF(Table1[[#This Row],[Revenue]]=0, "", Table1[[#This Row],[Profit]]/Table1[[#This Row],[Revenue]])</f>
        <v>0.2455735180908391</v>
      </c>
      <c r="N60" s="4" t="str">
        <f>IF(Table1[[#This Row],[Margin]]="", "check", IF(Table1[[#This Row],[Margin]]&lt;0.2, "Low", "OK"))</f>
        <v>OK</v>
      </c>
      <c r="O60" s="4" t="str" cm="1">
        <f t="array" ref="O60">_xlfn.IFS(Table1[[#This Row],[Revenue]]=0, "Check", Table1[[#This Row],[Revenue]]&gt;=1000, "Large", Table1[[#This Row],[Revenue]]&gt;=200, "Medium", TRUE, "Small")</f>
        <v>Large</v>
      </c>
      <c r="P60" s="4" t="str">
        <f>IF(AND(Table1[[#This Row],[Margin Flag]]="Low", Table1[[#This Row],[Revenue]]&gt;1000), "Review", "")</f>
        <v/>
      </c>
      <c r="Q60" s="4" t="str">
        <f>IF(OR(Table1[[#This Row],[Qty]]&gt;=5,Table1[[#This Row],[Order Size]] = "Large" ), "Bulk", "")</f>
        <v>Bulk</v>
      </c>
      <c r="R60" s="10">
        <f>_xlfn.XLOOKUP(G60, Lookup!$A$2:$A$7, Lookup!$B$2:$B$7, "")</f>
        <v>0.25</v>
      </c>
      <c r="S60" s="4" t="str">
        <f>IF(Table1[[#This Row],[Margin]]&lt;Table1[[#This Row],[Target Margin]], "Yes", "")</f>
        <v>Yes</v>
      </c>
    </row>
    <row r="61" spans="1:19">
      <c r="A61" t="s">
        <v>101</v>
      </c>
      <c r="B61" s="2">
        <v>46211</v>
      </c>
      <c r="C61" t="s">
        <v>23</v>
      </c>
      <c r="D61" t="s">
        <v>38</v>
      </c>
      <c r="E61">
        <v>1</v>
      </c>
      <c r="F61" t="str">
        <f>_xlfn.XLOOKUP(D61, Products!$A$2:$A$21, Products!$B$2:$B$21, "Not Found")</f>
        <v>USB-C Charger</v>
      </c>
      <c r="G61" t="str">
        <f>_xlfn.XLOOKUP(D61, Products!$A$2:$A$21, Products!$C$2:$C$21,"not found")</f>
        <v>Accessories</v>
      </c>
      <c r="H61" s="4">
        <f>_xlfn.XLOOKUP(D61, Products!$A$2:$A$21, Products!$E$2:$E$21, 0)</f>
        <v>49</v>
      </c>
      <c r="I61" s="4">
        <f>_xlfn.XLOOKUP(D61, Products!$A$2:$A$21, Products!$F$2:$F$21,0)</f>
        <v>14</v>
      </c>
      <c r="J61" t="str">
        <f>_xlfn.XLOOKUP(C61, Stores!$A$2:$A$7, Stores!$D$2:$D$7)</f>
        <v>Sydney East</v>
      </c>
      <c r="K61" s="4">
        <f t="shared" si="0"/>
        <v>49</v>
      </c>
      <c r="L61" s="4">
        <f t="shared" si="1"/>
        <v>35</v>
      </c>
      <c r="M61" s="10">
        <f>IF(Table1[[#This Row],[Revenue]]=0, "", Table1[[#This Row],[Profit]]/Table1[[#This Row],[Revenue]])</f>
        <v>0.7142857142857143</v>
      </c>
      <c r="N61" s="4" t="str">
        <f>IF(Table1[[#This Row],[Margin]]="", "check", IF(Table1[[#This Row],[Margin]]&lt;0.2, "Low", "OK"))</f>
        <v>OK</v>
      </c>
      <c r="O61" s="4" t="str" cm="1">
        <f t="array" ref="O61">_xlfn.IFS(Table1[[#This Row],[Revenue]]=0, "Check", Table1[[#This Row],[Revenue]]&gt;=1000, "Large", Table1[[#This Row],[Revenue]]&gt;=200, "Medium", TRUE, "Small")</f>
        <v>Small</v>
      </c>
      <c r="P61" s="4" t="str">
        <f>IF(AND(Table1[[#This Row],[Margin Flag]]="Low", Table1[[#This Row],[Revenue]]&gt;1000), "Review", "")</f>
        <v/>
      </c>
      <c r="Q61" s="4" t="str">
        <f>IF(OR(Table1[[#This Row],[Qty]]&gt;=5,Table1[[#This Row],[Order Size]] = "Large" ), "Bulk", "")</f>
        <v/>
      </c>
      <c r="R61" s="10">
        <f>_xlfn.XLOOKUP(G61, Lookup!$A$2:$A$7, Lookup!$B$2:$B$7, "")</f>
        <v>0.25</v>
      </c>
      <c r="S61" s="4" t="str">
        <f>IF(Table1[[#This Row],[Margin]]&lt;Table1[[#This Row],[Target Margin]], "Yes", "")</f>
        <v/>
      </c>
    </row>
    <row r="62" spans="1:19">
      <c r="A62" t="s">
        <v>102</v>
      </c>
      <c r="B62" s="2">
        <v>46211</v>
      </c>
      <c r="C62" t="s">
        <v>57</v>
      </c>
      <c r="D62" t="s">
        <v>24</v>
      </c>
      <c r="E62">
        <v>1</v>
      </c>
      <c r="F62" t="str">
        <f>_xlfn.XLOOKUP(D62, Products!$A$2:$A$21, Products!$B$2:$B$21, "Not Found")</f>
        <v>Wireless Earbuds</v>
      </c>
      <c r="G62" t="str">
        <f>_xlfn.XLOOKUP(D62, Products!$A$2:$A$21, Products!$C$2:$C$21,"not found")</f>
        <v>Audio</v>
      </c>
      <c r="H62" s="4">
        <f>_xlfn.XLOOKUP(D62, Products!$A$2:$A$21, Products!$E$2:$E$21, 0)</f>
        <v>249</v>
      </c>
      <c r="I62" s="4">
        <f>_xlfn.XLOOKUP(D62, Products!$A$2:$A$21, Products!$F$2:$F$21,0)</f>
        <v>140</v>
      </c>
      <c r="J62" t="str">
        <f>_xlfn.XLOOKUP(C62, Stores!$A$2:$A$7, Stores!$D$2:$D$7)</f>
        <v>Sydney South</v>
      </c>
      <c r="K62" s="4">
        <f t="shared" si="0"/>
        <v>249</v>
      </c>
      <c r="L62" s="4">
        <f t="shared" si="1"/>
        <v>109</v>
      </c>
      <c r="M62" s="10">
        <f>IF(Table1[[#This Row],[Revenue]]=0, "", Table1[[#This Row],[Profit]]/Table1[[#This Row],[Revenue]])</f>
        <v>0.43775100401606426</v>
      </c>
      <c r="N62" s="4" t="str">
        <f>IF(Table1[[#This Row],[Margin]]="", "check", IF(Table1[[#This Row],[Margin]]&lt;0.2, "Low", "OK"))</f>
        <v>OK</v>
      </c>
      <c r="O62" s="4" t="str" cm="1">
        <f t="array" ref="O62">_xlfn.IFS(Table1[[#This Row],[Revenue]]=0, "Check", Table1[[#This Row],[Revenue]]&gt;=1000, "Large", Table1[[#This Row],[Revenue]]&gt;=200, "Medium", TRUE, "Small")</f>
        <v>Medium</v>
      </c>
      <c r="P62" s="4" t="str">
        <f>IF(AND(Table1[[#This Row],[Margin Flag]]="Low", Table1[[#This Row],[Revenue]]&gt;1000), "Review", "")</f>
        <v/>
      </c>
      <c r="Q62" s="4" t="str">
        <f>IF(OR(Table1[[#This Row],[Qty]]&gt;=5,Table1[[#This Row],[Order Size]] = "Large" ), "Bulk", "")</f>
        <v/>
      </c>
      <c r="R62" s="10">
        <f>_xlfn.XLOOKUP(G62, Lookup!$A$2:$A$7, Lookup!$B$2:$B$7, "")</f>
        <v>0.25</v>
      </c>
      <c r="S62" s="4" t="str">
        <f>IF(Table1[[#This Row],[Margin]]&lt;Table1[[#This Row],[Target Margin]], "Yes", "")</f>
        <v/>
      </c>
    </row>
    <row r="63" spans="1:19">
      <c r="A63" t="s">
        <v>103</v>
      </c>
      <c r="B63" s="2">
        <v>46212</v>
      </c>
      <c r="C63" t="s">
        <v>57</v>
      </c>
      <c r="D63" t="s">
        <v>24</v>
      </c>
      <c r="E63">
        <v>1</v>
      </c>
      <c r="F63" t="str">
        <f>_xlfn.XLOOKUP(D63, Products!$A$2:$A$21, Products!$B$2:$B$21, "Not Found")</f>
        <v>Wireless Earbuds</v>
      </c>
      <c r="G63" t="str">
        <f>_xlfn.XLOOKUP(D63, Products!$A$2:$A$21, Products!$C$2:$C$21,"not found")</f>
        <v>Audio</v>
      </c>
      <c r="H63" s="4">
        <f>_xlfn.XLOOKUP(D63, Products!$A$2:$A$21, Products!$E$2:$E$21, 0)</f>
        <v>249</v>
      </c>
      <c r="I63" s="4">
        <f>_xlfn.XLOOKUP(D63, Products!$A$2:$A$21, Products!$F$2:$F$21,0)</f>
        <v>140</v>
      </c>
      <c r="J63" t="str">
        <f>_xlfn.XLOOKUP(C63, Stores!$A$2:$A$7, Stores!$D$2:$D$7)</f>
        <v>Sydney South</v>
      </c>
      <c r="K63" s="4">
        <f t="shared" si="0"/>
        <v>249</v>
      </c>
      <c r="L63" s="4">
        <f t="shared" si="1"/>
        <v>109</v>
      </c>
      <c r="M63" s="10">
        <f>IF(Table1[[#This Row],[Revenue]]=0, "", Table1[[#This Row],[Profit]]/Table1[[#This Row],[Revenue]])</f>
        <v>0.43775100401606426</v>
      </c>
      <c r="N63" s="4" t="str">
        <f>IF(Table1[[#This Row],[Margin]]="", "check", IF(Table1[[#This Row],[Margin]]&lt;0.2, "Low", "OK"))</f>
        <v>OK</v>
      </c>
      <c r="O63" s="4" t="str" cm="1">
        <f t="array" ref="O63">_xlfn.IFS(Table1[[#This Row],[Revenue]]=0, "Check", Table1[[#This Row],[Revenue]]&gt;=1000, "Large", Table1[[#This Row],[Revenue]]&gt;=200, "Medium", TRUE, "Small")</f>
        <v>Medium</v>
      </c>
      <c r="P63" s="4" t="str">
        <f>IF(AND(Table1[[#This Row],[Margin Flag]]="Low", Table1[[#This Row],[Revenue]]&gt;1000), "Review", "")</f>
        <v/>
      </c>
      <c r="Q63" s="4" t="str">
        <f>IF(OR(Table1[[#This Row],[Qty]]&gt;=5,Table1[[#This Row],[Order Size]] = "Large" ), "Bulk", "")</f>
        <v/>
      </c>
      <c r="R63" s="10">
        <f>_xlfn.XLOOKUP(G63, Lookup!$A$2:$A$7, Lookup!$B$2:$B$7, "")</f>
        <v>0.25</v>
      </c>
      <c r="S63" s="4" t="str">
        <f>IF(Table1[[#This Row],[Margin]]&lt;Table1[[#This Row],[Target Margin]], "Yes", "")</f>
        <v/>
      </c>
    </row>
    <row r="64" spans="1:19">
      <c r="A64" t="s">
        <v>104</v>
      </c>
      <c r="B64" s="2">
        <v>46212</v>
      </c>
      <c r="C64" t="s">
        <v>20</v>
      </c>
      <c r="D64" t="s">
        <v>43</v>
      </c>
      <c r="E64">
        <v>1</v>
      </c>
      <c r="F64" t="str">
        <f>_xlfn.XLOOKUP(D64, Products!$A$2:$A$21, Products!$B$2:$B$21, "Not Found")</f>
        <v>Console Controller</v>
      </c>
      <c r="G64" t="str">
        <f>_xlfn.XLOOKUP(D64, Products!$A$2:$A$21, Products!$C$2:$C$21,"not found")</f>
        <v>Gaming</v>
      </c>
      <c r="H64" s="4">
        <f>_xlfn.XLOOKUP(D64, Products!$A$2:$A$21, Products!$E$2:$E$21, 0)</f>
        <v>99</v>
      </c>
      <c r="I64" s="4">
        <f>_xlfn.XLOOKUP(D64, Products!$A$2:$A$21, Products!$F$2:$F$21,0)</f>
        <v>58</v>
      </c>
      <c r="J64" t="str">
        <f>_xlfn.XLOOKUP(C64, Stores!$A$2:$A$7, Stores!$D$2:$D$7)</f>
        <v>Sydney West</v>
      </c>
      <c r="K64" s="4">
        <f t="shared" si="0"/>
        <v>99</v>
      </c>
      <c r="L64" s="4">
        <f t="shared" si="1"/>
        <v>41</v>
      </c>
      <c r="M64" s="10">
        <f>IF(Table1[[#This Row],[Revenue]]=0, "", Table1[[#This Row],[Profit]]/Table1[[#This Row],[Revenue]])</f>
        <v>0.41414141414141414</v>
      </c>
      <c r="N64" s="4" t="str">
        <f>IF(Table1[[#This Row],[Margin]]="", "check", IF(Table1[[#This Row],[Margin]]&lt;0.2, "Low", "OK"))</f>
        <v>OK</v>
      </c>
      <c r="O64" s="4" t="str" cm="1">
        <f t="array" ref="O64">_xlfn.IFS(Table1[[#This Row],[Revenue]]=0, "Check", Table1[[#This Row],[Revenue]]&gt;=1000, "Large", Table1[[#This Row],[Revenue]]&gt;=200, "Medium", TRUE, "Small")</f>
        <v>Small</v>
      </c>
      <c r="P64" s="4" t="str">
        <f>IF(AND(Table1[[#This Row],[Margin Flag]]="Low", Table1[[#This Row],[Revenue]]&gt;1000), "Review", "")</f>
        <v/>
      </c>
      <c r="Q64" s="4" t="str">
        <f>IF(OR(Table1[[#This Row],[Qty]]&gt;=5,Table1[[#This Row],[Order Size]] = "Large" ), "Bulk", "")</f>
        <v/>
      </c>
      <c r="R64" s="10">
        <f>_xlfn.XLOOKUP(G64, Lookup!$A$2:$A$7, Lookup!$B$2:$B$7, "")</f>
        <v>0.08</v>
      </c>
      <c r="S64" s="4" t="str">
        <f>IF(Table1[[#This Row],[Margin]]&lt;Table1[[#This Row],[Target Margin]], "Yes", "")</f>
        <v/>
      </c>
    </row>
    <row r="65" spans="1:19">
      <c r="A65" t="s">
        <v>105</v>
      </c>
      <c r="B65" s="2">
        <v>46212</v>
      </c>
      <c r="C65" t="s">
        <v>26</v>
      </c>
      <c r="D65" t="s">
        <v>106</v>
      </c>
      <c r="E65">
        <v>2</v>
      </c>
      <c r="F65" t="str">
        <f>_xlfn.XLOOKUP(D65, Products!$A$2:$A$21, Products!$B$2:$B$21, "Not Found")</f>
        <v>Laptop 14in</v>
      </c>
      <c r="G65" t="str">
        <f>_xlfn.XLOOKUP(D65, Products!$A$2:$A$21, Products!$C$2:$C$21,"not found")</f>
        <v>Computers</v>
      </c>
      <c r="H65" s="4">
        <f>_xlfn.XLOOKUP(D65, Products!$A$2:$A$21, Products!$E$2:$E$21, 0)</f>
        <v>1199</v>
      </c>
      <c r="I65" s="4">
        <f>_xlfn.XLOOKUP(D65, Products!$A$2:$A$21, Products!$F$2:$F$21,0)</f>
        <v>930</v>
      </c>
      <c r="J65" t="str">
        <f>_xlfn.XLOOKUP(C65, Stores!$A$2:$A$7, Stores!$D$2:$D$7)</f>
        <v>Sydney North</v>
      </c>
      <c r="K65" s="4">
        <f t="shared" si="0"/>
        <v>2398</v>
      </c>
      <c r="L65" s="4">
        <f t="shared" si="1"/>
        <v>538</v>
      </c>
      <c r="M65" s="10">
        <f>IF(Table1[[#This Row],[Revenue]]=0, "", Table1[[#This Row],[Profit]]/Table1[[#This Row],[Revenue]])</f>
        <v>0.22435362802335279</v>
      </c>
      <c r="N65" s="4" t="str">
        <f>IF(Table1[[#This Row],[Margin]]="", "check", IF(Table1[[#This Row],[Margin]]&lt;0.2, "Low", "OK"))</f>
        <v>OK</v>
      </c>
      <c r="O65" s="4" t="str" cm="1">
        <f t="array" ref="O65">_xlfn.IFS(Table1[[#This Row],[Revenue]]=0, "Check", Table1[[#This Row],[Revenue]]&gt;=1000, "Large", Table1[[#This Row],[Revenue]]&gt;=200, "Medium", TRUE, "Small")</f>
        <v>Large</v>
      </c>
      <c r="P65" s="4" t="str">
        <f>IF(AND(Table1[[#This Row],[Margin Flag]]="Low", Table1[[#This Row],[Revenue]]&gt;1000), "Review", "")</f>
        <v/>
      </c>
      <c r="Q65" s="4" t="str">
        <f>IF(OR(Table1[[#This Row],[Qty]]&gt;=5,Table1[[#This Row],[Order Size]] = "Large" ), "Bulk", "")</f>
        <v>Bulk</v>
      </c>
      <c r="R65" s="10">
        <f>_xlfn.XLOOKUP(G65, Lookup!$A$2:$A$7, Lookup!$B$2:$B$7, "")</f>
        <v>0.25</v>
      </c>
      <c r="S65" s="4" t="str">
        <f>IF(Table1[[#This Row],[Margin]]&lt;Table1[[#This Row],[Target Margin]], "Yes", "")</f>
        <v>Yes</v>
      </c>
    </row>
    <row r="66" spans="1:19">
      <c r="A66" t="s">
        <v>107</v>
      </c>
      <c r="B66" s="2">
        <v>46212</v>
      </c>
      <c r="C66" t="s">
        <v>32</v>
      </c>
      <c r="D66" t="s">
        <v>43</v>
      </c>
      <c r="E66">
        <v>1</v>
      </c>
      <c r="F66" t="str">
        <f>_xlfn.XLOOKUP(D66, Products!$A$2:$A$21, Products!$B$2:$B$21, "Not Found")</f>
        <v>Console Controller</v>
      </c>
      <c r="G66" t="str">
        <f>_xlfn.XLOOKUP(D66, Products!$A$2:$A$21, Products!$C$2:$C$21,"not found")</f>
        <v>Gaming</v>
      </c>
      <c r="H66" s="4">
        <f>_xlfn.XLOOKUP(D66, Products!$A$2:$A$21, Products!$E$2:$E$21, 0)</f>
        <v>99</v>
      </c>
      <c r="I66" s="4">
        <f>_xlfn.XLOOKUP(D66, Products!$A$2:$A$21, Products!$F$2:$F$21,0)</f>
        <v>58</v>
      </c>
      <c r="J66" t="str">
        <f>_xlfn.XLOOKUP(C66, Stores!$A$2:$A$7, Stores!$D$2:$D$7)</f>
        <v>Sydney South</v>
      </c>
      <c r="K66" s="4">
        <f t="shared" si="0"/>
        <v>99</v>
      </c>
      <c r="L66" s="4">
        <f t="shared" si="1"/>
        <v>41</v>
      </c>
      <c r="M66" s="10">
        <f>IF(Table1[[#This Row],[Revenue]]=0, "", Table1[[#This Row],[Profit]]/Table1[[#This Row],[Revenue]])</f>
        <v>0.41414141414141414</v>
      </c>
      <c r="N66" s="4" t="str">
        <f>IF(Table1[[#This Row],[Margin]]="", "check", IF(Table1[[#This Row],[Margin]]&lt;0.2, "Low", "OK"))</f>
        <v>OK</v>
      </c>
      <c r="O66" s="4" t="str" cm="1">
        <f t="array" ref="O66">_xlfn.IFS(Table1[[#This Row],[Revenue]]=0, "Check", Table1[[#This Row],[Revenue]]&gt;=1000, "Large", Table1[[#This Row],[Revenue]]&gt;=200, "Medium", TRUE, "Small")</f>
        <v>Small</v>
      </c>
      <c r="P66" s="4" t="str">
        <f>IF(AND(Table1[[#This Row],[Margin Flag]]="Low", Table1[[#This Row],[Revenue]]&gt;1000), "Review", "")</f>
        <v/>
      </c>
      <c r="Q66" s="4" t="str">
        <f>IF(OR(Table1[[#This Row],[Qty]]&gt;=5,Table1[[#This Row],[Order Size]] = "Large" ), "Bulk", "")</f>
        <v/>
      </c>
      <c r="R66" s="10">
        <f>_xlfn.XLOOKUP(G66, Lookup!$A$2:$A$7, Lookup!$B$2:$B$7, "")</f>
        <v>0.08</v>
      </c>
      <c r="S66" s="4" t="str">
        <f>IF(Table1[[#This Row],[Margin]]&lt;Table1[[#This Row],[Target Margin]], "Yes", "")</f>
        <v/>
      </c>
    </row>
    <row r="67" spans="1:19">
      <c r="A67" t="s">
        <v>108</v>
      </c>
      <c r="B67" s="2">
        <v>46212</v>
      </c>
      <c r="C67" t="s">
        <v>20</v>
      </c>
      <c r="D67" t="s">
        <v>38</v>
      </c>
      <c r="E67">
        <v>1</v>
      </c>
      <c r="F67" t="str">
        <f>_xlfn.XLOOKUP(D67, Products!$A$2:$A$21, Products!$B$2:$B$21, "Not Found")</f>
        <v>USB-C Charger</v>
      </c>
      <c r="G67" t="str">
        <f>_xlfn.XLOOKUP(D67, Products!$A$2:$A$21, Products!$C$2:$C$21,"not found")</f>
        <v>Accessories</v>
      </c>
      <c r="H67" s="4">
        <f>_xlfn.XLOOKUP(D67, Products!$A$2:$A$21, Products!$E$2:$E$21, 0)</f>
        <v>49</v>
      </c>
      <c r="I67" s="4">
        <f>_xlfn.XLOOKUP(D67, Products!$A$2:$A$21, Products!$F$2:$F$21,0)</f>
        <v>14</v>
      </c>
      <c r="J67" t="str">
        <f>_xlfn.XLOOKUP(C67, Stores!$A$2:$A$7, Stores!$D$2:$D$7)</f>
        <v>Sydney West</v>
      </c>
      <c r="K67" s="4">
        <f t="shared" ref="K67:K130" si="2" xml:space="preserve"> E67*H67</f>
        <v>49</v>
      </c>
      <c r="L67" s="4">
        <f t="shared" ref="L67:L130" si="3" xml:space="preserve"> K67 - (E67 * I67)</f>
        <v>35</v>
      </c>
      <c r="M67" s="10">
        <f>IF(Table1[[#This Row],[Revenue]]=0, "", Table1[[#This Row],[Profit]]/Table1[[#This Row],[Revenue]])</f>
        <v>0.7142857142857143</v>
      </c>
      <c r="N67" s="4" t="str">
        <f>IF(Table1[[#This Row],[Margin]]="", "check", IF(Table1[[#This Row],[Margin]]&lt;0.2, "Low", "OK"))</f>
        <v>OK</v>
      </c>
      <c r="O67" s="4" t="str" cm="1">
        <f t="array" ref="O67">_xlfn.IFS(Table1[[#This Row],[Revenue]]=0, "Check", Table1[[#This Row],[Revenue]]&gt;=1000, "Large", Table1[[#This Row],[Revenue]]&gt;=200, "Medium", TRUE, "Small")</f>
        <v>Small</v>
      </c>
      <c r="P67" s="4" t="str">
        <f>IF(AND(Table1[[#This Row],[Margin Flag]]="Low", Table1[[#This Row],[Revenue]]&gt;1000), "Review", "")</f>
        <v/>
      </c>
      <c r="Q67" s="4" t="str">
        <f>IF(OR(Table1[[#This Row],[Qty]]&gt;=5,Table1[[#This Row],[Order Size]] = "Large" ), "Bulk", "")</f>
        <v/>
      </c>
      <c r="R67" s="10">
        <f>_xlfn.XLOOKUP(G67, Lookup!$A$2:$A$7, Lookup!$B$2:$B$7, "")</f>
        <v>0.25</v>
      </c>
      <c r="S67" s="4" t="str">
        <f>IF(Table1[[#This Row],[Margin]]&lt;Table1[[#This Row],[Target Margin]], "Yes", "")</f>
        <v/>
      </c>
    </row>
    <row r="68" spans="1:19">
      <c r="A68" t="s">
        <v>109</v>
      </c>
      <c r="B68" s="2">
        <v>46212</v>
      </c>
      <c r="C68" t="s">
        <v>57</v>
      </c>
      <c r="D68" t="s">
        <v>30</v>
      </c>
      <c r="E68">
        <v>1</v>
      </c>
      <c r="F68" t="str">
        <f>_xlfn.XLOOKUP(D68, Products!$A$2:$A$21, Products!$B$2:$B$21, "Not Found")</f>
        <v>Video Game</v>
      </c>
      <c r="G68" t="str">
        <f>_xlfn.XLOOKUP(D68, Products!$A$2:$A$21, Products!$C$2:$C$21,"not found")</f>
        <v>Gaming</v>
      </c>
      <c r="H68" s="4">
        <f>_xlfn.XLOOKUP(D68, Products!$A$2:$A$21, Products!$E$2:$E$21, 0)</f>
        <v>79</v>
      </c>
      <c r="I68" s="4">
        <f>_xlfn.XLOOKUP(D68, Products!$A$2:$A$21, Products!$F$2:$F$21,0)</f>
        <v>52</v>
      </c>
      <c r="J68" t="str">
        <f>_xlfn.XLOOKUP(C68, Stores!$A$2:$A$7, Stores!$D$2:$D$7)</f>
        <v>Sydney South</v>
      </c>
      <c r="K68" s="4">
        <f t="shared" si="2"/>
        <v>79</v>
      </c>
      <c r="L68" s="4">
        <f t="shared" si="3"/>
        <v>27</v>
      </c>
      <c r="M68" s="10">
        <f>IF(Table1[[#This Row],[Revenue]]=0, "", Table1[[#This Row],[Profit]]/Table1[[#This Row],[Revenue]])</f>
        <v>0.34177215189873417</v>
      </c>
      <c r="N68" s="4" t="str">
        <f>IF(Table1[[#This Row],[Margin]]="", "check", IF(Table1[[#This Row],[Margin]]&lt;0.2, "Low", "OK"))</f>
        <v>OK</v>
      </c>
      <c r="O68" s="4" t="str" cm="1">
        <f t="array" ref="O68">_xlfn.IFS(Table1[[#This Row],[Revenue]]=0, "Check", Table1[[#This Row],[Revenue]]&gt;=1000, "Large", Table1[[#This Row],[Revenue]]&gt;=200, "Medium", TRUE, "Small")</f>
        <v>Small</v>
      </c>
      <c r="P68" s="4" t="str">
        <f>IF(AND(Table1[[#This Row],[Margin Flag]]="Low", Table1[[#This Row],[Revenue]]&gt;1000), "Review", "")</f>
        <v/>
      </c>
      <c r="Q68" s="4" t="str">
        <f>IF(OR(Table1[[#This Row],[Qty]]&gt;=5,Table1[[#This Row],[Order Size]] = "Large" ), "Bulk", "")</f>
        <v/>
      </c>
      <c r="R68" s="10">
        <f>_xlfn.XLOOKUP(G68, Lookup!$A$2:$A$7, Lookup!$B$2:$B$7, "")</f>
        <v>0.08</v>
      </c>
      <c r="S68" s="4" t="str">
        <f>IF(Table1[[#This Row],[Margin]]&lt;Table1[[#This Row],[Target Margin]], "Yes", "")</f>
        <v/>
      </c>
    </row>
    <row r="69" spans="1:19">
      <c r="A69" t="s">
        <v>110</v>
      </c>
      <c r="B69" s="2">
        <v>46212</v>
      </c>
      <c r="C69" t="s">
        <v>23</v>
      </c>
      <c r="D69" t="s">
        <v>38</v>
      </c>
      <c r="E69">
        <v>3</v>
      </c>
      <c r="F69" t="str">
        <f>_xlfn.XLOOKUP(D69, Products!$A$2:$A$21, Products!$B$2:$B$21, "Not Found")</f>
        <v>USB-C Charger</v>
      </c>
      <c r="G69" t="str">
        <f>_xlfn.XLOOKUP(D69, Products!$A$2:$A$21, Products!$C$2:$C$21,"not found")</f>
        <v>Accessories</v>
      </c>
      <c r="H69" s="4">
        <f>_xlfn.XLOOKUP(D69, Products!$A$2:$A$21, Products!$E$2:$E$21, 0)</f>
        <v>49</v>
      </c>
      <c r="I69" s="4">
        <f>_xlfn.XLOOKUP(D69, Products!$A$2:$A$21, Products!$F$2:$F$21,0)</f>
        <v>14</v>
      </c>
      <c r="J69" t="str">
        <f>_xlfn.XLOOKUP(C69, Stores!$A$2:$A$7, Stores!$D$2:$D$7)</f>
        <v>Sydney East</v>
      </c>
      <c r="K69" s="4">
        <f t="shared" si="2"/>
        <v>147</v>
      </c>
      <c r="L69" s="4">
        <f t="shared" si="3"/>
        <v>105</v>
      </c>
      <c r="M69" s="10">
        <f>IF(Table1[[#This Row],[Revenue]]=0, "", Table1[[#This Row],[Profit]]/Table1[[#This Row],[Revenue]])</f>
        <v>0.7142857142857143</v>
      </c>
      <c r="N69" s="4" t="str">
        <f>IF(Table1[[#This Row],[Margin]]="", "check", IF(Table1[[#This Row],[Margin]]&lt;0.2, "Low", "OK"))</f>
        <v>OK</v>
      </c>
      <c r="O69" s="4" t="str" cm="1">
        <f t="array" ref="O69">_xlfn.IFS(Table1[[#This Row],[Revenue]]=0, "Check", Table1[[#This Row],[Revenue]]&gt;=1000, "Large", Table1[[#This Row],[Revenue]]&gt;=200, "Medium", TRUE, "Small")</f>
        <v>Small</v>
      </c>
      <c r="P69" s="4" t="str">
        <f>IF(AND(Table1[[#This Row],[Margin Flag]]="Low", Table1[[#This Row],[Revenue]]&gt;1000), "Review", "")</f>
        <v/>
      </c>
      <c r="Q69" s="4" t="str">
        <f>IF(OR(Table1[[#This Row],[Qty]]&gt;=5,Table1[[#This Row],[Order Size]] = "Large" ), "Bulk", "")</f>
        <v/>
      </c>
      <c r="R69" s="10">
        <f>_xlfn.XLOOKUP(G69, Lookup!$A$2:$A$7, Lookup!$B$2:$B$7, "")</f>
        <v>0.25</v>
      </c>
      <c r="S69" s="4" t="str">
        <f>IF(Table1[[#This Row],[Margin]]&lt;Table1[[#This Row],[Target Margin]], "Yes", "")</f>
        <v/>
      </c>
    </row>
    <row r="70" spans="1:19">
      <c r="A70" t="s">
        <v>111</v>
      </c>
      <c r="B70" s="2">
        <v>46212</v>
      </c>
      <c r="C70" t="s">
        <v>29</v>
      </c>
      <c r="D70" t="s">
        <v>35</v>
      </c>
      <c r="E70">
        <v>1</v>
      </c>
      <c r="F70" t="str">
        <f>_xlfn.XLOOKUP(D70, Products!$A$2:$A$21, Products!$B$2:$B$21, "Not Found")</f>
        <v>Phone Case</v>
      </c>
      <c r="G70" t="str">
        <f>_xlfn.XLOOKUP(D70, Products!$A$2:$A$21, Products!$C$2:$C$21,"not found")</f>
        <v>Accessories</v>
      </c>
      <c r="H70" s="4">
        <f>_xlfn.XLOOKUP(D70, Products!$A$2:$A$21, Products!$E$2:$E$21, 0)</f>
        <v>39</v>
      </c>
      <c r="I70" s="4">
        <f>_xlfn.XLOOKUP(D70, Products!$A$2:$A$21, Products!$F$2:$F$21,0)</f>
        <v>9</v>
      </c>
      <c r="J70" t="str">
        <f>_xlfn.XLOOKUP(C70, Stores!$A$2:$A$7, Stores!$D$2:$D$7)</f>
        <v>Sydney West</v>
      </c>
      <c r="K70" s="4">
        <f t="shared" si="2"/>
        <v>39</v>
      </c>
      <c r="L70" s="4">
        <f t="shared" si="3"/>
        <v>30</v>
      </c>
      <c r="M70" s="10">
        <f>IF(Table1[[#This Row],[Revenue]]=0, "", Table1[[#This Row],[Profit]]/Table1[[#This Row],[Revenue]])</f>
        <v>0.76923076923076927</v>
      </c>
      <c r="N70" s="4" t="str">
        <f>IF(Table1[[#This Row],[Margin]]="", "check", IF(Table1[[#This Row],[Margin]]&lt;0.2, "Low", "OK"))</f>
        <v>OK</v>
      </c>
      <c r="O70" s="4" t="str" cm="1">
        <f t="array" ref="O70">_xlfn.IFS(Table1[[#This Row],[Revenue]]=0, "Check", Table1[[#This Row],[Revenue]]&gt;=1000, "Large", Table1[[#This Row],[Revenue]]&gt;=200, "Medium", TRUE, "Small")</f>
        <v>Small</v>
      </c>
      <c r="P70" s="4" t="str">
        <f>IF(AND(Table1[[#This Row],[Margin Flag]]="Low", Table1[[#This Row],[Revenue]]&gt;1000), "Review", "")</f>
        <v/>
      </c>
      <c r="Q70" s="4" t="str">
        <f>IF(OR(Table1[[#This Row],[Qty]]&gt;=5,Table1[[#This Row],[Order Size]] = "Large" ), "Bulk", "")</f>
        <v/>
      </c>
      <c r="R70" s="10">
        <f>_xlfn.XLOOKUP(G70, Lookup!$A$2:$A$7, Lookup!$B$2:$B$7, "")</f>
        <v>0.25</v>
      </c>
      <c r="S70" s="4" t="str">
        <f>IF(Table1[[#This Row],[Margin]]&lt;Table1[[#This Row],[Target Margin]], "Yes", "")</f>
        <v/>
      </c>
    </row>
    <row r="71" spans="1:19">
      <c r="A71" t="s">
        <v>112</v>
      </c>
      <c r="B71" s="2">
        <v>46212</v>
      </c>
      <c r="C71" t="s">
        <v>29</v>
      </c>
      <c r="D71" t="s">
        <v>58</v>
      </c>
      <c r="E71">
        <v>3</v>
      </c>
      <c r="F71" t="str">
        <f>_xlfn.XLOOKUP(D71, Products!$A$2:$A$21, Products!$B$2:$B$21, "Not Found")</f>
        <v>Mech Keyboard</v>
      </c>
      <c r="G71" t="str">
        <f>_xlfn.XLOOKUP(D71, Products!$A$2:$A$21, Products!$C$2:$C$21,"not found")</f>
        <v>Accessories</v>
      </c>
      <c r="H71" s="4">
        <f>_xlfn.XLOOKUP(D71, Products!$A$2:$A$21, Products!$E$2:$E$21, 0)</f>
        <v>149</v>
      </c>
      <c r="I71" s="4">
        <f>_xlfn.XLOOKUP(D71, Products!$A$2:$A$21, Products!$F$2:$F$21,0)</f>
        <v>72</v>
      </c>
      <c r="J71" t="str">
        <f>_xlfn.XLOOKUP(C71, Stores!$A$2:$A$7, Stores!$D$2:$D$7)</f>
        <v>Sydney West</v>
      </c>
      <c r="K71" s="4">
        <f t="shared" si="2"/>
        <v>447</v>
      </c>
      <c r="L71" s="4">
        <f t="shared" si="3"/>
        <v>231</v>
      </c>
      <c r="M71" s="10">
        <f>IF(Table1[[#This Row],[Revenue]]=0, "", Table1[[#This Row],[Profit]]/Table1[[#This Row],[Revenue]])</f>
        <v>0.51677852348993292</v>
      </c>
      <c r="N71" s="4" t="str">
        <f>IF(Table1[[#This Row],[Margin]]="", "check", IF(Table1[[#This Row],[Margin]]&lt;0.2, "Low", "OK"))</f>
        <v>OK</v>
      </c>
      <c r="O71" s="4" t="str" cm="1">
        <f t="array" ref="O71">_xlfn.IFS(Table1[[#This Row],[Revenue]]=0, "Check", Table1[[#This Row],[Revenue]]&gt;=1000, "Large", Table1[[#This Row],[Revenue]]&gt;=200, "Medium", TRUE, "Small")</f>
        <v>Medium</v>
      </c>
      <c r="P71" s="4" t="str">
        <f>IF(AND(Table1[[#This Row],[Margin Flag]]="Low", Table1[[#This Row],[Revenue]]&gt;1000), "Review", "")</f>
        <v/>
      </c>
      <c r="Q71" s="4" t="str">
        <f>IF(OR(Table1[[#This Row],[Qty]]&gt;=5,Table1[[#This Row],[Order Size]] = "Large" ), "Bulk", "")</f>
        <v/>
      </c>
      <c r="R71" s="10">
        <f>_xlfn.XLOOKUP(G71, Lookup!$A$2:$A$7, Lookup!$B$2:$B$7, "")</f>
        <v>0.25</v>
      </c>
      <c r="S71" s="4" t="str">
        <f>IF(Table1[[#This Row],[Margin]]&lt;Table1[[#This Row],[Target Margin]], "Yes", "")</f>
        <v/>
      </c>
    </row>
    <row r="72" spans="1:19">
      <c r="A72" t="s">
        <v>113</v>
      </c>
      <c r="B72" s="2">
        <v>46212</v>
      </c>
      <c r="C72" t="s">
        <v>32</v>
      </c>
      <c r="D72" t="s">
        <v>35</v>
      </c>
      <c r="E72">
        <v>1</v>
      </c>
      <c r="F72" t="str">
        <f>_xlfn.XLOOKUP(D72, Products!$A$2:$A$21, Products!$B$2:$B$21, "Not Found")</f>
        <v>Phone Case</v>
      </c>
      <c r="G72" t="str">
        <f>_xlfn.XLOOKUP(D72, Products!$A$2:$A$21, Products!$C$2:$C$21,"not found")</f>
        <v>Accessories</v>
      </c>
      <c r="H72" s="4">
        <f>_xlfn.XLOOKUP(D72, Products!$A$2:$A$21, Products!$E$2:$E$21, 0)</f>
        <v>39</v>
      </c>
      <c r="I72" s="4">
        <f>_xlfn.XLOOKUP(D72, Products!$A$2:$A$21, Products!$F$2:$F$21,0)</f>
        <v>9</v>
      </c>
      <c r="J72" t="str">
        <f>_xlfn.XLOOKUP(C72, Stores!$A$2:$A$7, Stores!$D$2:$D$7)</f>
        <v>Sydney South</v>
      </c>
      <c r="K72" s="4">
        <f t="shared" si="2"/>
        <v>39</v>
      </c>
      <c r="L72" s="4">
        <f t="shared" si="3"/>
        <v>30</v>
      </c>
      <c r="M72" s="10">
        <f>IF(Table1[[#This Row],[Revenue]]=0, "", Table1[[#This Row],[Profit]]/Table1[[#This Row],[Revenue]])</f>
        <v>0.76923076923076927</v>
      </c>
      <c r="N72" s="4" t="str">
        <f>IF(Table1[[#This Row],[Margin]]="", "check", IF(Table1[[#This Row],[Margin]]&lt;0.2, "Low", "OK"))</f>
        <v>OK</v>
      </c>
      <c r="O72" s="4" t="str" cm="1">
        <f t="array" ref="O72">_xlfn.IFS(Table1[[#This Row],[Revenue]]=0, "Check", Table1[[#This Row],[Revenue]]&gt;=1000, "Large", Table1[[#This Row],[Revenue]]&gt;=200, "Medium", TRUE, "Small")</f>
        <v>Small</v>
      </c>
      <c r="P72" s="4" t="str">
        <f>IF(AND(Table1[[#This Row],[Margin Flag]]="Low", Table1[[#This Row],[Revenue]]&gt;1000), "Review", "")</f>
        <v/>
      </c>
      <c r="Q72" s="4" t="str">
        <f>IF(OR(Table1[[#This Row],[Qty]]&gt;=5,Table1[[#This Row],[Order Size]] = "Large" ), "Bulk", "")</f>
        <v/>
      </c>
      <c r="R72" s="10">
        <f>_xlfn.XLOOKUP(G72, Lookup!$A$2:$A$7, Lookup!$B$2:$B$7, "")</f>
        <v>0.25</v>
      </c>
      <c r="S72" s="4" t="str">
        <f>IF(Table1[[#This Row],[Margin]]&lt;Table1[[#This Row],[Target Margin]], "Yes", "")</f>
        <v/>
      </c>
    </row>
    <row r="73" spans="1:19">
      <c r="A73" t="s">
        <v>114</v>
      </c>
      <c r="B73" s="2">
        <v>46212</v>
      </c>
      <c r="C73" t="s">
        <v>20</v>
      </c>
      <c r="D73" t="s">
        <v>21</v>
      </c>
      <c r="E73">
        <v>2</v>
      </c>
      <c r="F73" t="str">
        <f>_xlfn.XLOOKUP(D73, Products!$A$2:$A$21, Products!$B$2:$B$21, "Not Found")</f>
        <v>Gaming Mouse</v>
      </c>
      <c r="G73" t="str">
        <f>_xlfn.XLOOKUP(D73, Products!$A$2:$A$21, Products!$C$2:$C$21,"not found")</f>
        <v>Accessories</v>
      </c>
      <c r="H73" s="4">
        <f>_xlfn.XLOOKUP(D73, Products!$A$2:$A$21, Products!$E$2:$E$21, 0)</f>
        <v>89</v>
      </c>
      <c r="I73" s="4">
        <f>_xlfn.XLOOKUP(D73, Products!$A$2:$A$21, Products!$F$2:$F$21,0)</f>
        <v>41</v>
      </c>
      <c r="J73" t="str">
        <f>_xlfn.XLOOKUP(C73, Stores!$A$2:$A$7, Stores!$D$2:$D$7)</f>
        <v>Sydney West</v>
      </c>
      <c r="K73" s="4">
        <f t="shared" si="2"/>
        <v>178</v>
      </c>
      <c r="L73" s="4">
        <f t="shared" si="3"/>
        <v>96</v>
      </c>
      <c r="M73" s="10">
        <f>IF(Table1[[#This Row],[Revenue]]=0, "", Table1[[#This Row],[Profit]]/Table1[[#This Row],[Revenue]])</f>
        <v>0.5393258426966292</v>
      </c>
      <c r="N73" s="4" t="str">
        <f>IF(Table1[[#This Row],[Margin]]="", "check", IF(Table1[[#This Row],[Margin]]&lt;0.2, "Low", "OK"))</f>
        <v>OK</v>
      </c>
      <c r="O73" s="4" t="str" cm="1">
        <f t="array" ref="O73">_xlfn.IFS(Table1[[#This Row],[Revenue]]=0, "Check", Table1[[#This Row],[Revenue]]&gt;=1000, "Large", Table1[[#This Row],[Revenue]]&gt;=200, "Medium", TRUE, "Small")</f>
        <v>Small</v>
      </c>
      <c r="P73" s="4" t="str">
        <f>IF(AND(Table1[[#This Row],[Margin Flag]]="Low", Table1[[#This Row],[Revenue]]&gt;1000), "Review", "")</f>
        <v/>
      </c>
      <c r="Q73" s="4" t="str">
        <f>IF(OR(Table1[[#This Row],[Qty]]&gt;=5,Table1[[#This Row],[Order Size]] = "Large" ), "Bulk", "")</f>
        <v/>
      </c>
      <c r="R73" s="10">
        <f>_xlfn.XLOOKUP(G73, Lookup!$A$2:$A$7, Lookup!$B$2:$B$7, "")</f>
        <v>0.25</v>
      </c>
      <c r="S73" s="4" t="str">
        <f>IF(Table1[[#This Row],[Margin]]&lt;Table1[[#This Row],[Target Margin]], "Yes", "")</f>
        <v/>
      </c>
    </row>
    <row r="74" spans="1:19">
      <c r="A74" t="s">
        <v>115</v>
      </c>
      <c r="B74" s="2">
        <v>46212</v>
      </c>
      <c r="C74" t="s">
        <v>57</v>
      </c>
      <c r="D74" t="s">
        <v>27</v>
      </c>
      <c r="E74">
        <v>2</v>
      </c>
      <c r="F74" t="str">
        <f>_xlfn.XLOOKUP(D74, Products!$A$2:$A$21, Products!$B$2:$B$21, "Not Found")</f>
        <v>Bluetooth Speaker</v>
      </c>
      <c r="G74" t="str">
        <f>_xlfn.XLOOKUP(D74, Products!$A$2:$A$21, Products!$C$2:$C$21,"not found")</f>
        <v>Audio</v>
      </c>
      <c r="H74" s="4">
        <f>_xlfn.XLOOKUP(D74, Products!$A$2:$A$21, Products!$E$2:$E$21, 0)</f>
        <v>179</v>
      </c>
      <c r="I74" s="4">
        <f>_xlfn.XLOOKUP(D74, Products!$A$2:$A$21, Products!$F$2:$F$21,0)</f>
        <v>95</v>
      </c>
      <c r="J74" t="str">
        <f>_xlfn.XLOOKUP(C74, Stores!$A$2:$A$7, Stores!$D$2:$D$7)</f>
        <v>Sydney South</v>
      </c>
      <c r="K74" s="4">
        <f t="shared" si="2"/>
        <v>358</v>
      </c>
      <c r="L74" s="4">
        <f t="shared" si="3"/>
        <v>168</v>
      </c>
      <c r="M74" s="10">
        <f>IF(Table1[[#This Row],[Revenue]]=0, "", Table1[[#This Row],[Profit]]/Table1[[#This Row],[Revenue]])</f>
        <v>0.46927374301675978</v>
      </c>
      <c r="N74" s="4" t="str">
        <f>IF(Table1[[#This Row],[Margin]]="", "check", IF(Table1[[#This Row],[Margin]]&lt;0.2, "Low", "OK"))</f>
        <v>OK</v>
      </c>
      <c r="O74" s="4" t="str" cm="1">
        <f t="array" ref="O74">_xlfn.IFS(Table1[[#This Row],[Revenue]]=0, "Check", Table1[[#This Row],[Revenue]]&gt;=1000, "Large", Table1[[#This Row],[Revenue]]&gt;=200, "Medium", TRUE, "Small")</f>
        <v>Medium</v>
      </c>
      <c r="P74" s="4" t="str">
        <f>IF(AND(Table1[[#This Row],[Margin Flag]]="Low", Table1[[#This Row],[Revenue]]&gt;1000), "Review", "")</f>
        <v/>
      </c>
      <c r="Q74" s="4" t="str">
        <f>IF(OR(Table1[[#This Row],[Qty]]&gt;=5,Table1[[#This Row],[Order Size]] = "Large" ), "Bulk", "")</f>
        <v/>
      </c>
      <c r="R74" s="10">
        <f>_xlfn.XLOOKUP(G74, Lookup!$A$2:$A$7, Lookup!$B$2:$B$7, "")</f>
        <v>0.25</v>
      </c>
      <c r="S74" s="4" t="str">
        <f>IF(Table1[[#This Row],[Margin]]&lt;Table1[[#This Row],[Target Margin]], "Yes", "")</f>
        <v/>
      </c>
    </row>
    <row r="75" spans="1:19">
      <c r="A75" t="s">
        <v>116</v>
      </c>
      <c r="B75" s="2">
        <v>46213</v>
      </c>
      <c r="C75" t="s">
        <v>20</v>
      </c>
      <c r="D75" t="s">
        <v>30</v>
      </c>
      <c r="E75">
        <v>1</v>
      </c>
      <c r="F75" t="str">
        <f>_xlfn.XLOOKUP(D75, Products!$A$2:$A$21, Products!$B$2:$B$21, "Not Found")</f>
        <v>Video Game</v>
      </c>
      <c r="G75" t="str">
        <f>_xlfn.XLOOKUP(D75, Products!$A$2:$A$21, Products!$C$2:$C$21,"not found")</f>
        <v>Gaming</v>
      </c>
      <c r="H75" s="4">
        <f>_xlfn.XLOOKUP(D75, Products!$A$2:$A$21, Products!$E$2:$E$21, 0)</f>
        <v>79</v>
      </c>
      <c r="I75" s="4">
        <f>_xlfn.XLOOKUP(D75, Products!$A$2:$A$21, Products!$F$2:$F$21,0)</f>
        <v>52</v>
      </c>
      <c r="J75" t="str">
        <f>_xlfn.XLOOKUP(C75, Stores!$A$2:$A$7, Stores!$D$2:$D$7)</f>
        <v>Sydney West</v>
      </c>
      <c r="K75" s="4">
        <f t="shared" si="2"/>
        <v>79</v>
      </c>
      <c r="L75" s="4">
        <f t="shared" si="3"/>
        <v>27</v>
      </c>
      <c r="M75" s="10">
        <f>IF(Table1[[#This Row],[Revenue]]=0, "", Table1[[#This Row],[Profit]]/Table1[[#This Row],[Revenue]])</f>
        <v>0.34177215189873417</v>
      </c>
      <c r="N75" s="4" t="str">
        <f>IF(Table1[[#This Row],[Margin]]="", "check", IF(Table1[[#This Row],[Margin]]&lt;0.2, "Low", "OK"))</f>
        <v>OK</v>
      </c>
      <c r="O75" s="4" t="str" cm="1">
        <f t="array" ref="O75">_xlfn.IFS(Table1[[#This Row],[Revenue]]=0, "Check", Table1[[#This Row],[Revenue]]&gt;=1000, "Large", Table1[[#This Row],[Revenue]]&gt;=200, "Medium", TRUE, "Small")</f>
        <v>Small</v>
      </c>
      <c r="P75" s="4" t="str">
        <f>IF(AND(Table1[[#This Row],[Margin Flag]]="Low", Table1[[#This Row],[Revenue]]&gt;1000), "Review", "")</f>
        <v/>
      </c>
      <c r="Q75" s="4" t="str">
        <f>IF(OR(Table1[[#This Row],[Qty]]&gt;=5,Table1[[#This Row],[Order Size]] = "Large" ), "Bulk", "")</f>
        <v/>
      </c>
      <c r="R75" s="10">
        <f>_xlfn.XLOOKUP(G75, Lookup!$A$2:$A$7, Lookup!$B$2:$B$7, "")</f>
        <v>0.08</v>
      </c>
      <c r="S75" s="4" t="str">
        <f>IF(Table1[[#This Row],[Margin]]&lt;Table1[[#This Row],[Target Margin]], "Yes", "")</f>
        <v/>
      </c>
    </row>
    <row r="76" spans="1:19">
      <c r="A76" t="s">
        <v>117</v>
      </c>
      <c r="B76" s="2">
        <v>46213</v>
      </c>
      <c r="C76" t="s">
        <v>23</v>
      </c>
      <c r="D76" t="s">
        <v>38</v>
      </c>
      <c r="E76">
        <v>1</v>
      </c>
      <c r="F76" t="str">
        <f>_xlfn.XLOOKUP(D76, Products!$A$2:$A$21, Products!$B$2:$B$21, "Not Found")</f>
        <v>USB-C Charger</v>
      </c>
      <c r="G76" t="str">
        <f>_xlfn.XLOOKUP(D76, Products!$A$2:$A$21, Products!$C$2:$C$21,"not found")</f>
        <v>Accessories</v>
      </c>
      <c r="H76" s="4">
        <f>_xlfn.XLOOKUP(D76, Products!$A$2:$A$21, Products!$E$2:$E$21, 0)</f>
        <v>49</v>
      </c>
      <c r="I76" s="4">
        <f>_xlfn.XLOOKUP(D76, Products!$A$2:$A$21, Products!$F$2:$F$21,0)</f>
        <v>14</v>
      </c>
      <c r="J76" t="str">
        <f>_xlfn.XLOOKUP(C76, Stores!$A$2:$A$7, Stores!$D$2:$D$7)</f>
        <v>Sydney East</v>
      </c>
      <c r="K76" s="4">
        <f t="shared" si="2"/>
        <v>49</v>
      </c>
      <c r="L76" s="4">
        <f t="shared" si="3"/>
        <v>35</v>
      </c>
      <c r="M76" s="10">
        <f>IF(Table1[[#This Row],[Revenue]]=0, "", Table1[[#This Row],[Profit]]/Table1[[#This Row],[Revenue]])</f>
        <v>0.7142857142857143</v>
      </c>
      <c r="N76" s="4" t="str">
        <f>IF(Table1[[#This Row],[Margin]]="", "check", IF(Table1[[#This Row],[Margin]]&lt;0.2, "Low", "OK"))</f>
        <v>OK</v>
      </c>
      <c r="O76" s="4" t="str" cm="1">
        <f t="array" ref="O76">_xlfn.IFS(Table1[[#This Row],[Revenue]]=0, "Check", Table1[[#This Row],[Revenue]]&gt;=1000, "Large", Table1[[#This Row],[Revenue]]&gt;=200, "Medium", TRUE, "Small")</f>
        <v>Small</v>
      </c>
      <c r="P76" s="4" t="str">
        <f>IF(AND(Table1[[#This Row],[Margin Flag]]="Low", Table1[[#This Row],[Revenue]]&gt;1000), "Review", "")</f>
        <v/>
      </c>
      <c r="Q76" s="4" t="str">
        <f>IF(OR(Table1[[#This Row],[Qty]]&gt;=5,Table1[[#This Row],[Order Size]] = "Large" ), "Bulk", "")</f>
        <v/>
      </c>
      <c r="R76" s="10">
        <f>_xlfn.XLOOKUP(G76, Lookup!$A$2:$A$7, Lookup!$B$2:$B$7, "")</f>
        <v>0.25</v>
      </c>
      <c r="S76" s="4" t="str">
        <f>IF(Table1[[#This Row],[Margin]]&lt;Table1[[#This Row],[Target Margin]], "Yes", "")</f>
        <v/>
      </c>
    </row>
    <row r="77" spans="1:19">
      <c r="A77" t="s">
        <v>118</v>
      </c>
      <c r="B77" s="2">
        <v>46213</v>
      </c>
      <c r="C77" t="s">
        <v>29</v>
      </c>
      <c r="D77" t="s">
        <v>43</v>
      </c>
      <c r="E77">
        <v>1</v>
      </c>
      <c r="F77" t="str">
        <f>_xlfn.XLOOKUP(D77, Products!$A$2:$A$21, Products!$B$2:$B$21, "Not Found")</f>
        <v>Console Controller</v>
      </c>
      <c r="G77" t="str">
        <f>_xlfn.XLOOKUP(D77, Products!$A$2:$A$21, Products!$C$2:$C$21,"not found")</f>
        <v>Gaming</v>
      </c>
      <c r="H77" s="4">
        <f>_xlfn.XLOOKUP(D77, Products!$A$2:$A$21, Products!$E$2:$E$21, 0)</f>
        <v>99</v>
      </c>
      <c r="I77" s="4">
        <f>_xlfn.XLOOKUP(D77, Products!$A$2:$A$21, Products!$F$2:$F$21,0)</f>
        <v>58</v>
      </c>
      <c r="J77" t="str">
        <f>_xlfn.XLOOKUP(C77, Stores!$A$2:$A$7, Stores!$D$2:$D$7)</f>
        <v>Sydney West</v>
      </c>
      <c r="K77" s="4">
        <f t="shared" si="2"/>
        <v>99</v>
      </c>
      <c r="L77" s="4">
        <f t="shared" si="3"/>
        <v>41</v>
      </c>
      <c r="M77" s="10">
        <f>IF(Table1[[#This Row],[Revenue]]=0, "", Table1[[#This Row],[Profit]]/Table1[[#This Row],[Revenue]])</f>
        <v>0.41414141414141414</v>
      </c>
      <c r="N77" s="4" t="str">
        <f>IF(Table1[[#This Row],[Margin]]="", "check", IF(Table1[[#This Row],[Margin]]&lt;0.2, "Low", "OK"))</f>
        <v>OK</v>
      </c>
      <c r="O77" s="4" t="str" cm="1">
        <f t="array" ref="O77">_xlfn.IFS(Table1[[#This Row],[Revenue]]=0, "Check", Table1[[#This Row],[Revenue]]&gt;=1000, "Large", Table1[[#This Row],[Revenue]]&gt;=200, "Medium", TRUE, "Small")</f>
        <v>Small</v>
      </c>
      <c r="P77" s="4" t="str">
        <f>IF(AND(Table1[[#This Row],[Margin Flag]]="Low", Table1[[#This Row],[Revenue]]&gt;1000), "Review", "")</f>
        <v/>
      </c>
      <c r="Q77" s="4" t="str">
        <f>IF(OR(Table1[[#This Row],[Qty]]&gt;=5,Table1[[#This Row],[Order Size]] = "Large" ), "Bulk", "")</f>
        <v/>
      </c>
      <c r="R77" s="10">
        <f>_xlfn.XLOOKUP(G77, Lookup!$A$2:$A$7, Lookup!$B$2:$B$7, "")</f>
        <v>0.08</v>
      </c>
      <c r="S77" s="4" t="str">
        <f>IF(Table1[[#This Row],[Margin]]&lt;Table1[[#This Row],[Target Margin]], "Yes", "")</f>
        <v/>
      </c>
    </row>
    <row r="78" spans="1:19">
      <c r="A78" t="s">
        <v>119</v>
      </c>
      <c r="B78" s="2">
        <v>46213</v>
      </c>
      <c r="C78" t="s">
        <v>57</v>
      </c>
      <c r="D78" t="s">
        <v>58</v>
      </c>
      <c r="E78">
        <v>2</v>
      </c>
      <c r="F78" t="str">
        <f>_xlfn.XLOOKUP(D78, Products!$A$2:$A$21, Products!$B$2:$B$21, "Not Found")</f>
        <v>Mech Keyboard</v>
      </c>
      <c r="G78" t="str">
        <f>_xlfn.XLOOKUP(D78, Products!$A$2:$A$21, Products!$C$2:$C$21,"not found")</f>
        <v>Accessories</v>
      </c>
      <c r="H78" s="4">
        <f>_xlfn.XLOOKUP(D78, Products!$A$2:$A$21, Products!$E$2:$E$21, 0)</f>
        <v>149</v>
      </c>
      <c r="I78" s="4">
        <f>_xlfn.XLOOKUP(D78, Products!$A$2:$A$21, Products!$F$2:$F$21,0)</f>
        <v>72</v>
      </c>
      <c r="J78" t="str">
        <f>_xlfn.XLOOKUP(C78, Stores!$A$2:$A$7, Stores!$D$2:$D$7)</f>
        <v>Sydney South</v>
      </c>
      <c r="K78" s="4">
        <f t="shared" si="2"/>
        <v>298</v>
      </c>
      <c r="L78" s="4">
        <f t="shared" si="3"/>
        <v>154</v>
      </c>
      <c r="M78" s="10">
        <f>IF(Table1[[#This Row],[Revenue]]=0, "", Table1[[#This Row],[Profit]]/Table1[[#This Row],[Revenue]])</f>
        <v>0.51677852348993292</v>
      </c>
      <c r="N78" s="4" t="str">
        <f>IF(Table1[[#This Row],[Margin]]="", "check", IF(Table1[[#This Row],[Margin]]&lt;0.2, "Low", "OK"))</f>
        <v>OK</v>
      </c>
      <c r="O78" s="4" t="str" cm="1">
        <f t="array" ref="O78">_xlfn.IFS(Table1[[#This Row],[Revenue]]=0, "Check", Table1[[#This Row],[Revenue]]&gt;=1000, "Large", Table1[[#This Row],[Revenue]]&gt;=200, "Medium", TRUE, "Small")</f>
        <v>Medium</v>
      </c>
      <c r="P78" s="4" t="str">
        <f>IF(AND(Table1[[#This Row],[Margin Flag]]="Low", Table1[[#This Row],[Revenue]]&gt;1000), "Review", "")</f>
        <v/>
      </c>
      <c r="Q78" s="4" t="str">
        <f>IF(OR(Table1[[#This Row],[Qty]]&gt;=5,Table1[[#This Row],[Order Size]] = "Large" ), "Bulk", "")</f>
        <v/>
      </c>
      <c r="R78" s="10">
        <f>_xlfn.XLOOKUP(G78, Lookup!$A$2:$A$7, Lookup!$B$2:$B$7, "")</f>
        <v>0.25</v>
      </c>
      <c r="S78" s="4" t="str">
        <f>IF(Table1[[#This Row],[Margin]]&lt;Table1[[#This Row],[Target Margin]], "Yes", "")</f>
        <v/>
      </c>
    </row>
    <row r="79" spans="1:19">
      <c r="A79" t="s">
        <v>120</v>
      </c>
      <c r="B79" s="2">
        <v>46214</v>
      </c>
      <c r="C79" t="s">
        <v>57</v>
      </c>
      <c r="D79" t="s">
        <v>99</v>
      </c>
      <c r="E79">
        <v>1</v>
      </c>
      <c r="F79" t="str">
        <f>_xlfn.XLOOKUP(D79, Products!$A$2:$A$21, Products!$B$2:$B$21, "Not Found")</f>
        <v>Smartphone 256GB</v>
      </c>
      <c r="G79" t="str">
        <f>_xlfn.XLOOKUP(D79, Products!$A$2:$A$21, Products!$C$2:$C$21,"not found")</f>
        <v>Phones</v>
      </c>
      <c r="H79" s="4">
        <f>_xlfn.XLOOKUP(D79, Products!$A$2:$A$21, Products!$E$2:$E$21, 0)</f>
        <v>1499</v>
      </c>
      <c r="I79" s="4">
        <f>_xlfn.XLOOKUP(D79, Products!$A$2:$A$21, Products!$F$2:$F$21,0)</f>
        <v>1180</v>
      </c>
      <c r="J79" t="str">
        <f>_xlfn.XLOOKUP(C79, Stores!$A$2:$A$7, Stores!$D$2:$D$7)</f>
        <v>Sydney South</v>
      </c>
      <c r="K79" s="4">
        <f t="shared" si="2"/>
        <v>1499</v>
      </c>
      <c r="L79" s="4">
        <f t="shared" si="3"/>
        <v>319</v>
      </c>
      <c r="M79" s="10">
        <f>IF(Table1[[#This Row],[Revenue]]=0, "", Table1[[#This Row],[Profit]]/Table1[[#This Row],[Revenue]])</f>
        <v>0.21280853902601735</v>
      </c>
      <c r="N79" s="4" t="str">
        <f>IF(Table1[[#This Row],[Margin]]="", "check", IF(Table1[[#This Row],[Margin]]&lt;0.2, "Low", "OK"))</f>
        <v>OK</v>
      </c>
      <c r="O79" s="4" t="str" cm="1">
        <f t="array" ref="O79">_xlfn.IFS(Table1[[#This Row],[Revenue]]=0, "Check", Table1[[#This Row],[Revenue]]&gt;=1000, "Large", Table1[[#This Row],[Revenue]]&gt;=200, "Medium", TRUE, "Small")</f>
        <v>Large</v>
      </c>
      <c r="P79" s="4" t="str">
        <f>IF(AND(Table1[[#This Row],[Margin Flag]]="Low", Table1[[#This Row],[Revenue]]&gt;1000), "Review", "")</f>
        <v/>
      </c>
      <c r="Q79" s="4" t="str">
        <f>IF(OR(Table1[[#This Row],[Qty]]&gt;=5,Table1[[#This Row],[Order Size]] = "Large" ), "Bulk", "")</f>
        <v>Bulk</v>
      </c>
      <c r="R79" s="10">
        <f>_xlfn.XLOOKUP(G79, Lookup!$A$2:$A$7, Lookup!$B$2:$B$7, "")</f>
        <v>0.25</v>
      </c>
      <c r="S79" s="4" t="str">
        <f>IF(Table1[[#This Row],[Margin]]&lt;Table1[[#This Row],[Target Margin]], "Yes", "")</f>
        <v>Yes</v>
      </c>
    </row>
    <row r="80" spans="1:19">
      <c r="A80" t="s">
        <v>121</v>
      </c>
      <c r="B80" s="2">
        <v>46214</v>
      </c>
      <c r="C80" t="s">
        <v>32</v>
      </c>
      <c r="D80" t="s">
        <v>30</v>
      </c>
      <c r="E80">
        <v>1</v>
      </c>
      <c r="F80" t="str">
        <f>_xlfn.XLOOKUP(D80, Products!$A$2:$A$21, Products!$B$2:$B$21, "Not Found")</f>
        <v>Video Game</v>
      </c>
      <c r="G80" t="str">
        <f>_xlfn.XLOOKUP(D80, Products!$A$2:$A$21, Products!$C$2:$C$21,"not found")</f>
        <v>Gaming</v>
      </c>
      <c r="H80" s="4">
        <f>_xlfn.XLOOKUP(D80, Products!$A$2:$A$21, Products!$E$2:$E$21, 0)</f>
        <v>79</v>
      </c>
      <c r="I80" s="4">
        <f>_xlfn.XLOOKUP(D80, Products!$A$2:$A$21, Products!$F$2:$F$21,0)</f>
        <v>52</v>
      </c>
      <c r="J80" t="str">
        <f>_xlfn.XLOOKUP(C80, Stores!$A$2:$A$7, Stores!$D$2:$D$7)</f>
        <v>Sydney South</v>
      </c>
      <c r="K80" s="4">
        <f t="shared" si="2"/>
        <v>79</v>
      </c>
      <c r="L80" s="4">
        <f t="shared" si="3"/>
        <v>27</v>
      </c>
      <c r="M80" s="10">
        <f>IF(Table1[[#This Row],[Revenue]]=0, "", Table1[[#This Row],[Profit]]/Table1[[#This Row],[Revenue]])</f>
        <v>0.34177215189873417</v>
      </c>
      <c r="N80" s="4" t="str">
        <f>IF(Table1[[#This Row],[Margin]]="", "check", IF(Table1[[#This Row],[Margin]]&lt;0.2, "Low", "OK"))</f>
        <v>OK</v>
      </c>
      <c r="O80" s="4" t="str" cm="1">
        <f t="array" ref="O80">_xlfn.IFS(Table1[[#This Row],[Revenue]]=0, "Check", Table1[[#This Row],[Revenue]]&gt;=1000, "Large", Table1[[#This Row],[Revenue]]&gt;=200, "Medium", TRUE, "Small")</f>
        <v>Small</v>
      </c>
      <c r="P80" s="4" t="str">
        <f>IF(AND(Table1[[#This Row],[Margin Flag]]="Low", Table1[[#This Row],[Revenue]]&gt;1000), "Review", "")</f>
        <v/>
      </c>
      <c r="Q80" s="4" t="str">
        <f>IF(OR(Table1[[#This Row],[Qty]]&gt;=5,Table1[[#This Row],[Order Size]] = "Large" ), "Bulk", "")</f>
        <v/>
      </c>
      <c r="R80" s="10">
        <f>_xlfn.XLOOKUP(G80, Lookup!$A$2:$A$7, Lookup!$B$2:$B$7, "")</f>
        <v>0.08</v>
      </c>
      <c r="S80" s="4" t="str">
        <f>IF(Table1[[#This Row],[Margin]]&lt;Table1[[#This Row],[Target Margin]], "Yes", "")</f>
        <v/>
      </c>
    </row>
    <row r="81" spans="1:19">
      <c r="A81" t="s">
        <v>122</v>
      </c>
      <c r="B81" s="2">
        <v>46214</v>
      </c>
      <c r="C81" t="s">
        <v>20</v>
      </c>
      <c r="D81" t="s">
        <v>30</v>
      </c>
      <c r="E81">
        <v>1</v>
      </c>
      <c r="F81" t="str">
        <f>_xlfn.XLOOKUP(D81, Products!$A$2:$A$21, Products!$B$2:$B$21, "Not Found")</f>
        <v>Video Game</v>
      </c>
      <c r="G81" t="str">
        <f>_xlfn.XLOOKUP(D81, Products!$A$2:$A$21, Products!$C$2:$C$21,"not found")</f>
        <v>Gaming</v>
      </c>
      <c r="H81" s="4">
        <f>_xlfn.XLOOKUP(D81, Products!$A$2:$A$21, Products!$E$2:$E$21, 0)</f>
        <v>79</v>
      </c>
      <c r="I81" s="4">
        <f>_xlfn.XLOOKUP(D81, Products!$A$2:$A$21, Products!$F$2:$F$21,0)</f>
        <v>52</v>
      </c>
      <c r="J81" t="str">
        <f>_xlfn.XLOOKUP(C81, Stores!$A$2:$A$7, Stores!$D$2:$D$7)</f>
        <v>Sydney West</v>
      </c>
      <c r="K81" s="4">
        <f t="shared" si="2"/>
        <v>79</v>
      </c>
      <c r="L81" s="4">
        <f t="shared" si="3"/>
        <v>27</v>
      </c>
      <c r="M81" s="10">
        <f>IF(Table1[[#This Row],[Revenue]]=0, "", Table1[[#This Row],[Profit]]/Table1[[#This Row],[Revenue]])</f>
        <v>0.34177215189873417</v>
      </c>
      <c r="N81" s="4" t="str">
        <f>IF(Table1[[#This Row],[Margin]]="", "check", IF(Table1[[#This Row],[Margin]]&lt;0.2, "Low", "OK"))</f>
        <v>OK</v>
      </c>
      <c r="O81" s="4" t="str" cm="1">
        <f t="array" ref="O81">_xlfn.IFS(Table1[[#This Row],[Revenue]]=0, "Check", Table1[[#This Row],[Revenue]]&gt;=1000, "Large", Table1[[#This Row],[Revenue]]&gt;=200, "Medium", TRUE, "Small")</f>
        <v>Small</v>
      </c>
      <c r="P81" s="4" t="str">
        <f>IF(AND(Table1[[#This Row],[Margin Flag]]="Low", Table1[[#This Row],[Revenue]]&gt;1000), "Review", "")</f>
        <v/>
      </c>
      <c r="Q81" s="4" t="str">
        <f>IF(OR(Table1[[#This Row],[Qty]]&gt;=5,Table1[[#This Row],[Order Size]] = "Large" ), "Bulk", "")</f>
        <v/>
      </c>
      <c r="R81" s="10">
        <f>_xlfn.XLOOKUP(G81, Lookup!$A$2:$A$7, Lookup!$B$2:$B$7, "")</f>
        <v>0.08</v>
      </c>
      <c r="S81" s="4" t="str">
        <f>IF(Table1[[#This Row],[Margin]]&lt;Table1[[#This Row],[Target Margin]], "Yes", "")</f>
        <v/>
      </c>
    </row>
    <row r="82" spans="1:19">
      <c r="A82" t="s">
        <v>123</v>
      </c>
      <c r="B82" s="2">
        <v>46214</v>
      </c>
      <c r="C82" t="s">
        <v>26</v>
      </c>
      <c r="D82" t="s">
        <v>58</v>
      </c>
      <c r="E82">
        <v>1</v>
      </c>
      <c r="F82" t="str">
        <f>_xlfn.XLOOKUP(D82, Products!$A$2:$A$21, Products!$B$2:$B$21, "Not Found")</f>
        <v>Mech Keyboard</v>
      </c>
      <c r="G82" t="str">
        <f>_xlfn.XLOOKUP(D82, Products!$A$2:$A$21, Products!$C$2:$C$21,"not found")</f>
        <v>Accessories</v>
      </c>
      <c r="H82" s="4">
        <f>_xlfn.XLOOKUP(D82, Products!$A$2:$A$21, Products!$E$2:$E$21, 0)</f>
        <v>149</v>
      </c>
      <c r="I82" s="4">
        <f>_xlfn.XLOOKUP(D82, Products!$A$2:$A$21, Products!$F$2:$F$21,0)</f>
        <v>72</v>
      </c>
      <c r="J82" t="str">
        <f>_xlfn.XLOOKUP(C82, Stores!$A$2:$A$7, Stores!$D$2:$D$7)</f>
        <v>Sydney North</v>
      </c>
      <c r="K82" s="4">
        <f t="shared" si="2"/>
        <v>149</v>
      </c>
      <c r="L82" s="4">
        <f t="shared" si="3"/>
        <v>77</v>
      </c>
      <c r="M82" s="10">
        <f>IF(Table1[[#This Row],[Revenue]]=0, "", Table1[[#This Row],[Profit]]/Table1[[#This Row],[Revenue]])</f>
        <v>0.51677852348993292</v>
      </c>
      <c r="N82" s="4" t="str">
        <f>IF(Table1[[#This Row],[Margin]]="", "check", IF(Table1[[#This Row],[Margin]]&lt;0.2, "Low", "OK"))</f>
        <v>OK</v>
      </c>
      <c r="O82" s="4" t="str" cm="1">
        <f t="array" ref="O82">_xlfn.IFS(Table1[[#This Row],[Revenue]]=0, "Check", Table1[[#This Row],[Revenue]]&gt;=1000, "Large", Table1[[#This Row],[Revenue]]&gt;=200, "Medium", TRUE, "Small")</f>
        <v>Small</v>
      </c>
      <c r="P82" s="4" t="str">
        <f>IF(AND(Table1[[#This Row],[Margin Flag]]="Low", Table1[[#This Row],[Revenue]]&gt;1000), "Review", "")</f>
        <v/>
      </c>
      <c r="Q82" s="4" t="str">
        <f>IF(OR(Table1[[#This Row],[Qty]]&gt;=5,Table1[[#This Row],[Order Size]] = "Large" ), "Bulk", "")</f>
        <v/>
      </c>
      <c r="R82" s="10">
        <f>_xlfn.XLOOKUP(G82, Lookup!$A$2:$A$7, Lookup!$B$2:$B$7, "")</f>
        <v>0.25</v>
      </c>
      <c r="S82" s="4" t="str">
        <f>IF(Table1[[#This Row],[Margin]]&lt;Table1[[#This Row],[Target Margin]], "Yes", "")</f>
        <v/>
      </c>
    </row>
    <row r="83" spans="1:19">
      <c r="A83" t="s">
        <v>124</v>
      </c>
      <c r="B83" s="2">
        <v>46214</v>
      </c>
      <c r="C83" t="s">
        <v>20</v>
      </c>
      <c r="D83" t="s">
        <v>35</v>
      </c>
      <c r="E83">
        <v>2</v>
      </c>
      <c r="F83" t="str">
        <f>_xlfn.XLOOKUP(D83, Products!$A$2:$A$21, Products!$B$2:$B$21, "Not Found")</f>
        <v>Phone Case</v>
      </c>
      <c r="G83" t="str">
        <f>_xlfn.XLOOKUP(D83, Products!$A$2:$A$21, Products!$C$2:$C$21,"not found")</f>
        <v>Accessories</v>
      </c>
      <c r="H83" s="4">
        <f>_xlfn.XLOOKUP(D83, Products!$A$2:$A$21, Products!$E$2:$E$21, 0)</f>
        <v>39</v>
      </c>
      <c r="I83" s="4">
        <f>_xlfn.XLOOKUP(D83, Products!$A$2:$A$21, Products!$F$2:$F$21,0)</f>
        <v>9</v>
      </c>
      <c r="J83" t="str">
        <f>_xlfn.XLOOKUP(C83, Stores!$A$2:$A$7, Stores!$D$2:$D$7)</f>
        <v>Sydney West</v>
      </c>
      <c r="K83" s="4">
        <f t="shared" si="2"/>
        <v>78</v>
      </c>
      <c r="L83" s="4">
        <f t="shared" si="3"/>
        <v>60</v>
      </c>
      <c r="M83" s="10">
        <f>IF(Table1[[#This Row],[Revenue]]=0, "", Table1[[#This Row],[Profit]]/Table1[[#This Row],[Revenue]])</f>
        <v>0.76923076923076927</v>
      </c>
      <c r="N83" s="4" t="str">
        <f>IF(Table1[[#This Row],[Margin]]="", "check", IF(Table1[[#This Row],[Margin]]&lt;0.2, "Low", "OK"))</f>
        <v>OK</v>
      </c>
      <c r="O83" s="4" t="str" cm="1">
        <f t="array" ref="O83">_xlfn.IFS(Table1[[#This Row],[Revenue]]=0, "Check", Table1[[#This Row],[Revenue]]&gt;=1000, "Large", Table1[[#This Row],[Revenue]]&gt;=200, "Medium", TRUE, "Small")</f>
        <v>Small</v>
      </c>
      <c r="P83" s="4" t="str">
        <f>IF(AND(Table1[[#This Row],[Margin Flag]]="Low", Table1[[#This Row],[Revenue]]&gt;1000), "Review", "")</f>
        <v/>
      </c>
      <c r="Q83" s="4" t="str">
        <f>IF(OR(Table1[[#This Row],[Qty]]&gt;=5,Table1[[#This Row],[Order Size]] = "Large" ), "Bulk", "")</f>
        <v/>
      </c>
      <c r="R83" s="10">
        <f>_xlfn.XLOOKUP(G83, Lookup!$A$2:$A$7, Lookup!$B$2:$B$7, "")</f>
        <v>0.25</v>
      </c>
      <c r="S83" s="4" t="str">
        <f>IF(Table1[[#This Row],[Margin]]&lt;Table1[[#This Row],[Target Margin]], "Yes", "")</f>
        <v/>
      </c>
    </row>
    <row r="84" spans="1:19">
      <c r="A84" t="s">
        <v>125</v>
      </c>
      <c r="B84" s="2">
        <v>46214</v>
      </c>
      <c r="C84" t="s">
        <v>32</v>
      </c>
      <c r="D84" t="s">
        <v>69</v>
      </c>
      <c r="E84">
        <v>1</v>
      </c>
      <c r="F84" t="str">
        <f>_xlfn.XLOOKUP(D84, Products!$A$2:$A$21, Products!$B$2:$B$21, "Not Found")</f>
        <v>27in Monitor</v>
      </c>
      <c r="G84" t="str">
        <f>_xlfn.XLOOKUP(D84, Products!$A$2:$A$21, Products!$C$2:$C$21,"not found")</f>
        <v>Computers</v>
      </c>
      <c r="H84" s="4">
        <f>_xlfn.XLOOKUP(D84, Products!$A$2:$A$21, Products!$E$2:$E$21, 0)</f>
        <v>399</v>
      </c>
      <c r="I84" s="4">
        <f>_xlfn.XLOOKUP(D84, Products!$A$2:$A$21, Products!$F$2:$F$21,0)</f>
        <v>290</v>
      </c>
      <c r="J84" t="str">
        <f>_xlfn.XLOOKUP(C84, Stores!$A$2:$A$7, Stores!$D$2:$D$7)</f>
        <v>Sydney South</v>
      </c>
      <c r="K84" s="4">
        <f t="shared" si="2"/>
        <v>399</v>
      </c>
      <c r="L84" s="4">
        <f t="shared" si="3"/>
        <v>109</v>
      </c>
      <c r="M84" s="10">
        <f>IF(Table1[[#This Row],[Revenue]]=0, "", Table1[[#This Row],[Profit]]/Table1[[#This Row],[Revenue]])</f>
        <v>0.27318295739348369</v>
      </c>
      <c r="N84" s="4" t="str">
        <f>IF(Table1[[#This Row],[Margin]]="", "check", IF(Table1[[#This Row],[Margin]]&lt;0.2, "Low", "OK"))</f>
        <v>OK</v>
      </c>
      <c r="O84" s="4" t="str" cm="1">
        <f t="array" ref="O84">_xlfn.IFS(Table1[[#This Row],[Revenue]]=0, "Check", Table1[[#This Row],[Revenue]]&gt;=1000, "Large", Table1[[#This Row],[Revenue]]&gt;=200, "Medium", TRUE, "Small")</f>
        <v>Medium</v>
      </c>
      <c r="P84" s="4" t="str">
        <f>IF(AND(Table1[[#This Row],[Margin Flag]]="Low", Table1[[#This Row],[Revenue]]&gt;1000), "Review", "")</f>
        <v/>
      </c>
      <c r="Q84" s="4" t="str">
        <f>IF(OR(Table1[[#This Row],[Qty]]&gt;=5,Table1[[#This Row],[Order Size]] = "Large" ), "Bulk", "")</f>
        <v/>
      </c>
      <c r="R84" s="10">
        <f>_xlfn.XLOOKUP(G84, Lookup!$A$2:$A$7, Lookup!$B$2:$B$7, "")</f>
        <v>0.25</v>
      </c>
      <c r="S84" s="4" t="str">
        <f>IF(Table1[[#This Row],[Margin]]&lt;Table1[[#This Row],[Target Margin]], "Yes", "")</f>
        <v/>
      </c>
    </row>
    <row r="85" spans="1:19">
      <c r="A85" t="s">
        <v>126</v>
      </c>
      <c r="B85" s="2">
        <v>46215</v>
      </c>
      <c r="C85" t="s">
        <v>57</v>
      </c>
      <c r="D85" t="s">
        <v>80</v>
      </c>
      <c r="E85">
        <v>1</v>
      </c>
      <c r="F85" t="str">
        <f>_xlfn.XLOOKUP(D85, Products!$A$2:$A$21, Products!$B$2:$B$21, "Not Found")</f>
        <v>Over-Ear Headphones</v>
      </c>
      <c r="G85" t="str">
        <f>_xlfn.XLOOKUP(D85, Products!$A$2:$A$21, Products!$C$2:$C$21,"not found")</f>
        <v>Audio</v>
      </c>
      <c r="H85" s="4">
        <f>_xlfn.XLOOKUP(D85, Products!$A$2:$A$21, Products!$E$2:$E$21, 0)</f>
        <v>499</v>
      </c>
      <c r="I85" s="4">
        <f>_xlfn.XLOOKUP(D85, Products!$A$2:$A$21, Products!$F$2:$F$21,0)</f>
        <v>310</v>
      </c>
      <c r="J85" t="str">
        <f>_xlfn.XLOOKUP(C85, Stores!$A$2:$A$7, Stores!$D$2:$D$7)</f>
        <v>Sydney South</v>
      </c>
      <c r="K85" s="4">
        <f t="shared" si="2"/>
        <v>499</v>
      </c>
      <c r="L85" s="4">
        <f t="shared" si="3"/>
        <v>189</v>
      </c>
      <c r="M85" s="10">
        <f>IF(Table1[[#This Row],[Revenue]]=0, "", Table1[[#This Row],[Profit]]/Table1[[#This Row],[Revenue]])</f>
        <v>0.37875751503006011</v>
      </c>
      <c r="N85" s="4" t="str">
        <f>IF(Table1[[#This Row],[Margin]]="", "check", IF(Table1[[#This Row],[Margin]]&lt;0.2, "Low", "OK"))</f>
        <v>OK</v>
      </c>
      <c r="O85" s="4" t="str" cm="1">
        <f t="array" ref="O85">_xlfn.IFS(Table1[[#This Row],[Revenue]]=0, "Check", Table1[[#This Row],[Revenue]]&gt;=1000, "Large", Table1[[#This Row],[Revenue]]&gt;=200, "Medium", TRUE, "Small")</f>
        <v>Medium</v>
      </c>
      <c r="P85" s="4" t="str">
        <f>IF(AND(Table1[[#This Row],[Margin Flag]]="Low", Table1[[#This Row],[Revenue]]&gt;1000), "Review", "")</f>
        <v/>
      </c>
      <c r="Q85" s="4" t="str">
        <f>IF(OR(Table1[[#This Row],[Qty]]&gt;=5,Table1[[#This Row],[Order Size]] = "Large" ), "Bulk", "")</f>
        <v/>
      </c>
      <c r="R85" s="10">
        <f>_xlfn.XLOOKUP(G85, Lookup!$A$2:$A$7, Lookup!$B$2:$B$7, "")</f>
        <v>0.25</v>
      </c>
      <c r="S85" s="4" t="str">
        <f>IF(Table1[[#This Row],[Margin]]&lt;Table1[[#This Row],[Target Margin]], "Yes", "")</f>
        <v/>
      </c>
    </row>
    <row r="86" spans="1:19">
      <c r="A86" t="s">
        <v>127</v>
      </c>
      <c r="B86" s="2">
        <v>46215</v>
      </c>
      <c r="C86" t="s">
        <v>29</v>
      </c>
      <c r="D86" t="s">
        <v>99</v>
      </c>
      <c r="E86">
        <v>1</v>
      </c>
      <c r="F86" t="str">
        <f>_xlfn.XLOOKUP(D86, Products!$A$2:$A$21, Products!$B$2:$B$21, "Not Found")</f>
        <v>Smartphone 256GB</v>
      </c>
      <c r="G86" t="str">
        <f>_xlfn.XLOOKUP(D86, Products!$A$2:$A$21, Products!$C$2:$C$21,"not found")</f>
        <v>Phones</v>
      </c>
      <c r="H86" s="4">
        <f>_xlfn.XLOOKUP(D86, Products!$A$2:$A$21, Products!$E$2:$E$21, 0)</f>
        <v>1499</v>
      </c>
      <c r="I86" s="4">
        <f>_xlfn.XLOOKUP(D86, Products!$A$2:$A$21, Products!$F$2:$F$21,0)</f>
        <v>1180</v>
      </c>
      <c r="J86" t="str">
        <f>_xlfn.XLOOKUP(C86, Stores!$A$2:$A$7, Stores!$D$2:$D$7)</f>
        <v>Sydney West</v>
      </c>
      <c r="K86" s="4">
        <f t="shared" si="2"/>
        <v>1499</v>
      </c>
      <c r="L86" s="4">
        <f t="shared" si="3"/>
        <v>319</v>
      </c>
      <c r="M86" s="10">
        <f>IF(Table1[[#This Row],[Revenue]]=0, "", Table1[[#This Row],[Profit]]/Table1[[#This Row],[Revenue]])</f>
        <v>0.21280853902601735</v>
      </c>
      <c r="N86" s="4" t="str">
        <f>IF(Table1[[#This Row],[Margin]]="", "check", IF(Table1[[#This Row],[Margin]]&lt;0.2, "Low", "OK"))</f>
        <v>OK</v>
      </c>
      <c r="O86" s="4" t="str" cm="1">
        <f t="array" ref="O86">_xlfn.IFS(Table1[[#This Row],[Revenue]]=0, "Check", Table1[[#This Row],[Revenue]]&gt;=1000, "Large", Table1[[#This Row],[Revenue]]&gt;=200, "Medium", TRUE, "Small")</f>
        <v>Large</v>
      </c>
      <c r="P86" s="4" t="str">
        <f>IF(AND(Table1[[#This Row],[Margin Flag]]="Low", Table1[[#This Row],[Revenue]]&gt;1000), "Review", "")</f>
        <v/>
      </c>
      <c r="Q86" s="4" t="str">
        <f>IF(OR(Table1[[#This Row],[Qty]]&gt;=5,Table1[[#This Row],[Order Size]] = "Large" ), "Bulk", "")</f>
        <v>Bulk</v>
      </c>
      <c r="R86" s="10">
        <f>_xlfn.XLOOKUP(G86, Lookup!$A$2:$A$7, Lookup!$B$2:$B$7, "")</f>
        <v>0.25</v>
      </c>
      <c r="S86" s="4" t="str">
        <f>IF(Table1[[#This Row],[Margin]]&lt;Table1[[#This Row],[Target Margin]], "Yes", "")</f>
        <v>Yes</v>
      </c>
    </row>
    <row r="87" spans="1:19">
      <c r="A87" t="s">
        <v>128</v>
      </c>
      <c r="B87" s="2">
        <v>46215</v>
      </c>
      <c r="C87" t="s">
        <v>20</v>
      </c>
      <c r="D87" t="s">
        <v>58</v>
      </c>
      <c r="E87">
        <v>1</v>
      </c>
      <c r="F87" t="str">
        <f>_xlfn.XLOOKUP(D87, Products!$A$2:$A$21, Products!$B$2:$B$21, "Not Found")</f>
        <v>Mech Keyboard</v>
      </c>
      <c r="G87" t="str">
        <f>_xlfn.XLOOKUP(D87, Products!$A$2:$A$21, Products!$C$2:$C$21,"not found")</f>
        <v>Accessories</v>
      </c>
      <c r="H87" s="4">
        <f>_xlfn.XLOOKUP(D87, Products!$A$2:$A$21, Products!$E$2:$E$21, 0)</f>
        <v>149</v>
      </c>
      <c r="I87" s="4">
        <f>_xlfn.XLOOKUP(D87, Products!$A$2:$A$21, Products!$F$2:$F$21,0)</f>
        <v>72</v>
      </c>
      <c r="J87" t="str">
        <f>_xlfn.XLOOKUP(C87, Stores!$A$2:$A$7, Stores!$D$2:$D$7)</f>
        <v>Sydney West</v>
      </c>
      <c r="K87" s="4">
        <f t="shared" si="2"/>
        <v>149</v>
      </c>
      <c r="L87" s="4">
        <f t="shared" si="3"/>
        <v>77</v>
      </c>
      <c r="M87" s="10">
        <f>IF(Table1[[#This Row],[Revenue]]=0, "", Table1[[#This Row],[Profit]]/Table1[[#This Row],[Revenue]])</f>
        <v>0.51677852348993292</v>
      </c>
      <c r="N87" s="4" t="str">
        <f>IF(Table1[[#This Row],[Margin]]="", "check", IF(Table1[[#This Row],[Margin]]&lt;0.2, "Low", "OK"))</f>
        <v>OK</v>
      </c>
      <c r="O87" s="4" t="str" cm="1">
        <f t="array" ref="O87">_xlfn.IFS(Table1[[#This Row],[Revenue]]=0, "Check", Table1[[#This Row],[Revenue]]&gt;=1000, "Large", Table1[[#This Row],[Revenue]]&gt;=200, "Medium", TRUE, "Small")</f>
        <v>Small</v>
      </c>
      <c r="P87" s="4" t="str">
        <f>IF(AND(Table1[[#This Row],[Margin Flag]]="Low", Table1[[#This Row],[Revenue]]&gt;1000), "Review", "")</f>
        <v/>
      </c>
      <c r="Q87" s="4" t="str">
        <f>IF(OR(Table1[[#This Row],[Qty]]&gt;=5,Table1[[#This Row],[Order Size]] = "Large" ), "Bulk", "")</f>
        <v/>
      </c>
      <c r="R87" s="10">
        <f>_xlfn.XLOOKUP(G87, Lookup!$A$2:$A$7, Lookup!$B$2:$B$7, "")</f>
        <v>0.25</v>
      </c>
      <c r="S87" s="4" t="str">
        <f>IF(Table1[[#This Row],[Margin]]&lt;Table1[[#This Row],[Target Margin]], "Yes", "")</f>
        <v/>
      </c>
    </row>
    <row r="88" spans="1:19">
      <c r="A88" t="s">
        <v>129</v>
      </c>
      <c r="B88" s="2">
        <v>46215</v>
      </c>
      <c r="C88" t="s">
        <v>29</v>
      </c>
      <c r="D88" t="s">
        <v>130</v>
      </c>
      <c r="E88">
        <v>1</v>
      </c>
      <c r="F88" t="str">
        <f>_xlfn.XLOOKUP(D88, Products!$A$2:$A$21, Products!$B$2:$B$21, "Not Found")</f>
        <v>65in TV</v>
      </c>
      <c r="G88" t="str">
        <f>_xlfn.XLOOKUP(D88, Products!$A$2:$A$21, Products!$C$2:$C$21,"not found")</f>
        <v>TV</v>
      </c>
      <c r="H88" s="4">
        <f>_xlfn.XLOOKUP(D88, Products!$A$2:$A$21, Products!$E$2:$E$21, 0)</f>
        <v>1999</v>
      </c>
      <c r="I88" s="4">
        <f>_xlfn.XLOOKUP(D88, Products!$A$2:$A$21, Products!$F$2:$F$21,0)</f>
        <v>1520</v>
      </c>
      <c r="J88" t="str">
        <f>_xlfn.XLOOKUP(C88, Stores!$A$2:$A$7, Stores!$D$2:$D$7)</f>
        <v>Sydney West</v>
      </c>
      <c r="K88" s="4">
        <f t="shared" si="2"/>
        <v>1999</v>
      </c>
      <c r="L88" s="4">
        <f t="shared" si="3"/>
        <v>479</v>
      </c>
      <c r="M88" s="10">
        <f>IF(Table1[[#This Row],[Revenue]]=0, "", Table1[[#This Row],[Profit]]/Table1[[#This Row],[Revenue]])</f>
        <v>0.23961980990495246</v>
      </c>
      <c r="N88" s="4" t="str">
        <f>IF(Table1[[#This Row],[Margin]]="", "check", IF(Table1[[#This Row],[Margin]]&lt;0.2, "Low", "OK"))</f>
        <v>OK</v>
      </c>
      <c r="O88" s="4" t="str" cm="1">
        <f t="array" ref="O88">_xlfn.IFS(Table1[[#This Row],[Revenue]]=0, "Check", Table1[[#This Row],[Revenue]]&gt;=1000, "Large", Table1[[#This Row],[Revenue]]&gt;=200, "Medium", TRUE, "Small")</f>
        <v>Large</v>
      </c>
      <c r="P88" s="4" t="str">
        <f>IF(AND(Table1[[#This Row],[Margin Flag]]="Low", Table1[[#This Row],[Revenue]]&gt;1000), "Review", "")</f>
        <v/>
      </c>
      <c r="Q88" s="4" t="str">
        <f>IF(OR(Table1[[#This Row],[Qty]]&gt;=5,Table1[[#This Row],[Order Size]] = "Large" ), "Bulk", "")</f>
        <v>Bulk</v>
      </c>
      <c r="R88" s="10">
        <f>_xlfn.XLOOKUP(G88, Lookup!$A$2:$A$7, Lookup!$B$2:$B$7, "")</f>
        <v>0.25</v>
      </c>
      <c r="S88" s="4" t="str">
        <f>IF(Table1[[#This Row],[Margin]]&lt;Table1[[#This Row],[Target Margin]], "Yes", "")</f>
        <v>Yes</v>
      </c>
    </row>
    <row r="89" spans="1:19">
      <c r="A89" t="s">
        <v>131</v>
      </c>
      <c r="B89" s="2">
        <v>46215</v>
      </c>
      <c r="C89" t="s">
        <v>20</v>
      </c>
      <c r="D89" t="s">
        <v>21</v>
      </c>
      <c r="E89">
        <v>3</v>
      </c>
      <c r="F89" t="str">
        <f>_xlfn.XLOOKUP(D89, Products!$A$2:$A$21, Products!$B$2:$B$21, "Not Found")</f>
        <v>Gaming Mouse</v>
      </c>
      <c r="G89" t="str">
        <f>_xlfn.XLOOKUP(D89, Products!$A$2:$A$21, Products!$C$2:$C$21,"not found")</f>
        <v>Accessories</v>
      </c>
      <c r="H89" s="4">
        <f>_xlfn.XLOOKUP(D89, Products!$A$2:$A$21, Products!$E$2:$E$21, 0)</f>
        <v>89</v>
      </c>
      <c r="I89" s="4">
        <f>_xlfn.XLOOKUP(D89, Products!$A$2:$A$21, Products!$F$2:$F$21,0)</f>
        <v>41</v>
      </c>
      <c r="J89" t="str">
        <f>_xlfn.XLOOKUP(C89, Stores!$A$2:$A$7, Stores!$D$2:$D$7)</f>
        <v>Sydney West</v>
      </c>
      <c r="K89" s="4">
        <f t="shared" si="2"/>
        <v>267</v>
      </c>
      <c r="L89" s="4">
        <f t="shared" si="3"/>
        <v>144</v>
      </c>
      <c r="M89" s="10">
        <f>IF(Table1[[#This Row],[Revenue]]=0, "", Table1[[#This Row],[Profit]]/Table1[[#This Row],[Revenue]])</f>
        <v>0.5393258426966292</v>
      </c>
      <c r="N89" s="4" t="str">
        <f>IF(Table1[[#This Row],[Margin]]="", "check", IF(Table1[[#This Row],[Margin]]&lt;0.2, "Low", "OK"))</f>
        <v>OK</v>
      </c>
      <c r="O89" s="4" t="str" cm="1">
        <f t="array" ref="O89">_xlfn.IFS(Table1[[#This Row],[Revenue]]=0, "Check", Table1[[#This Row],[Revenue]]&gt;=1000, "Large", Table1[[#This Row],[Revenue]]&gt;=200, "Medium", TRUE, "Small")</f>
        <v>Medium</v>
      </c>
      <c r="P89" s="4" t="str">
        <f>IF(AND(Table1[[#This Row],[Margin Flag]]="Low", Table1[[#This Row],[Revenue]]&gt;1000), "Review", "")</f>
        <v/>
      </c>
      <c r="Q89" s="4" t="str">
        <f>IF(OR(Table1[[#This Row],[Qty]]&gt;=5,Table1[[#This Row],[Order Size]] = "Large" ), "Bulk", "")</f>
        <v/>
      </c>
      <c r="R89" s="10">
        <f>_xlfn.XLOOKUP(G89, Lookup!$A$2:$A$7, Lookup!$B$2:$B$7, "")</f>
        <v>0.25</v>
      </c>
      <c r="S89" s="4" t="str">
        <f>IF(Table1[[#This Row],[Margin]]&lt;Table1[[#This Row],[Target Margin]], "Yes", "")</f>
        <v/>
      </c>
    </row>
    <row r="90" spans="1:19">
      <c r="A90" t="s">
        <v>132</v>
      </c>
      <c r="B90" s="2">
        <v>46216</v>
      </c>
      <c r="C90" t="s">
        <v>26</v>
      </c>
      <c r="D90" t="s">
        <v>30</v>
      </c>
      <c r="E90">
        <v>1</v>
      </c>
      <c r="F90" t="str">
        <f>_xlfn.XLOOKUP(D90, Products!$A$2:$A$21, Products!$B$2:$B$21, "Not Found")</f>
        <v>Video Game</v>
      </c>
      <c r="G90" t="str">
        <f>_xlfn.XLOOKUP(D90, Products!$A$2:$A$21, Products!$C$2:$C$21,"not found")</f>
        <v>Gaming</v>
      </c>
      <c r="H90" s="4">
        <f>_xlfn.XLOOKUP(D90, Products!$A$2:$A$21, Products!$E$2:$E$21, 0)</f>
        <v>79</v>
      </c>
      <c r="I90" s="4">
        <f>_xlfn.XLOOKUP(D90, Products!$A$2:$A$21, Products!$F$2:$F$21,0)</f>
        <v>52</v>
      </c>
      <c r="J90" t="str">
        <f>_xlfn.XLOOKUP(C90, Stores!$A$2:$A$7, Stores!$D$2:$D$7)</f>
        <v>Sydney North</v>
      </c>
      <c r="K90" s="4">
        <f t="shared" si="2"/>
        <v>79</v>
      </c>
      <c r="L90" s="4">
        <f t="shared" si="3"/>
        <v>27</v>
      </c>
      <c r="M90" s="10">
        <f>IF(Table1[[#This Row],[Revenue]]=0, "", Table1[[#This Row],[Profit]]/Table1[[#This Row],[Revenue]])</f>
        <v>0.34177215189873417</v>
      </c>
      <c r="N90" s="4" t="str">
        <f>IF(Table1[[#This Row],[Margin]]="", "check", IF(Table1[[#This Row],[Margin]]&lt;0.2, "Low", "OK"))</f>
        <v>OK</v>
      </c>
      <c r="O90" s="4" t="str" cm="1">
        <f t="array" ref="O90">_xlfn.IFS(Table1[[#This Row],[Revenue]]=0, "Check", Table1[[#This Row],[Revenue]]&gt;=1000, "Large", Table1[[#This Row],[Revenue]]&gt;=200, "Medium", TRUE, "Small")</f>
        <v>Small</v>
      </c>
      <c r="P90" s="4" t="str">
        <f>IF(AND(Table1[[#This Row],[Margin Flag]]="Low", Table1[[#This Row],[Revenue]]&gt;1000), "Review", "")</f>
        <v/>
      </c>
      <c r="Q90" s="4" t="str">
        <f>IF(OR(Table1[[#This Row],[Qty]]&gt;=5,Table1[[#This Row],[Order Size]] = "Large" ), "Bulk", "")</f>
        <v/>
      </c>
      <c r="R90" s="10">
        <f>_xlfn.XLOOKUP(G90, Lookup!$A$2:$A$7, Lookup!$B$2:$B$7, "")</f>
        <v>0.08</v>
      </c>
      <c r="S90" s="4" t="str">
        <f>IF(Table1[[#This Row],[Margin]]&lt;Table1[[#This Row],[Target Margin]], "Yes", "")</f>
        <v/>
      </c>
    </row>
    <row r="91" spans="1:19">
      <c r="A91" t="s">
        <v>133</v>
      </c>
      <c r="B91" s="2">
        <v>46216</v>
      </c>
      <c r="C91" t="s">
        <v>29</v>
      </c>
      <c r="D91" t="s">
        <v>60</v>
      </c>
      <c r="E91">
        <v>1</v>
      </c>
      <c r="F91" t="str">
        <f>_xlfn.XLOOKUP(D91, Products!$A$2:$A$21, Products!$B$2:$B$21, "Not Found")</f>
        <v>55in TV</v>
      </c>
      <c r="G91" t="str">
        <f>_xlfn.XLOOKUP(D91, Products!$A$2:$A$21, Products!$C$2:$C$21,"not found")</f>
        <v>TV</v>
      </c>
      <c r="H91" s="4">
        <f>_xlfn.XLOOKUP(D91, Products!$A$2:$A$21, Products!$E$2:$E$21, 0)</f>
        <v>1299</v>
      </c>
      <c r="I91" s="4">
        <f>_xlfn.XLOOKUP(D91, Products!$A$2:$A$21, Products!$F$2:$F$21,0)</f>
        <v>980</v>
      </c>
      <c r="J91" t="str">
        <f>_xlfn.XLOOKUP(C91, Stores!$A$2:$A$7, Stores!$D$2:$D$7)</f>
        <v>Sydney West</v>
      </c>
      <c r="K91" s="4">
        <f t="shared" si="2"/>
        <v>1299</v>
      </c>
      <c r="L91" s="4">
        <f t="shared" si="3"/>
        <v>319</v>
      </c>
      <c r="M91" s="10">
        <f>IF(Table1[[#This Row],[Revenue]]=0, "", Table1[[#This Row],[Profit]]/Table1[[#This Row],[Revenue]])</f>
        <v>0.2455735180908391</v>
      </c>
      <c r="N91" s="4" t="str">
        <f>IF(Table1[[#This Row],[Margin]]="", "check", IF(Table1[[#This Row],[Margin]]&lt;0.2, "Low", "OK"))</f>
        <v>OK</v>
      </c>
      <c r="O91" s="4" t="str" cm="1">
        <f t="array" ref="O91">_xlfn.IFS(Table1[[#This Row],[Revenue]]=0, "Check", Table1[[#This Row],[Revenue]]&gt;=1000, "Large", Table1[[#This Row],[Revenue]]&gt;=200, "Medium", TRUE, "Small")</f>
        <v>Large</v>
      </c>
      <c r="P91" s="4" t="str">
        <f>IF(AND(Table1[[#This Row],[Margin Flag]]="Low", Table1[[#This Row],[Revenue]]&gt;1000), "Review", "")</f>
        <v/>
      </c>
      <c r="Q91" s="4" t="str">
        <f>IF(OR(Table1[[#This Row],[Qty]]&gt;=5,Table1[[#This Row],[Order Size]] = "Large" ), "Bulk", "")</f>
        <v>Bulk</v>
      </c>
      <c r="R91" s="10">
        <f>_xlfn.XLOOKUP(G91, Lookup!$A$2:$A$7, Lookup!$B$2:$B$7, "")</f>
        <v>0.25</v>
      </c>
      <c r="S91" s="4" t="str">
        <f>IF(Table1[[#This Row],[Margin]]&lt;Table1[[#This Row],[Target Margin]], "Yes", "")</f>
        <v>Yes</v>
      </c>
    </row>
    <row r="92" spans="1:19">
      <c r="A92" t="s">
        <v>134</v>
      </c>
      <c r="B92" s="2">
        <v>46216</v>
      </c>
      <c r="C92" t="s">
        <v>23</v>
      </c>
      <c r="D92" t="s">
        <v>87</v>
      </c>
      <c r="E92">
        <v>1</v>
      </c>
      <c r="F92" t="str">
        <f>_xlfn.XLOOKUP(D92, Products!$A$2:$A$21, Products!$B$2:$B$21, "Not Found")</f>
        <v>Laptop 16in</v>
      </c>
      <c r="G92" t="str">
        <f>_xlfn.XLOOKUP(D92, Products!$A$2:$A$21, Products!$C$2:$C$21,"not found")</f>
        <v>Computers</v>
      </c>
      <c r="H92" s="4">
        <f>_xlfn.XLOOKUP(D92, Products!$A$2:$A$21, Products!$E$2:$E$21, 0)</f>
        <v>1799</v>
      </c>
      <c r="I92" s="4">
        <f>_xlfn.XLOOKUP(D92, Products!$A$2:$A$21, Products!$F$2:$F$21,0)</f>
        <v>1390</v>
      </c>
      <c r="J92" t="str">
        <f>_xlfn.XLOOKUP(C92, Stores!$A$2:$A$7, Stores!$D$2:$D$7)</f>
        <v>Sydney East</v>
      </c>
      <c r="K92" s="4">
        <f t="shared" si="2"/>
        <v>1799</v>
      </c>
      <c r="L92" s="4">
        <f t="shared" si="3"/>
        <v>409</v>
      </c>
      <c r="M92" s="10">
        <f>IF(Table1[[#This Row],[Revenue]]=0, "", Table1[[#This Row],[Profit]]/Table1[[#This Row],[Revenue]])</f>
        <v>0.2273485269594219</v>
      </c>
      <c r="N92" s="4" t="str">
        <f>IF(Table1[[#This Row],[Margin]]="", "check", IF(Table1[[#This Row],[Margin]]&lt;0.2, "Low", "OK"))</f>
        <v>OK</v>
      </c>
      <c r="O92" s="4" t="str" cm="1">
        <f t="array" ref="O92">_xlfn.IFS(Table1[[#This Row],[Revenue]]=0, "Check", Table1[[#This Row],[Revenue]]&gt;=1000, "Large", Table1[[#This Row],[Revenue]]&gt;=200, "Medium", TRUE, "Small")</f>
        <v>Large</v>
      </c>
      <c r="P92" s="4" t="str">
        <f>IF(AND(Table1[[#This Row],[Margin Flag]]="Low", Table1[[#This Row],[Revenue]]&gt;1000), "Review", "")</f>
        <v/>
      </c>
      <c r="Q92" s="4" t="str">
        <f>IF(OR(Table1[[#This Row],[Qty]]&gt;=5,Table1[[#This Row],[Order Size]] = "Large" ), "Bulk", "")</f>
        <v>Bulk</v>
      </c>
      <c r="R92" s="10">
        <f>_xlfn.XLOOKUP(G92, Lookup!$A$2:$A$7, Lookup!$B$2:$B$7, "")</f>
        <v>0.25</v>
      </c>
      <c r="S92" s="4" t="str">
        <f>IF(Table1[[#This Row],[Margin]]&lt;Table1[[#This Row],[Target Margin]], "Yes", "")</f>
        <v>Yes</v>
      </c>
    </row>
    <row r="93" spans="1:19">
      <c r="A93" t="s">
        <v>135</v>
      </c>
      <c r="B93" s="2">
        <v>46216</v>
      </c>
      <c r="C93" t="s">
        <v>57</v>
      </c>
      <c r="D93" t="s">
        <v>30</v>
      </c>
      <c r="E93">
        <v>1</v>
      </c>
      <c r="F93" t="str">
        <f>_xlfn.XLOOKUP(D93, Products!$A$2:$A$21, Products!$B$2:$B$21, "Not Found")</f>
        <v>Video Game</v>
      </c>
      <c r="G93" t="str">
        <f>_xlfn.XLOOKUP(D93, Products!$A$2:$A$21, Products!$C$2:$C$21,"not found")</f>
        <v>Gaming</v>
      </c>
      <c r="H93" s="4">
        <f>_xlfn.XLOOKUP(D93, Products!$A$2:$A$21, Products!$E$2:$E$21, 0)</f>
        <v>79</v>
      </c>
      <c r="I93" s="4">
        <f>_xlfn.XLOOKUP(D93, Products!$A$2:$A$21, Products!$F$2:$F$21,0)</f>
        <v>52</v>
      </c>
      <c r="J93" t="str">
        <f>_xlfn.XLOOKUP(C93, Stores!$A$2:$A$7, Stores!$D$2:$D$7)</f>
        <v>Sydney South</v>
      </c>
      <c r="K93" s="4">
        <f t="shared" si="2"/>
        <v>79</v>
      </c>
      <c r="L93" s="4">
        <f t="shared" si="3"/>
        <v>27</v>
      </c>
      <c r="M93" s="10">
        <f>IF(Table1[[#This Row],[Revenue]]=0, "", Table1[[#This Row],[Profit]]/Table1[[#This Row],[Revenue]])</f>
        <v>0.34177215189873417</v>
      </c>
      <c r="N93" s="4" t="str">
        <f>IF(Table1[[#This Row],[Margin]]="", "check", IF(Table1[[#This Row],[Margin]]&lt;0.2, "Low", "OK"))</f>
        <v>OK</v>
      </c>
      <c r="O93" s="4" t="str" cm="1">
        <f t="array" ref="O93">_xlfn.IFS(Table1[[#This Row],[Revenue]]=0, "Check", Table1[[#This Row],[Revenue]]&gt;=1000, "Large", Table1[[#This Row],[Revenue]]&gt;=200, "Medium", TRUE, "Small")</f>
        <v>Small</v>
      </c>
      <c r="P93" s="4" t="str">
        <f>IF(AND(Table1[[#This Row],[Margin Flag]]="Low", Table1[[#This Row],[Revenue]]&gt;1000), "Review", "")</f>
        <v/>
      </c>
      <c r="Q93" s="4" t="str">
        <f>IF(OR(Table1[[#This Row],[Qty]]&gt;=5,Table1[[#This Row],[Order Size]] = "Large" ), "Bulk", "")</f>
        <v/>
      </c>
      <c r="R93" s="10">
        <f>_xlfn.XLOOKUP(G93, Lookup!$A$2:$A$7, Lookup!$B$2:$B$7, "")</f>
        <v>0.08</v>
      </c>
      <c r="S93" s="4" t="str">
        <f>IF(Table1[[#This Row],[Margin]]&lt;Table1[[#This Row],[Target Margin]], "Yes", "")</f>
        <v/>
      </c>
    </row>
    <row r="94" spans="1:19">
      <c r="A94" t="s">
        <v>136</v>
      </c>
      <c r="B94" s="2">
        <v>46216</v>
      </c>
      <c r="C94" t="s">
        <v>26</v>
      </c>
      <c r="D94" t="s">
        <v>30</v>
      </c>
      <c r="E94">
        <v>3</v>
      </c>
      <c r="F94" t="str">
        <f>_xlfn.XLOOKUP(D94, Products!$A$2:$A$21, Products!$B$2:$B$21, "Not Found")</f>
        <v>Video Game</v>
      </c>
      <c r="G94" t="str">
        <f>_xlfn.XLOOKUP(D94, Products!$A$2:$A$21, Products!$C$2:$C$21,"not found")</f>
        <v>Gaming</v>
      </c>
      <c r="H94" s="4">
        <f>_xlfn.XLOOKUP(D94, Products!$A$2:$A$21, Products!$E$2:$E$21, 0)</f>
        <v>79</v>
      </c>
      <c r="I94" s="4">
        <f>_xlfn.XLOOKUP(D94, Products!$A$2:$A$21, Products!$F$2:$F$21,0)</f>
        <v>52</v>
      </c>
      <c r="J94" t="str">
        <f>_xlfn.XLOOKUP(C94, Stores!$A$2:$A$7, Stores!$D$2:$D$7)</f>
        <v>Sydney North</v>
      </c>
      <c r="K94" s="4">
        <f t="shared" si="2"/>
        <v>237</v>
      </c>
      <c r="L94" s="4">
        <f t="shared" si="3"/>
        <v>81</v>
      </c>
      <c r="M94" s="10">
        <f>IF(Table1[[#This Row],[Revenue]]=0, "", Table1[[#This Row],[Profit]]/Table1[[#This Row],[Revenue]])</f>
        <v>0.34177215189873417</v>
      </c>
      <c r="N94" s="4" t="str">
        <f>IF(Table1[[#This Row],[Margin]]="", "check", IF(Table1[[#This Row],[Margin]]&lt;0.2, "Low", "OK"))</f>
        <v>OK</v>
      </c>
      <c r="O94" s="4" t="str" cm="1">
        <f t="array" ref="O94">_xlfn.IFS(Table1[[#This Row],[Revenue]]=0, "Check", Table1[[#This Row],[Revenue]]&gt;=1000, "Large", Table1[[#This Row],[Revenue]]&gt;=200, "Medium", TRUE, "Small")</f>
        <v>Medium</v>
      </c>
      <c r="P94" s="4" t="str">
        <f>IF(AND(Table1[[#This Row],[Margin Flag]]="Low", Table1[[#This Row],[Revenue]]&gt;1000), "Review", "")</f>
        <v/>
      </c>
      <c r="Q94" s="4" t="str">
        <f>IF(OR(Table1[[#This Row],[Qty]]&gt;=5,Table1[[#This Row],[Order Size]] = "Large" ), "Bulk", "")</f>
        <v/>
      </c>
      <c r="R94" s="10">
        <f>_xlfn.XLOOKUP(G94, Lookup!$A$2:$A$7, Lookup!$B$2:$B$7, "")</f>
        <v>0.08</v>
      </c>
      <c r="S94" s="4" t="str">
        <f>IF(Table1[[#This Row],[Margin]]&lt;Table1[[#This Row],[Target Margin]], "Yes", "")</f>
        <v/>
      </c>
    </row>
    <row r="95" spans="1:19">
      <c r="A95" t="s">
        <v>137</v>
      </c>
      <c r="B95" s="2">
        <v>46216</v>
      </c>
      <c r="C95" t="s">
        <v>29</v>
      </c>
      <c r="D95" t="s">
        <v>38</v>
      </c>
      <c r="E95">
        <v>1</v>
      </c>
      <c r="F95" t="str">
        <f>_xlfn.XLOOKUP(D95, Products!$A$2:$A$21, Products!$B$2:$B$21, "Not Found")</f>
        <v>USB-C Charger</v>
      </c>
      <c r="G95" t="str">
        <f>_xlfn.XLOOKUP(D95, Products!$A$2:$A$21, Products!$C$2:$C$21,"not found")</f>
        <v>Accessories</v>
      </c>
      <c r="H95" s="4">
        <f>_xlfn.XLOOKUP(D95, Products!$A$2:$A$21, Products!$E$2:$E$21, 0)</f>
        <v>49</v>
      </c>
      <c r="I95" s="4">
        <f>_xlfn.XLOOKUP(D95, Products!$A$2:$A$21, Products!$F$2:$F$21,0)</f>
        <v>14</v>
      </c>
      <c r="J95" t="str">
        <f>_xlfn.XLOOKUP(C95, Stores!$A$2:$A$7, Stores!$D$2:$D$7)</f>
        <v>Sydney West</v>
      </c>
      <c r="K95" s="4">
        <f t="shared" si="2"/>
        <v>49</v>
      </c>
      <c r="L95" s="4">
        <f t="shared" si="3"/>
        <v>35</v>
      </c>
      <c r="M95" s="10">
        <f>IF(Table1[[#This Row],[Revenue]]=0, "", Table1[[#This Row],[Profit]]/Table1[[#This Row],[Revenue]])</f>
        <v>0.7142857142857143</v>
      </c>
      <c r="N95" s="4" t="str">
        <f>IF(Table1[[#This Row],[Margin]]="", "check", IF(Table1[[#This Row],[Margin]]&lt;0.2, "Low", "OK"))</f>
        <v>OK</v>
      </c>
      <c r="O95" s="4" t="str" cm="1">
        <f t="array" ref="O95">_xlfn.IFS(Table1[[#This Row],[Revenue]]=0, "Check", Table1[[#This Row],[Revenue]]&gt;=1000, "Large", Table1[[#This Row],[Revenue]]&gt;=200, "Medium", TRUE, "Small")</f>
        <v>Small</v>
      </c>
      <c r="P95" s="4" t="str">
        <f>IF(AND(Table1[[#This Row],[Margin Flag]]="Low", Table1[[#This Row],[Revenue]]&gt;1000), "Review", "")</f>
        <v/>
      </c>
      <c r="Q95" s="4" t="str">
        <f>IF(OR(Table1[[#This Row],[Qty]]&gt;=5,Table1[[#This Row],[Order Size]] = "Large" ), "Bulk", "")</f>
        <v/>
      </c>
      <c r="R95" s="10">
        <f>_xlfn.XLOOKUP(G95, Lookup!$A$2:$A$7, Lookup!$B$2:$B$7, "")</f>
        <v>0.25</v>
      </c>
      <c r="S95" s="4" t="str">
        <f>IF(Table1[[#This Row],[Margin]]&lt;Table1[[#This Row],[Target Margin]], "Yes", "")</f>
        <v/>
      </c>
    </row>
    <row r="96" spans="1:19">
      <c r="A96" t="s">
        <v>138</v>
      </c>
      <c r="B96" s="2">
        <v>46217</v>
      </c>
      <c r="C96" t="s">
        <v>26</v>
      </c>
      <c r="D96" t="s">
        <v>24</v>
      </c>
      <c r="E96">
        <v>1</v>
      </c>
      <c r="F96" t="str">
        <f>_xlfn.XLOOKUP(D96, Products!$A$2:$A$21, Products!$B$2:$B$21, "Not Found")</f>
        <v>Wireless Earbuds</v>
      </c>
      <c r="G96" t="str">
        <f>_xlfn.XLOOKUP(D96, Products!$A$2:$A$21, Products!$C$2:$C$21,"not found")</f>
        <v>Audio</v>
      </c>
      <c r="H96" s="4">
        <f>_xlfn.XLOOKUP(D96, Products!$A$2:$A$21, Products!$E$2:$E$21, 0)</f>
        <v>249</v>
      </c>
      <c r="I96" s="4">
        <f>_xlfn.XLOOKUP(D96, Products!$A$2:$A$21, Products!$F$2:$F$21,0)</f>
        <v>140</v>
      </c>
      <c r="J96" t="str">
        <f>_xlfn.XLOOKUP(C96, Stores!$A$2:$A$7, Stores!$D$2:$D$7)</f>
        <v>Sydney North</v>
      </c>
      <c r="K96" s="4">
        <f t="shared" si="2"/>
        <v>249</v>
      </c>
      <c r="L96" s="4">
        <f t="shared" si="3"/>
        <v>109</v>
      </c>
      <c r="M96" s="10">
        <f>IF(Table1[[#This Row],[Revenue]]=0, "", Table1[[#This Row],[Profit]]/Table1[[#This Row],[Revenue]])</f>
        <v>0.43775100401606426</v>
      </c>
      <c r="N96" s="4" t="str">
        <f>IF(Table1[[#This Row],[Margin]]="", "check", IF(Table1[[#This Row],[Margin]]&lt;0.2, "Low", "OK"))</f>
        <v>OK</v>
      </c>
      <c r="O96" s="4" t="str" cm="1">
        <f t="array" ref="O96">_xlfn.IFS(Table1[[#This Row],[Revenue]]=0, "Check", Table1[[#This Row],[Revenue]]&gt;=1000, "Large", Table1[[#This Row],[Revenue]]&gt;=200, "Medium", TRUE, "Small")</f>
        <v>Medium</v>
      </c>
      <c r="P96" s="4" t="str">
        <f>IF(AND(Table1[[#This Row],[Margin Flag]]="Low", Table1[[#This Row],[Revenue]]&gt;1000), "Review", "")</f>
        <v/>
      </c>
      <c r="Q96" s="4" t="str">
        <f>IF(OR(Table1[[#This Row],[Qty]]&gt;=5,Table1[[#This Row],[Order Size]] = "Large" ), "Bulk", "")</f>
        <v/>
      </c>
      <c r="R96" s="10">
        <f>_xlfn.XLOOKUP(G96, Lookup!$A$2:$A$7, Lookup!$B$2:$B$7, "")</f>
        <v>0.25</v>
      </c>
      <c r="S96" s="4" t="str">
        <f>IF(Table1[[#This Row],[Margin]]&lt;Table1[[#This Row],[Target Margin]], "Yes", "")</f>
        <v/>
      </c>
    </row>
    <row r="97" spans="1:19">
      <c r="A97" t="s">
        <v>139</v>
      </c>
      <c r="B97" s="2">
        <v>46217</v>
      </c>
      <c r="C97" t="s">
        <v>32</v>
      </c>
      <c r="D97" t="s">
        <v>30</v>
      </c>
      <c r="E97">
        <v>2</v>
      </c>
      <c r="F97" t="str">
        <f>_xlfn.XLOOKUP(D97, Products!$A$2:$A$21, Products!$B$2:$B$21, "Not Found")</f>
        <v>Video Game</v>
      </c>
      <c r="G97" t="str">
        <f>_xlfn.XLOOKUP(D97, Products!$A$2:$A$21, Products!$C$2:$C$21,"not found")</f>
        <v>Gaming</v>
      </c>
      <c r="H97" s="4">
        <f>_xlfn.XLOOKUP(D97, Products!$A$2:$A$21, Products!$E$2:$E$21, 0)</f>
        <v>79</v>
      </c>
      <c r="I97" s="4">
        <f>_xlfn.XLOOKUP(D97, Products!$A$2:$A$21, Products!$F$2:$F$21,0)</f>
        <v>52</v>
      </c>
      <c r="J97" t="str">
        <f>_xlfn.XLOOKUP(C97, Stores!$A$2:$A$7, Stores!$D$2:$D$7)</f>
        <v>Sydney South</v>
      </c>
      <c r="K97" s="4">
        <f t="shared" si="2"/>
        <v>158</v>
      </c>
      <c r="L97" s="4">
        <f t="shared" si="3"/>
        <v>54</v>
      </c>
      <c r="M97" s="10">
        <f>IF(Table1[[#This Row],[Revenue]]=0, "", Table1[[#This Row],[Profit]]/Table1[[#This Row],[Revenue]])</f>
        <v>0.34177215189873417</v>
      </c>
      <c r="N97" s="4" t="str">
        <f>IF(Table1[[#This Row],[Margin]]="", "check", IF(Table1[[#This Row],[Margin]]&lt;0.2, "Low", "OK"))</f>
        <v>OK</v>
      </c>
      <c r="O97" s="4" t="str" cm="1">
        <f t="array" ref="O97">_xlfn.IFS(Table1[[#This Row],[Revenue]]=0, "Check", Table1[[#This Row],[Revenue]]&gt;=1000, "Large", Table1[[#This Row],[Revenue]]&gt;=200, "Medium", TRUE, "Small")</f>
        <v>Small</v>
      </c>
      <c r="P97" s="4" t="str">
        <f>IF(AND(Table1[[#This Row],[Margin Flag]]="Low", Table1[[#This Row],[Revenue]]&gt;1000), "Review", "")</f>
        <v/>
      </c>
      <c r="Q97" s="4" t="str">
        <f>IF(OR(Table1[[#This Row],[Qty]]&gt;=5,Table1[[#This Row],[Order Size]] = "Large" ), "Bulk", "")</f>
        <v/>
      </c>
      <c r="R97" s="10">
        <f>_xlfn.XLOOKUP(G97, Lookup!$A$2:$A$7, Lookup!$B$2:$B$7, "")</f>
        <v>0.08</v>
      </c>
      <c r="S97" s="4" t="str">
        <f>IF(Table1[[#This Row],[Margin]]&lt;Table1[[#This Row],[Target Margin]], "Yes", "")</f>
        <v/>
      </c>
    </row>
    <row r="98" spans="1:19">
      <c r="A98" t="s">
        <v>140</v>
      </c>
      <c r="B98" s="2">
        <v>46217</v>
      </c>
      <c r="C98" t="s">
        <v>26</v>
      </c>
      <c r="D98" t="s">
        <v>21</v>
      </c>
      <c r="E98">
        <v>1</v>
      </c>
      <c r="F98" t="str">
        <f>_xlfn.XLOOKUP(D98, Products!$A$2:$A$21, Products!$B$2:$B$21, "Not Found")</f>
        <v>Gaming Mouse</v>
      </c>
      <c r="G98" t="str">
        <f>_xlfn.XLOOKUP(D98, Products!$A$2:$A$21, Products!$C$2:$C$21,"not found")</f>
        <v>Accessories</v>
      </c>
      <c r="H98" s="4">
        <f>_xlfn.XLOOKUP(D98, Products!$A$2:$A$21, Products!$E$2:$E$21, 0)</f>
        <v>89</v>
      </c>
      <c r="I98" s="4">
        <f>_xlfn.XLOOKUP(D98, Products!$A$2:$A$21, Products!$F$2:$F$21,0)</f>
        <v>41</v>
      </c>
      <c r="J98" t="str">
        <f>_xlfn.XLOOKUP(C98, Stores!$A$2:$A$7, Stores!$D$2:$D$7)</f>
        <v>Sydney North</v>
      </c>
      <c r="K98" s="4">
        <f t="shared" si="2"/>
        <v>89</v>
      </c>
      <c r="L98" s="4">
        <f t="shared" si="3"/>
        <v>48</v>
      </c>
      <c r="M98" s="10">
        <f>IF(Table1[[#This Row],[Revenue]]=0, "", Table1[[#This Row],[Profit]]/Table1[[#This Row],[Revenue]])</f>
        <v>0.5393258426966292</v>
      </c>
      <c r="N98" s="4" t="str">
        <f>IF(Table1[[#This Row],[Margin]]="", "check", IF(Table1[[#This Row],[Margin]]&lt;0.2, "Low", "OK"))</f>
        <v>OK</v>
      </c>
      <c r="O98" s="4" t="str" cm="1">
        <f t="array" ref="O98">_xlfn.IFS(Table1[[#This Row],[Revenue]]=0, "Check", Table1[[#This Row],[Revenue]]&gt;=1000, "Large", Table1[[#This Row],[Revenue]]&gt;=200, "Medium", TRUE, "Small")</f>
        <v>Small</v>
      </c>
      <c r="P98" s="4" t="str">
        <f>IF(AND(Table1[[#This Row],[Margin Flag]]="Low", Table1[[#This Row],[Revenue]]&gt;1000), "Review", "")</f>
        <v/>
      </c>
      <c r="Q98" s="4" t="str">
        <f>IF(OR(Table1[[#This Row],[Qty]]&gt;=5,Table1[[#This Row],[Order Size]] = "Large" ), "Bulk", "")</f>
        <v/>
      </c>
      <c r="R98" s="10">
        <f>_xlfn.XLOOKUP(G98, Lookup!$A$2:$A$7, Lookup!$B$2:$B$7, "")</f>
        <v>0.25</v>
      </c>
      <c r="S98" s="4" t="str">
        <f>IF(Table1[[#This Row],[Margin]]&lt;Table1[[#This Row],[Target Margin]], "Yes", "")</f>
        <v/>
      </c>
    </row>
    <row r="99" spans="1:19">
      <c r="A99" t="s">
        <v>141</v>
      </c>
      <c r="B99" s="2">
        <v>46217</v>
      </c>
      <c r="C99" t="s">
        <v>20</v>
      </c>
      <c r="D99" t="s">
        <v>30</v>
      </c>
      <c r="E99">
        <v>1</v>
      </c>
      <c r="F99" t="str">
        <f>_xlfn.XLOOKUP(D99, Products!$A$2:$A$21, Products!$B$2:$B$21, "Not Found")</f>
        <v>Video Game</v>
      </c>
      <c r="G99" t="str">
        <f>_xlfn.XLOOKUP(D99, Products!$A$2:$A$21, Products!$C$2:$C$21,"not found")</f>
        <v>Gaming</v>
      </c>
      <c r="H99" s="4">
        <f>_xlfn.XLOOKUP(D99, Products!$A$2:$A$21, Products!$E$2:$E$21, 0)</f>
        <v>79</v>
      </c>
      <c r="I99" s="4">
        <f>_xlfn.XLOOKUP(D99, Products!$A$2:$A$21, Products!$F$2:$F$21,0)</f>
        <v>52</v>
      </c>
      <c r="J99" t="str">
        <f>_xlfn.XLOOKUP(C99, Stores!$A$2:$A$7, Stores!$D$2:$D$7)</f>
        <v>Sydney West</v>
      </c>
      <c r="K99" s="4">
        <f t="shared" si="2"/>
        <v>79</v>
      </c>
      <c r="L99" s="4">
        <f t="shared" si="3"/>
        <v>27</v>
      </c>
      <c r="M99" s="10">
        <f>IF(Table1[[#This Row],[Revenue]]=0, "", Table1[[#This Row],[Profit]]/Table1[[#This Row],[Revenue]])</f>
        <v>0.34177215189873417</v>
      </c>
      <c r="N99" s="4" t="str">
        <f>IF(Table1[[#This Row],[Margin]]="", "check", IF(Table1[[#This Row],[Margin]]&lt;0.2, "Low", "OK"))</f>
        <v>OK</v>
      </c>
      <c r="O99" s="4" t="str" cm="1">
        <f t="array" ref="O99">_xlfn.IFS(Table1[[#This Row],[Revenue]]=0, "Check", Table1[[#This Row],[Revenue]]&gt;=1000, "Large", Table1[[#This Row],[Revenue]]&gt;=200, "Medium", TRUE, "Small")</f>
        <v>Small</v>
      </c>
      <c r="P99" s="4" t="str">
        <f>IF(AND(Table1[[#This Row],[Margin Flag]]="Low", Table1[[#This Row],[Revenue]]&gt;1000), "Review", "")</f>
        <v/>
      </c>
      <c r="Q99" s="4" t="str">
        <f>IF(OR(Table1[[#This Row],[Qty]]&gt;=5,Table1[[#This Row],[Order Size]] = "Large" ), "Bulk", "")</f>
        <v/>
      </c>
      <c r="R99" s="10">
        <f>_xlfn.XLOOKUP(G99, Lookup!$A$2:$A$7, Lookup!$B$2:$B$7, "")</f>
        <v>0.08</v>
      </c>
      <c r="S99" s="4" t="str">
        <f>IF(Table1[[#This Row],[Margin]]&lt;Table1[[#This Row],[Target Margin]], "Yes", "")</f>
        <v/>
      </c>
    </row>
    <row r="100" spans="1:19">
      <c r="A100" t="s">
        <v>142</v>
      </c>
      <c r="B100" s="2">
        <v>46217</v>
      </c>
      <c r="C100" t="s">
        <v>32</v>
      </c>
      <c r="D100" t="s">
        <v>30</v>
      </c>
      <c r="E100">
        <v>1</v>
      </c>
      <c r="F100" t="str">
        <f>_xlfn.XLOOKUP(D100, Products!$A$2:$A$21, Products!$B$2:$B$21, "Not Found")</f>
        <v>Video Game</v>
      </c>
      <c r="G100" t="str">
        <f>_xlfn.XLOOKUP(D100, Products!$A$2:$A$21, Products!$C$2:$C$21,"not found")</f>
        <v>Gaming</v>
      </c>
      <c r="H100" s="4">
        <f>_xlfn.XLOOKUP(D100, Products!$A$2:$A$21, Products!$E$2:$E$21, 0)</f>
        <v>79</v>
      </c>
      <c r="I100" s="4">
        <f>_xlfn.XLOOKUP(D100, Products!$A$2:$A$21, Products!$F$2:$F$21,0)</f>
        <v>52</v>
      </c>
      <c r="J100" t="str">
        <f>_xlfn.XLOOKUP(C100, Stores!$A$2:$A$7, Stores!$D$2:$D$7)</f>
        <v>Sydney South</v>
      </c>
      <c r="K100" s="4">
        <f t="shared" si="2"/>
        <v>79</v>
      </c>
      <c r="L100" s="4">
        <f t="shared" si="3"/>
        <v>27</v>
      </c>
      <c r="M100" s="10">
        <f>IF(Table1[[#This Row],[Revenue]]=0, "", Table1[[#This Row],[Profit]]/Table1[[#This Row],[Revenue]])</f>
        <v>0.34177215189873417</v>
      </c>
      <c r="N100" s="4" t="str">
        <f>IF(Table1[[#This Row],[Margin]]="", "check", IF(Table1[[#This Row],[Margin]]&lt;0.2, "Low", "OK"))</f>
        <v>OK</v>
      </c>
      <c r="O100" s="4" t="str" cm="1">
        <f t="array" ref="O100">_xlfn.IFS(Table1[[#This Row],[Revenue]]=0, "Check", Table1[[#This Row],[Revenue]]&gt;=1000, "Large", Table1[[#This Row],[Revenue]]&gt;=200, "Medium", TRUE, "Small")</f>
        <v>Small</v>
      </c>
      <c r="P100" s="4" t="str">
        <f>IF(AND(Table1[[#This Row],[Margin Flag]]="Low", Table1[[#This Row],[Revenue]]&gt;1000), "Review", "")</f>
        <v/>
      </c>
      <c r="Q100" s="4" t="str">
        <f>IF(OR(Table1[[#This Row],[Qty]]&gt;=5,Table1[[#This Row],[Order Size]] = "Large" ), "Bulk", "")</f>
        <v/>
      </c>
      <c r="R100" s="10">
        <f>_xlfn.XLOOKUP(G100, Lookup!$A$2:$A$7, Lookup!$B$2:$B$7, "")</f>
        <v>0.08</v>
      </c>
      <c r="S100" s="4" t="str">
        <f>IF(Table1[[#This Row],[Margin]]&lt;Table1[[#This Row],[Target Margin]], "Yes", "")</f>
        <v/>
      </c>
    </row>
    <row r="101" spans="1:19">
      <c r="A101" t="s">
        <v>143</v>
      </c>
      <c r="B101" s="2">
        <v>46217</v>
      </c>
      <c r="C101" t="s">
        <v>23</v>
      </c>
      <c r="D101" t="s">
        <v>60</v>
      </c>
      <c r="E101">
        <v>1</v>
      </c>
      <c r="F101" t="str">
        <f>_xlfn.XLOOKUP(D101, Products!$A$2:$A$21, Products!$B$2:$B$21, "Not Found")</f>
        <v>55in TV</v>
      </c>
      <c r="G101" t="str">
        <f>_xlfn.XLOOKUP(D101, Products!$A$2:$A$21, Products!$C$2:$C$21,"not found")</f>
        <v>TV</v>
      </c>
      <c r="H101" s="4">
        <f>_xlfn.XLOOKUP(D101, Products!$A$2:$A$21, Products!$E$2:$E$21, 0)</f>
        <v>1299</v>
      </c>
      <c r="I101" s="4">
        <f>_xlfn.XLOOKUP(D101, Products!$A$2:$A$21, Products!$F$2:$F$21,0)</f>
        <v>980</v>
      </c>
      <c r="J101" t="str">
        <f>_xlfn.XLOOKUP(C101, Stores!$A$2:$A$7, Stores!$D$2:$D$7)</f>
        <v>Sydney East</v>
      </c>
      <c r="K101" s="4">
        <f t="shared" si="2"/>
        <v>1299</v>
      </c>
      <c r="L101" s="4">
        <f t="shared" si="3"/>
        <v>319</v>
      </c>
      <c r="M101" s="10">
        <f>IF(Table1[[#This Row],[Revenue]]=0, "", Table1[[#This Row],[Profit]]/Table1[[#This Row],[Revenue]])</f>
        <v>0.2455735180908391</v>
      </c>
      <c r="N101" s="4" t="str">
        <f>IF(Table1[[#This Row],[Margin]]="", "check", IF(Table1[[#This Row],[Margin]]&lt;0.2, "Low", "OK"))</f>
        <v>OK</v>
      </c>
      <c r="O101" s="4" t="str" cm="1">
        <f t="array" ref="O101">_xlfn.IFS(Table1[[#This Row],[Revenue]]=0, "Check", Table1[[#This Row],[Revenue]]&gt;=1000, "Large", Table1[[#This Row],[Revenue]]&gt;=200, "Medium", TRUE, "Small")</f>
        <v>Large</v>
      </c>
      <c r="P101" s="4" t="str">
        <f>IF(AND(Table1[[#This Row],[Margin Flag]]="Low", Table1[[#This Row],[Revenue]]&gt;1000), "Review", "")</f>
        <v/>
      </c>
      <c r="Q101" s="4" t="str">
        <f>IF(OR(Table1[[#This Row],[Qty]]&gt;=5,Table1[[#This Row],[Order Size]] = "Large" ), "Bulk", "")</f>
        <v>Bulk</v>
      </c>
      <c r="R101" s="10">
        <f>_xlfn.XLOOKUP(G101, Lookup!$A$2:$A$7, Lookup!$B$2:$B$7, "")</f>
        <v>0.25</v>
      </c>
      <c r="S101" s="4" t="str">
        <f>IF(Table1[[#This Row],[Margin]]&lt;Table1[[#This Row],[Target Margin]], "Yes", "")</f>
        <v>Yes</v>
      </c>
    </row>
    <row r="102" spans="1:19">
      <c r="A102" t="s">
        <v>144</v>
      </c>
      <c r="B102" s="2">
        <v>46217</v>
      </c>
      <c r="C102" t="s">
        <v>32</v>
      </c>
      <c r="D102" t="s">
        <v>58</v>
      </c>
      <c r="E102">
        <v>3</v>
      </c>
      <c r="F102" t="str">
        <f>_xlfn.XLOOKUP(D102, Products!$A$2:$A$21, Products!$B$2:$B$21, "Not Found")</f>
        <v>Mech Keyboard</v>
      </c>
      <c r="G102" t="str">
        <f>_xlfn.XLOOKUP(D102, Products!$A$2:$A$21, Products!$C$2:$C$21,"not found")</f>
        <v>Accessories</v>
      </c>
      <c r="H102" s="4">
        <f>_xlfn.XLOOKUP(D102, Products!$A$2:$A$21, Products!$E$2:$E$21, 0)</f>
        <v>149</v>
      </c>
      <c r="I102" s="4">
        <f>_xlfn.XLOOKUP(D102, Products!$A$2:$A$21, Products!$F$2:$F$21,0)</f>
        <v>72</v>
      </c>
      <c r="J102" t="str">
        <f>_xlfn.XLOOKUP(C102, Stores!$A$2:$A$7, Stores!$D$2:$D$7)</f>
        <v>Sydney South</v>
      </c>
      <c r="K102" s="4">
        <f t="shared" si="2"/>
        <v>447</v>
      </c>
      <c r="L102" s="4">
        <f t="shared" si="3"/>
        <v>231</v>
      </c>
      <c r="M102" s="10">
        <f>IF(Table1[[#This Row],[Revenue]]=0, "", Table1[[#This Row],[Profit]]/Table1[[#This Row],[Revenue]])</f>
        <v>0.51677852348993292</v>
      </c>
      <c r="N102" s="4" t="str">
        <f>IF(Table1[[#This Row],[Margin]]="", "check", IF(Table1[[#This Row],[Margin]]&lt;0.2, "Low", "OK"))</f>
        <v>OK</v>
      </c>
      <c r="O102" s="4" t="str" cm="1">
        <f t="array" ref="O102">_xlfn.IFS(Table1[[#This Row],[Revenue]]=0, "Check", Table1[[#This Row],[Revenue]]&gt;=1000, "Large", Table1[[#This Row],[Revenue]]&gt;=200, "Medium", TRUE, "Small")</f>
        <v>Medium</v>
      </c>
      <c r="P102" s="4" t="str">
        <f>IF(AND(Table1[[#This Row],[Margin Flag]]="Low", Table1[[#This Row],[Revenue]]&gt;1000), "Review", "")</f>
        <v/>
      </c>
      <c r="Q102" s="4" t="str">
        <f>IF(OR(Table1[[#This Row],[Qty]]&gt;=5,Table1[[#This Row],[Order Size]] = "Large" ), "Bulk", "")</f>
        <v/>
      </c>
      <c r="R102" s="10">
        <f>_xlfn.XLOOKUP(G102, Lookup!$A$2:$A$7, Lookup!$B$2:$B$7, "")</f>
        <v>0.25</v>
      </c>
      <c r="S102" s="4" t="str">
        <f>IF(Table1[[#This Row],[Margin]]&lt;Table1[[#This Row],[Target Margin]], "Yes", "")</f>
        <v/>
      </c>
    </row>
    <row r="103" spans="1:19">
      <c r="A103" t="s">
        <v>145</v>
      </c>
      <c r="B103" s="2">
        <v>46217</v>
      </c>
      <c r="C103" t="s">
        <v>20</v>
      </c>
      <c r="D103" t="s">
        <v>24</v>
      </c>
      <c r="E103">
        <v>1</v>
      </c>
      <c r="F103" t="str">
        <f>_xlfn.XLOOKUP(D103, Products!$A$2:$A$21, Products!$B$2:$B$21, "Not Found")</f>
        <v>Wireless Earbuds</v>
      </c>
      <c r="G103" t="str">
        <f>_xlfn.XLOOKUP(D103, Products!$A$2:$A$21, Products!$C$2:$C$21,"not found")</f>
        <v>Audio</v>
      </c>
      <c r="H103" s="4">
        <f>_xlfn.XLOOKUP(D103, Products!$A$2:$A$21, Products!$E$2:$E$21, 0)</f>
        <v>249</v>
      </c>
      <c r="I103" s="4">
        <f>_xlfn.XLOOKUP(D103, Products!$A$2:$A$21, Products!$F$2:$F$21,0)</f>
        <v>140</v>
      </c>
      <c r="J103" t="str">
        <f>_xlfn.XLOOKUP(C103, Stores!$A$2:$A$7, Stores!$D$2:$D$7)</f>
        <v>Sydney West</v>
      </c>
      <c r="K103" s="4">
        <f t="shared" si="2"/>
        <v>249</v>
      </c>
      <c r="L103" s="4">
        <f t="shared" si="3"/>
        <v>109</v>
      </c>
      <c r="M103" s="10">
        <f>IF(Table1[[#This Row],[Revenue]]=0, "", Table1[[#This Row],[Profit]]/Table1[[#This Row],[Revenue]])</f>
        <v>0.43775100401606426</v>
      </c>
      <c r="N103" s="4" t="str">
        <f>IF(Table1[[#This Row],[Margin]]="", "check", IF(Table1[[#This Row],[Margin]]&lt;0.2, "Low", "OK"))</f>
        <v>OK</v>
      </c>
      <c r="O103" s="4" t="str" cm="1">
        <f t="array" ref="O103">_xlfn.IFS(Table1[[#This Row],[Revenue]]=0, "Check", Table1[[#This Row],[Revenue]]&gt;=1000, "Large", Table1[[#This Row],[Revenue]]&gt;=200, "Medium", TRUE, "Small")</f>
        <v>Medium</v>
      </c>
      <c r="P103" s="4" t="str">
        <f>IF(AND(Table1[[#This Row],[Margin Flag]]="Low", Table1[[#This Row],[Revenue]]&gt;1000), "Review", "")</f>
        <v/>
      </c>
      <c r="Q103" s="4" t="str">
        <f>IF(OR(Table1[[#This Row],[Qty]]&gt;=5,Table1[[#This Row],[Order Size]] = "Large" ), "Bulk", "")</f>
        <v/>
      </c>
      <c r="R103" s="10">
        <f>_xlfn.XLOOKUP(G103, Lookup!$A$2:$A$7, Lookup!$B$2:$B$7, "")</f>
        <v>0.25</v>
      </c>
      <c r="S103" s="4" t="str">
        <f>IF(Table1[[#This Row],[Margin]]&lt;Table1[[#This Row],[Target Margin]], "Yes", "")</f>
        <v/>
      </c>
    </row>
    <row r="104" spans="1:19">
      <c r="A104" t="s">
        <v>146</v>
      </c>
      <c r="B104" s="2">
        <v>46217</v>
      </c>
      <c r="C104" t="s">
        <v>23</v>
      </c>
      <c r="D104" t="s">
        <v>50</v>
      </c>
      <c r="E104">
        <v>1</v>
      </c>
      <c r="F104" t="str">
        <f>_xlfn.XLOOKUP(D104, Products!$A$2:$A$21, Products!$B$2:$B$21, "Not Found")</f>
        <v>Smartphone 128GB</v>
      </c>
      <c r="G104" t="str">
        <f>_xlfn.XLOOKUP(D104, Products!$A$2:$A$21, Products!$C$2:$C$21,"not found")</f>
        <v>Phones</v>
      </c>
      <c r="H104" s="4">
        <f>_xlfn.XLOOKUP(D104, Products!$A$2:$A$21, Products!$E$2:$E$21, 0)</f>
        <v>1099</v>
      </c>
      <c r="I104" s="4">
        <f>_xlfn.XLOOKUP(D104, Products!$A$2:$A$21, Products!$F$2:$F$21,0)</f>
        <v>860</v>
      </c>
      <c r="J104" t="str">
        <f>_xlfn.XLOOKUP(C104, Stores!$A$2:$A$7, Stores!$D$2:$D$7)</f>
        <v>Sydney East</v>
      </c>
      <c r="K104" s="4">
        <f t="shared" si="2"/>
        <v>1099</v>
      </c>
      <c r="L104" s="4">
        <f t="shared" si="3"/>
        <v>239</v>
      </c>
      <c r="M104" s="10">
        <f>IF(Table1[[#This Row],[Revenue]]=0, "", Table1[[#This Row],[Profit]]/Table1[[#This Row],[Revenue]])</f>
        <v>0.21747042766151045</v>
      </c>
      <c r="N104" s="4" t="str">
        <f>IF(Table1[[#This Row],[Margin]]="", "check", IF(Table1[[#This Row],[Margin]]&lt;0.2, "Low", "OK"))</f>
        <v>OK</v>
      </c>
      <c r="O104" s="4" t="str" cm="1">
        <f t="array" ref="O104">_xlfn.IFS(Table1[[#This Row],[Revenue]]=0, "Check", Table1[[#This Row],[Revenue]]&gt;=1000, "Large", Table1[[#This Row],[Revenue]]&gt;=200, "Medium", TRUE, "Small")</f>
        <v>Large</v>
      </c>
      <c r="P104" s="4" t="str">
        <f>IF(AND(Table1[[#This Row],[Margin Flag]]="Low", Table1[[#This Row],[Revenue]]&gt;1000), "Review", "")</f>
        <v/>
      </c>
      <c r="Q104" s="4" t="str">
        <f>IF(OR(Table1[[#This Row],[Qty]]&gt;=5,Table1[[#This Row],[Order Size]] = "Large" ), "Bulk", "")</f>
        <v>Bulk</v>
      </c>
      <c r="R104" s="10">
        <f>_xlfn.XLOOKUP(G104, Lookup!$A$2:$A$7, Lookup!$B$2:$B$7, "")</f>
        <v>0.25</v>
      </c>
      <c r="S104" s="4" t="str">
        <f>IF(Table1[[#This Row],[Margin]]&lt;Table1[[#This Row],[Target Margin]], "Yes", "")</f>
        <v>Yes</v>
      </c>
    </row>
    <row r="105" spans="1:19">
      <c r="A105" t="s">
        <v>147</v>
      </c>
      <c r="B105" s="2">
        <v>46217</v>
      </c>
      <c r="C105" t="s">
        <v>20</v>
      </c>
      <c r="D105" t="s">
        <v>35</v>
      </c>
      <c r="E105">
        <v>1</v>
      </c>
      <c r="F105" t="str">
        <f>_xlfn.XLOOKUP(D105, Products!$A$2:$A$21, Products!$B$2:$B$21, "Not Found")</f>
        <v>Phone Case</v>
      </c>
      <c r="G105" t="str">
        <f>_xlfn.XLOOKUP(D105, Products!$A$2:$A$21, Products!$C$2:$C$21,"not found")</f>
        <v>Accessories</v>
      </c>
      <c r="H105" s="4">
        <f>_xlfn.XLOOKUP(D105, Products!$A$2:$A$21, Products!$E$2:$E$21, 0)</f>
        <v>39</v>
      </c>
      <c r="I105" s="4">
        <f>_xlfn.XLOOKUP(D105, Products!$A$2:$A$21, Products!$F$2:$F$21,0)</f>
        <v>9</v>
      </c>
      <c r="J105" t="str">
        <f>_xlfn.XLOOKUP(C105, Stores!$A$2:$A$7, Stores!$D$2:$D$7)</f>
        <v>Sydney West</v>
      </c>
      <c r="K105" s="4">
        <f t="shared" si="2"/>
        <v>39</v>
      </c>
      <c r="L105" s="4">
        <f t="shared" si="3"/>
        <v>30</v>
      </c>
      <c r="M105" s="10">
        <f>IF(Table1[[#This Row],[Revenue]]=0, "", Table1[[#This Row],[Profit]]/Table1[[#This Row],[Revenue]])</f>
        <v>0.76923076923076927</v>
      </c>
      <c r="N105" s="4" t="str">
        <f>IF(Table1[[#This Row],[Margin]]="", "check", IF(Table1[[#This Row],[Margin]]&lt;0.2, "Low", "OK"))</f>
        <v>OK</v>
      </c>
      <c r="O105" s="4" t="str" cm="1">
        <f t="array" ref="O105">_xlfn.IFS(Table1[[#This Row],[Revenue]]=0, "Check", Table1[[#This Row],[Revenue]]&gt;=1000, "Large", Table1[[#This Row],[Revenue]]&gt;=200, "Medium", TRUE, "Small")</f>
        <v>Small</v>
      </c>
      <c r="P105" s="4" t="str">
        <f>IF(AND(Table1[[#This Row],[Margin Flag]]="Low", Table1[[#This Row],[Revenue]]&gt;1000), "Review", "")</f>
        <v/>
      </c>
      <c r="Q105" s="4" t="str">
        <f>IF(OR(Table1[[#This Row],[Qty]]&gt;=5,Table1[[#This Row],[Order Size]] = "Large" ), "Bulk", "")</f>
        <v/>
      </c>
      <c r="R105" s="10">
        <f>_xlfn.XLOOKUP(G105, Lookup!$A$2:$A$7, Lookup!$B$2:$B$7, "")</f>
        <v>0.25</v>
      </c>
      <c r="S105" s="4" t="str">
        <f>IF(Table1[[#This Row],[Margin]]&lt;Table1[[#This Row],[Target Margin]], "Yes", "")</f>
        <v/>
      </c>
    </row>
    <row r="106" spans="1:19">
      <c r="A106" t="s">
        <v>148</v>
      </c>
      <c r="B106" s="2">
        <v>46217</v>
      </c>
      <c r="C106" t="s">
        <v>32</v>
      </c>
      <c r="D106" t="s">
        <v>27</v>
      </c>
      <c r="E106">
        <v>1</v>
      </c>
      <c r="F106" t="str">
        <f>_xlfn.XLOOKUP(D106, Products!$A$2:$A$21, Products!$B$2:$B$21, "Not Found")</f>
        <v>Bluetooth Speaker</v>
      </c>
      <c r="G106" t="str">
        <f>_xlfn.XLOOKUP(D106, Products!$A$2:$A$21, Products!$C$2:$C$21,"not found")</f>
        <v>Audio</v>
      </c>
      <c r="H106" s="4">
        <f>_xlfn.XLOOKUP(D106, Products!$A$2:$A$21, Products!$E$2:$E$21, 0)</f>
        <v>179</v>
      </c>
      <c r="I106" s="4">
        <f>_xlfn.XLOOKUP(D106, Products!$A$2:$A$21, Products!$F$2:$F$21,0)</f>
        <v>95</v>
      </c>
      <c r="J106" t="str">
        <f>_xlfn.XLOOKUP(C106, Stores!$A$2:$A$7, Stores!$D$2:$D$7)</f>
        <v>Sydney South</v>
      </c>
      <c r="K106" s="4">
        <f t="shared" si="2"/>
        <v>179</v>
      </c>
      <c r="L106" s="4">
        <f t="shared" si="3"/>
        <v>84</v>
      </c>
      <c r="M106" s="10">
        <f>IF(Table1[[#This Row],[Revenue]]=0, "", Table1[[#This Row],[Profit]]/Table1[[#This Row],[Revenue]])</f>
        <v>0.46927374301675978</v>
      </c>
      <c r="N106" s="4" t="str">
        <f>IF(Table1[[#This Row],[Margin]]="", "check", IF(Table1[[#This Row],[Margin]]&lt;0.2, "Low", "OK"))</f>
        <v>OK</v>
      </c>
      <c r="O106" s="4" t="str" cm="1">
        <f t="array" ref="O106">_xlfn.IFS(Table1[[#This Row],[Revenue]]=0, "Check", Table1[[#This Row],[Revenue]]&gt;=1000, "Large", Table1[[#This Row],[Revenue]]&gt;=200, "Medium", TRUE, "Small")</f>
        <v>Small</v>
      </c>
      <c r="P106" s="4" t="str">
        <f>IF(AND(Table1[[#This Row],[Margin Flag]]="Low", Table1[[#This Row],[Revenue]]&gt;1000), "Review", "")</f>
        <v/>
      </c>
      <c r="Q106" s="4" t="str">
        <f>IF(OR(Table1[[#This Row],[Qty]]&gt;=5,Table1[[#This Row],[Order Size]] = "Large" ), "Bulk", "")</f>
        <v/>
      </c>
      <c r="R106" s="10">
        <f>_xlfn.XLOOKUP(G106, Lookup!$A$2:$A$7, Lookup!$B$2:$B$7, "")</f>
        <v>0.25</v>
      </c>
      <c r="S106" s="4" t="str">
        <f>IF(Table1[[#This Row],[Margin]]&lt;Table1[[#This Row],[Target Margin]], "Yes", "")</f>
        <v/>
      </c>
    </row>
    <row r="107" spans="1:19">
      <c r="A107" t="s">
        <v>149</v>
      </c>
      <c r="B107" s="2">
        <v>46217</v>
      </c>
      <c r="C107" t="s">
        <v>23</v>
      </c>
      <c r="D107" t="s">
        <v>38</v>
      </c>
      <c r="E107">
        <v>1</v>
      </c>
      <c r="F107" t="str">
        <f>_xlfn.XLOOKUP(D107, Products!$A$2:$A$21, Products!$B$2:$B$21, "Not Found")</f>
        <v>USB-C Charger</v>
      </c>
      <c r="G107" t="str">
        <f>_xlfn.XLOOKUP(D107, Products!$A$2:$A$21, Products!$C$2:$C$21,"not found")</f>
        <v>Accessories</v>
      </c>
      <c r="H107" s="4">
        <f>_xlfn.XLOOKUP(D107, Products!$A$2:$A$21, Products!$E$2:$E$21, 0)</f>
        <v>49</v>
      </c>
      <c r="I107" s="4">
        <f>_xlfn.XLOOKUP(D107, Products!$A$2:$A$21, Products!$F$2:$F$21,0)</f>
        <v>14</v>
      </c>
      <c r="J107" t="str">
        <f>_xlfn.XLOOKUP(C107, Stores!$A$2:$A$7, Stores!$D$2:$D$7)</f>
        <v>Sydney East</v>
      </c>
      <c r="K107" s="4">
        <f t="shared" si="2"/>
        <v>49</v>
      </c>
      <c r="L107" s="4">
        <f t="shared" si="3"/>
        <v>35</v>
      </c>
      <c r="M107" s="10">
        <f>IF(Table1[[#This Row],[Revenue]]=0, "", Table1[[#This Row],[Profit]]/Table1[[#This Row],[Revenue]])</f>
        <v>0.7142857142857143</v>
      </c>
      <c r="N107" s="4" t="str">
        <f>IF(Table1[[#This Row],[Margin]]="", "check", IF(Table1[[#This Row],[Margin]]&lt;0.2, "Low", "OK"))</f>
        <v>OK</v>
      </c>
      <c r="O107" s="4" t="str" cm="1">
        <f t="array" ref="O107">_xlfn.IFS(Table1[[#This Row],[Revenue]]=0, "Check", Table1[[#This Row],[Revenue]]&gt;=1000, "Large", Table1[[#This Row],[Revenue]]&gt;=200, "Medium", TRUE, "Small")</f>
        <v>Small</v>
      </c>
      <c r="P107" s="4" t="str">
        <f>IF(AND(Table1[[#This Row],[Margin Flag]]="Low", Table1[[#This Row],[Revenue]]&gt;1000), "Review", "")</f>
        <v/>
      </c>
      <c r="Q107" s="4" t="str">
        <f>IF(OR(Table1[[#This Row],[Qty]]&gt;=5,Table1[[#This Row],[Order Size]] = "Large" ), "Bulk", "")</f>
        <v/>
      </c>
      <c r="R107" s="10">
        <f>_xlfn.XLOOKUP(G107, Lookup!$A$2:$A$7, Lookup!$B$2:$B$7, "")</f>
        <v>0.25</v>
      </c>
      <c r="S107" s="4" t="str">
        <f>IF(Table1[[#This Row],[Margin]]&lt;Table1[[#This Row],[Target Margin]], "Yes", "")</f>
        <v/>
      </c>
    </row>
    <row r="108" spans="1:19">
      <c r="A108" t="s">
        <v>150</v>
      </c>
      <c r="B108" s="2">
        <v>46217</v>
      </c>
      <c r="C108" t="s">
        <v>57</v>
      </c>
      <c r="D108" t="s">
        <v>43</v>
      </c>
      <c r="E108">
        <v>1</v>
      </c>
      <c r="F108" t="str">
        <f>_xlfn.XLOOKUP(D108, Products!$A$2:$A$21, Products!$B$2:$B$21, "Not Found")</f>
        <v>Console Controller</v>
      </c>
      <c r="G108" t="str">
        <f>_xlfn.XLOOKUP(D108, Products!$A$2:$A$21, Products!$C$2:$C$21,"not found")</f>
        <v>Gaming</v>
      </c>
      <c r="H108" s="4">
        <f>_xlfn.XLOOKUP(D108, Products!$A$2:$A$21, Products!$E$2:$E$21, 0)</f>
        <v>99</v>
      </c>
      <c r="I108" s="4">
        <f>_xlfn.XLOOKUP(D108, Products!$A$2:$A$21, Products!$F$2:$F$21,0)</f>
        <v>58</v>
      </c>
      <c r="J108" t="str">
        <f>_xlfn.XLOOKUP(C108, Stores!$A$2:$A$7, Stores!$D$2:$D$7)</f>
        <v>Sydney South</v>
      </c>
      <c r="K108" s="4">
        <f t="shared" si="2"/>
        <v>99</v>
      </c>
      <c r="L108" s="4">
        <f t="shared" si="3"/>
        <v>41</v>
      </c>
      <c r="M108" s="10">
        <f>IF(Table1[[#This Row],[Revenue]]=0, "", Table1[[#This Row],[Profit]]/Table1[[#This Row],[Revenue]])</f>
        <v>0.41414141414141414</v>
      </c>
      <c r="N108" s="4" t="str">
        <f>IF(Table1[[#This Row],[Margin]]="", "check", IF(Table1[[#This Row],[Margin]]&lt;0.2, "Low", "OK"))</f>
        <v>OK</v>
      </c>
      <c r="O108" s="4" t="str" cm="1">
        <f t="array" ref="O108">_xlfn.IFS(Table1[[#This Row],[Revenue]]=0, "Check", Table1[[#This Row],[Revenue]]&gt;=1000, "Large", Table1[[#This Row],[Revenue]]&gt;=200, "Medium", TRUE, "Small")</f>
        <v>Small</v>
      </c>
      <c r="P108" s="4" t="str">
        <f>IF(AND(Table1[[#This Row],[Margin Flag]]="Low", Table1[[#This Row],[Revenue]]&gt;1000), "Review", "")</f>
        <v/>
      </c>
      <c r="Q108" s="4" t="str">
        <f>IF(OR(Table1[[#This Row],[Qty]]&gt;=5,Table1[[#This Row],[Order Size]] = "Large" ), "Bulk", "")</f>
        <v/>
      </c>
      <c r="R108" s="10">
        <f>_xlfn.XLOOKUP(G108, Lookup!$A$2:$A$7, Lookup!$B$2:$B$7, "")</f>
        <v>0.08</v>
      </c>
      <c r="S108" s="4" t="str">
        <f>IF(Table1[[#This Row],[Margin]]&lt;Table1[[#This Row],[Target Margin]], "Yes", "")</f>
        <v/>
      </c>
    </row>
    <row r="109" spans="1:19">
      <c r="A109" t="s">
        <v>151</v>
      </c>
      <c r="B109" s="2">
        <v>46218</v>
      </c>
      <c r="C109" t="s">
        <v>26</v>
      </c>
      <c r="D109" t="s">
        <v>152</v>
      </c>
      <c r="E109">
        <v>1</v>
      </c>
      <c r="F109" t="str">
        <f>_xlfn.XLOOKUP(D109, Products!$A$2:$A$21, Products!$B$2:$B$21, "Not Found")</f>
        <v>Game Console</v>
      </c>
      <c r="G109" t="str">
        <f>_xlfn.XLOOKUP(D109, Products!$A$2:$A$21, Products!$C$2:$C$21,"not found")</f>
        <v>Gaming</v>
      </c>
      <c r="H109" s="4">
        <f>_xlfn.XLOOKUP(D109, Products!$A$2:$A$21, Products!$E$2:$E$21, 0)</f>
        <v>499</v>
      </c>
      <c r="I109" s="4">
        <f>_xlfn.XLOOKUP(D109, Products!$A$2:$A$21, Products!$F$2:$F$21,0)</f>
        <v>420</v>
      </c>
      <c r="J109" t="str">
        <f>_xlfn.XLOOKUP(C109, Stores!$A$2:$A$7, Stores!$D$2:$D$7)</f>
        <v>Sydney North</v>
      </c>
      <c r="K109" s="4">
        <f t="shared" si="2"/>
        <v>499</v>
      </c>
      <c r="L109" s="4">
        <f t="shared" si="3"/>
        <v>79</v>
      </c>
      <c r="M109" s="10">
        <f>IF(Table1[[#This Row],[Revenue]]=0, "", Table1[[#This Row],[Profit]]/Table1[[#This Row],[Revenue]])</f>
        <v>0.15831663326653306</v>
      </c>
      <c r="N109" s="4" t="str">
        <f>IF(Table1[[#This Row],[Margin]]="", "check", IF(Table1[[#This Row],[Margin]]&lt;0.2, "Low", "OK"))</f>
        <v>Low</v>
      </c>
      <c r="O109" s="4" t="str" cm="1">
        <f t="array" ref="O109">_xlfn.IFS(Table1[[#This Row],[Revenue]]=0, "Check", Table1[[#This Row],[Revenue]]&gt;=1000, "Large", Table1[[#This Row],[Revenue]]&gt;=200, "Medium", TRUE, "Small")</f>
        <v>Medium</v>
      </c>
      <c r="P109" s="4" t="str">
        <f>IF(AND(Table1[[#This Row],[Margin Flag]]="Low", Table1[[#This Row],[Revenue]]&gt;1000), "Review", "")</f>
        <v/>
      </c>
      <c r="Q109" s="4" t="str">
        <f>IF(OR(Table1[[#This Row],[Qty]]&gt;=5,Table1[[#This Row],[Order Size]] = "Large" ), "Bulk", "")</f>
        <v/>
      </c>
      <c r="R109" s="10">
        <f>_xlfn.XLOOKUP(G109, Lookup!$A$2:$A$7, Lookup!$B$2:$B$7, "")</f>
        <v>0.08</v>
      </c>
      <c r="S109" s="4" t="str">
        <f>IF(Table1[[#This Row],[Margin]]&lt;Table1[[#This Row],[Target Margin]], "Yes", "")</f>
        <v/>
      </c>
    </row>
    <row r="110" spans="1:19">
      <c r="A110" t="s">
        <v>153</v>
      </c>
      <c r="B110" s="2">
        <v>46218</v>
      </c>
      <c r="C110" t="s">
        <v>20</v>
      </c>
      <c r="D110" t="s">
        <v>60</v>
      </c>
      <c r="E110">
        <v>1</v>
      </c>
      <c r="F110" t="str">
        <f>_xlfn.XLOOKUP(D110, Products!$A$2:$A$21, Products!$B$2:$B$21, "Not Found")</f>
        <v>55in TV</v>
      </c>
      <c r="G110" t="str">
        <f>_xlfn.XLOOKUP(D110, Products!$A$2:$A$21, Products!$C$2:$C$21,"not found")</f>
        <v>TV</v>
      </c>
      <c r="H110" s="4">
        <f>_xlfn.XLOOKUP(D110, Products!$A$2:$A$21, Products!$E$2:$E$21, 0)</f>
        <v>1299</v>
      </c>
      <c r="I110" s="4">
        <f>_xlfn.XLOOKUP(D110, Products!$A$2:$A$21, Products!$F$2:$F$21,0)</f>
        <v>980</v>
      </c>
      <c r="J110" t="str">
        <f>_xlfn.XLOOKUP(C110, Stores!$A$2:$A$7, Stores!$D$2:$D$7)</f>
        <v>Sydney West</v>
      </c>
      <c r="K110" s="4">
        <f t="shared" si="2"/>
        <v>1299</v>
      </c>
      <c r="L110" s="4">
        <f t="shared" si="3"/>
        <v>319</v>
      </c>
      <c r="M110" s="10">
        <f>IF(Table1[[#This Row],[Revenue]]=0, "", Table1[[#This Row],[Profit]]/Table1[[#This Row],[Revenue]])</f>
        <v>0.2455735180908391</v>
      </c>
      <c r="N110" s="4" t="str">
        <f>IF(Table1[[#This Row],[Margin]]="", "check", IF(Table1[[#This Row],[Margin]]&lt;0.2, "Low", "OK"))</f>
        <v>OK</v>
      </c>
      <c r="O110" s="4" t="str" cm="1">
        <f t="array" ref="O110">_xlfn.IFS(Table1[[#This Row],[Revenue]]=0, "Check", Table1[[#This Row],[Revenue]]&gt;=1000, "Large", Table1[[#This Row],[Revenue]]&gt;=200, "Medium", TRUE, "Small")</f>
        <v>Large</v>
      </c>
      <c r="P110" s="4" t="str">
        <f>IF(AND(Table1[[#This Row],[Margin Flag]]="Low", Table1[[#This Row],[Revenue]]&gt;1000), "Review", "")</f>
        <v/>
      </c>
      <c r="Q110" s="4" t="str">
        <f>IF(OR(Table1[[#This Row],[Qty]]&gt;=5,Table1[[#This Row],[Order Size]] = "Large" ), "Bulk", "")</f>
        <v>Bulk</v>
      </c>
      <c r="R110" s="10">
        <f>_xlfn.XLOOKUP(G110, Lookup!$A$2:$A$7, Lookup!$B$2:$B$7, "")</f>
        <v>0.25</v>
      </c>
      <c r="S110" s="4" t="str">
        <f>IF(Table1[[#This Row],[Margin]]&lt;Table1[[#This Row],[Target Margin]], "Yes", "")</f>
        <v>Yes</v>
      </c>
    </row>
    <row r="111" spans="1:19">
      <c r="A111" t="s">
        <v>154</v>
      </c>
      <c r="B111" s="2">
        <v>46218</v>
      </c>
      <c r="C111" t="s">
        <v>32</v>
      </c>
      <c r="D111" t="s">
        <v>43</v>
      </c>
      <c r="E111">
        <v>1</v>
      </c>
      <c r="F111" t="str">
        <f>_xlfn.XLOOKUP(D111, Products!$A$2:$A$21, Products!$B$2:$B$21, "Not Found")</f>
        <v>Console Controller</v>
      </c>
      <c r="G111" t="str">
        <f>_xlfn.XLOOKUP(D111, Products!$A$2:$A$21, Products!$C$2:$C$21,"not found")</f>
        <v>Gaming</v>
      </c>
      <c r="H111" s="4">
        <f>_xlfn.XLOOKUP(D111, Products!$A$2:$A$21, Products!$E$2:$E$21, 0)</f>
        <v>99</v>
      </c>
      <c r="I111" s="4">
        <f>_xlfn.XLOOKUP(D111, Products!$A$2:$A$21, Products!$F$2:$F$21,0)</f>
        <v>58</v>
      </c>
      <c r="J111" t="str">
        <f>_xlfn.XLOOKUP(C111, Stores!$A$2:$A$7, Stores!$D$2:$D$7)</f>
        <v>Sydney South</v>
      </c>
      <c r="K111" s="4">
        <f t="shared" si="2"/>
        <v>99</v>
      </c>
      <c r="L111" s="4">
        <f t="shared" si="3"/>
        <v>41</v>
      </c>
      <c r="M111" s="10">
        <f>IF(Table1[[#This Row],[Revenue]]=0, "", Table1[[#This Row],[Profit]]/Table1[[#This Row],[Revenue]])</f>
        <v>0.41414141414141414</v>
      </c>
      <c r="N111" s="4" t="str">
        <f>IF(Table1[[#This Row],[Margin]]="", "check", IF(Table1[[#This Row],[Margin]]&lt;0.2, "Low", "OK"))</f>
        <v>OK</v>
      </c>
      <c r="O111" s="4" t="str" cm="1">
        <f t="array" ref="O111">_xlfn.IFS(Table1[[#This Row],[Revenue]]=0, "Check", Table1[[#This Row],[Revenue]]&gt;=1000, "Large", Table1[[#This Row],[Revenue]]&gt;=200, "Medium", TRUE, "Small")</f>
        <v>Small</v>
      </c>
      <c r="P111" s="4" t="str">
        <f>IF(AND(Table1[[#This Row],[Margin Flag]]="Low", Table1[[#This Row],[Revenue]]&gt;1000), "Review", "")</f>
        <v/>
      </c>
      <c r="Q111" s="4" t="str">
        <f>IF(OR(Table1[[#This Row],[Qty]]&gt;=5,Table1[[#This Row],[Order Size]] = "Large" ), "Bulk", "")</f>
        <v/>
      </c>
      <c r="R111" s="10">
        <f>_xlfn.XLOOKUP(G111, Lookup!$A$2:$A$7, Lookup!$B$2:$B$7, "")</f>
        <v>0.08</v>
      </c>
      <c r="S111" s="4" t="str">
        <f>IF(Table1[[#This Row],[Margin]]&lt;Table1[[#This Row],[Target Margin]], "Yes", "")</f>
        <v/>
      </c>
    </row>
    <row r="112" spans="1:19">
      <c r="A112" t="s">
        <v>155</v>
      </c>
      <c r="B112" s="2">
        <v>46218</v>
      </c>
      <c r="C112" t="s">
        <v>32</v>
      </c>
      <c r="D112" t="s">
        <v>80</v>
      </c>
      <c r="E112">
        <v>1</v>
      </c>
      <c r="F112" t="str">
        <f>_xlfn.XLOOKUP(D112, Products!$A$2:$A$21, Products!$B$2:$B$21, "Not Found")</f>
        <v>Over-Ear Headphones</v>
      </c>
      <c r="G112" t="str">
        <f>_xlfn.XLOOKUP(D112, Products!$A$2:$A$21, Products!$C$2:$C$21,"not found")</f>
        <v>Audio</v>
      </c>
      <c r="H112" s="4">
        <f>_xlfn.XLOOKUP(D112, Products!$A$2:$A$21, Products!$E$2:$E$21, 0)</f>
        <v>499</v>
      </c>
      <c r="I112" s="4">
        <f>_xlfn.XLOOKUP(D112, Products!$A$2:$A$21, Products!$F$2:$F$21,0)</f>
        <v>310</v>
      </c>
      <c r="J112" t="str">
        <f>_xlfn.XLOOKUP(C112, Stores!$A$2:$A$7, Stores!$D$2:$D$7)</f>
        <v>Sydney South</v>
      </c>
      <c r="K112" s="4">
        <f t="shared" si="2"/>
        <v>499</v>
      </c>
      <c r="L112" s="4">
        <f t="shared" si="3"/>
        <v>189</v>
      </c>
      <c r="M112" s="10">
        <f>IF(Table1[[#This Row],[Revenue]]=0, "", Table1[[#This Row],[Profit]]/Table1[[#This Row],[Revenue]])</f>
        <v>0.37875751503006011</v>
      </c>
      <c r="N112" s="4" t="str">
        <f>IF(Table1[[#This Row],[Margin]]="", "check", IF(Table1[[#This Row],[Margin]]&lt;0.2, "Low", "OK"))</f>
        <v>OK</v>
      </c>
      <c r="O112" s="4" t="str" cm="1">
        <f t="array" ref="O112">_xlfn.IFS(Table1[[#This Row],[Revenue]]=0, "Check", Table1[[#This Row],[Revenue]]&gt;=1000, "Large", Table1[[#This Row],[Revenue]]&gt;=200, "Medium", TRUE, "Small")</f>
        <v>Medium</v>
      </c>
      <c r="P112" s="4" t="str">
        <f>IF(AND(Table1[[#This Row],[Margin Flag]]="Low", Table1[[#This Row],[Revenue]]&gt;1000), "Review", "")</f>
        <v/>
      </c>
      <c r="Q112" s="4" t="str">
        <f>IF(OR(Table1[[#This Row],[Qty]]&gt;=5,Table1[[#This Row],[Order Size]] = "Large" ), "Bulk", "")</f>
        <v/>
      </c>
      <c r="R112" s="10">
        <f>_xlfn.XLOOKUP(G112, Lookup!$A$2:$A$7, Lookup!$B$2:$B$7, "")</f>
        <v>0.25</v>
      </c>
      <c r="S112" s="4" t="str">
        <f>IF(Table1[[#This Row],[Margin]]&lt;Table1[[#This Row],[Target Margin]], "Yes", "")</f>
        <v/>
      </c>
    </row>
    <row r="113" spans="1:19">
      <c r="A113" t="s">
        <v>156</v>
      </c>
      <c r="B113" s="2">
        <v>46218</v>
      </c>
      <c r="C113" t="s">
        <v>32</v>
      </c>
      <c r="D113" t="s">
        <v>21</v>
      </c>
      <c r="E113">
        <v>1</v>
      </c>
      <c r="F113" t="str">
        <f>_xlfn.XLOOKUP(D113, Products!$A$2:$A$21, Products!$B$2:$B$21, "Not Found")</f>
        <v>Gaming Mouse</v>
      </c>
      <c r="G113" t="str">
        <f>_xlfn.XLOOKUP(D113, Products!$A$2:$A$21, Products!$C$2:$C$21,"not found")</f>
        <v>Accessories</v>
      </c>
      <c r="H113" s="4">
        <f>_xlfn.XLOOKUP(D113, Products!$A$2:$A$21, Products!$E$2:$E$21, 0)</f>
        <v>89</v>
      </c>
      <c r="I113" s="4">
        <f>_xlfn.XLOOKUP(D113, Products!$A$2:$A$21, Products!$F$2:$F$21,0)</f>
        <v>41</v>
      </c>
      <c r="J113" t="str">
        <f>_xlfn.XLOOKUP(C113, Stores!$A$2:$A$7, Stores!$D$2:$D$7)</f>
        <v>Sydney South</v>
      </c>
      <c r="K113" s="4">
        <f t="shared" si="2"/>
        <v>89</v>
      </c>
      <c r="L113" s="4">
        <f t="shared" si="3"/>
        <v>48</v>
      </c>
      <c r="M113" s="10">
        <f>IF(Table1[[#This Row],[Revenue]]=0, "", Table1[[#This Row],[Profit]]/Table1[[#This Row],[Revenue]])</f>
        <v>0.5393258426966292</v>
      </c>
      <c r="N113" s="4" t="str">
        <f>IF(Table1[[#This Row],[Margin]]="", "check", IF(Table1[[#This Row],[Margin]]&lt;0.2, "Low", "OK"))</f>
        <v>OK</v>
      </c>
      <c r="O113" s="4" t="str" cm="1">
        <f t="array" ref="O113">_xlfn.IFS(Table1[[#This Row],[Revenue]]=0, "Check", Table1[[#This Row],[Revenue]]&gt;=1000, "Large", Table1[[#This Row],[Revenue]]&gt;=200, "Medium", TRUE, "Small")</f>
        <v>Small</v>
      </c>
      <c r="P113" s="4" t="str">
        <f>IF(AND(Table1[[#This Row],[Margin Flag]]="Low", Table1[[#This Row],[Revenue]]&gt;1000), "Review", "")</f>
        <v/>
      </c>
      <c r="Q113" s="4" t="str">
        <f>IF(OR(Table1[[#This Row],[Qty]]&gt;=5,Table1[[#This Row],[Order Size]] = "Large" ), "Bulk", "")</f>
        <v/>
      </c>
      <c r="R113" s="10">
        <f>_xlfn.XLOOKUP(G113, Lookup!$A$2:$A$7, Lookup!$B$2:$B$7, "")</f>
        <v>0.25</v>
      </c>
      <c r="S113" s="4" t="str">
        <f>IF(Table1[[#This Row],[Margin]]&lt;Table1[[#This Row],[Target Margin]], "Yes", "")</f>
        <v/>
      </c>
    </row>
    <row r="114" spans="1:19">
      <c r="A114" t="s">
        <v>157</v>
      </c>
      <c r="B114" s="2">
        <v>46218</v>
      </c>
      <c r="C114" t="s">
        <v>57</v>
      </c>
      <c r="D114" t="s">
        <v>35</v>
      </c>
      <c r="E114">
        <v>1</v>
      </c>
      <c r="F114" t="str">
        <f>_xlfn.XLOOKUP(D114, Products!$A$2:$A$21, Products!$B$2:$B$21, "Not Found")</f>
        <v>Phone Case</v>
      </c>
      <c r="G114" t="str">
        <f>_xlfn.XLOOKUP(D114, Products!$A$2:$A$21, Products!$C$2:$C$21,"not found")</f>
        <v>Accessories</v>
      </c>
      <c r="H114" s="4">
        <f>_xlfn.XLOOKUP(D114, Products!$A$2:$A$21, Products!$E$2:$E$21, 0)</f>
        <v>39</v>
      </c>
      <c r="I114" s="4">
        <f>_xlfn.XLOOKUP(D114, Products!$A$2:$A$21, Products!$F$2:$F$21,0)</f>
        <v>9</v>
      </c>
      <c r="J114" t="str">
        <f>_xlfn.XLOOKUP(C114, Stores!$A$2:$A$7, Stores!$D$2:$D$7)</f>
        <v>Sydney South</v>
      </c>
      <c r="K114" s="4">
        <f t="shared" si="2"/>
        <v>39</v>
      </c>
      <c r="L114" s="4">
        <f t="shared" si="3"/>
        <v>30</v>
      </c>
      <c r="M114" s="10">
        <f>IF(Table1[[#This Row],[Revenue]]=0, "", Table1[[#This Row],[Profit]]/Table1[[#This Row],[Revenue]])</f>
        <v>0.76923076923076927</v>
      </c>
      <c r="N114" s="4" t="str">
        <f>IF(Table1[[#This Row],[Margin]]="", "check", IF(Table1[[#This Row],[Margin]]&lt;0.2, "Low", "OK"))</f>
        <v>OK</v>
      </c>
      <c r="O114" s="4" t="str" cm="1">
        <f t="array" ref="O114">_xlfn.IFS(Table1[[#This Row],[Revenue]]=0, "Check", Table1[[#This Row],[Revenue]]&gt;=1000, "Large", Table1[[#This Row],[Revenue]]&gt;=200, "Medium", TRUE, "Small")</f>
        <v>Small</v>
      </c>
      <c r="P114" s="4" t="str">
        <f>IF(AND(Table1[[#This Row],[Margin Flag]]="Low", Table1[[#This Row],[Revenue]]&gt;1000), "Review", "")</f>
        <v/>
      </c>
      <c r="Q114" s="4" t="str">
        <f>IF(OR(Table1[[#This Row],[Qty]]&gt;=5,Table1[[#This Row],[Order Size]] = "Large" ), "Bulk", "")</f>
        <v/>
      </c>
      <c r="R114" s="10">
        <f>_xlfn.XLOOKUP(G114, Lookup!$A$2:$A$7, Lookup!$B$2:$B$7, "")</f>
        <v>0.25</v>
      </c>
      <c r="S114" s="4" t="str">
        <f>IF(Table1[[#This Row],[Margin]]&lt;Table1[[#This Row],[Target Margin]], "Yes", "")</f>
        <v/>
      </c>
    </row>
    <row r="115" spans="1:19">
      <c r="A115" t="s">
        <v>158</v>
      </c>
      <c r="B115" s="2">
        <v>46218</v>
      </c>
      <c r="C115" t="s">
        <v>23</v>
      </c>
      <c r="D115" t="s">
        <v>50</v>
      </c>
      <c r="E115">
        <v>1</v>
      </c>
      <c r="F115" t="str">
        <f>_xlfn.XLOOKUP(D115, Products!$A$2:$A$21, Products!$B$2:$B$21, "Not Found")</f>
        <v>Smartphone 128GB</v>
      </c>
      <c r="G115" t="str">
        <f>_xlfn.XLOOKUP(D115, Products!$A$2:$A$21, Products!$C$2:$C$21,"not found")</f>
        <v>Phones</v>
      </c>
      <c r="H115" s="4">
        <f>_xlfn.XLOOKUP(D115, Products!$A$2:$A$21, Products!$E$2:$E$21, 0)</f>
        <v>1099</v>
      </c>
      <c r="I115" s="4">
        <f>_xlfn.XLOOKUP(D115, Products!$A$2:$A$21, Products!$F$2:$F$21,0)</f>
        <v>860</v>
      </c>
      <c r="J115" t="str">
        <f>_xlfn.XLOOKUP(C115, Stores!$A$2:$A$7, Stores!$D$2:$D$7)</f>
        <v>Sydney East</v>
      </c>
      <c r="K115" s="4">
        <f t="shared" si="2"/>
        <v>1099</v>
      </c>
      <c r="L115" s="4">
        <f t="shared" si="3"/>
        <v>239</v>
      </c>
      <c r="M115" s="10">
        <f>IF(Table1[[#This Row],[Revenue]]=0, "", Table1[[#This Row],[Profit]]/Table1[[#This Row],[Revenue]])</f>
        <v>0.21747042766151045</v>
      </c>
      <c r="N115" s="4" t="str">
        <f>IF(Table1[[#This Row],[Margin]]="", "check", IF(Table1[[#This Row],[Margin]]&lt;0.2, "Low", "OK"))</f>
        <v>OK</v>
      </c>
      <c r="O115" s="4" t="str" cm="1">
        <f t="array" ref="O115">_xlfn.IFS(Table1[[#This Row],[Revenue]]=0, "Check", Table1[[#This Row],[Revenue]]&gt;=1000, "Large", Table1[[#This Row],[Revenue]]&gt;=200, "Medium", TRUE, "Small")</f>
        <v>Large</v>
      </c>
      <c r="P115" s="4" t="str">
        <f>IF(AND(Table1[[#This Row],[Margin Flag]]="Low", Table1[[#This Row],[Revenue]]&gt;1000), "Review", "")</f>
        <v/>
      </c>
      <c r="Q115" s="4" t="str">
        <f>IF(OR(Table1[[#This Row],[Qty]]&gt;=5,Table1[[#This Row],[Order Size]] = "Large" ), "Bulk", "")</f>
        <v>Bulk</v>
      </c>
      <c r="R115" s="10">
        <f>_xlfn.XLOOKUP(G115, Lookup!$A$2:$A$7, Lookup!$B$2:$B$7, "")</f>
        <v>0.25</v>
      </c>
      <c r="S115" s="4" t="str">
        <f>IF(Table1[[#This Row],[Margin]]&lt;Table1[[#This Row],[Target Margin]], "Yes", "")</f>
        <v>Yes</v>
      </c>
    </row>
    <row r="116" spans="1:19">
      <c r="A116" t="s">
        <v>159</v>
      </c>
      <c r="B116" s="2">
        <v>46219</v>
      </c>
      <c r="C116" t="s">
        <v>20</v>
      </c>
      <c r="D116" t="s">
        <v>80</v>
      </c>
      <c r="E116">
        <v>2</v>
      </c>
      <c r="F116" t="str">
        <f>_xlfn.XLOOKUP(D116, Products!$A$2:$A$21, Products!$B$2:$B$21, "Not Found")</f>
        <v>Over-Ear Headphones</v>
      </c>
      <c r="G116" t="str">
        <f>_xlfn.XLOOKUP(D116, Products!$A$2:$A$21, Products!$C$2:$C$21,"not found")</f>
        <v>Audio</v>
      </c>
      <c r="H116" s="4">
        <f>_xlfn.XLOOKUP(D116, Products!$A$2:$A$21, Products!$E$2:$E$21, 0)</f>
        <v>499</v>
      </c>
      <c r="I116" s="4">
        <f>_xlfn.XLOOKUP(D116, Products!$A$2:$A$21, Products!$F$2:$F$21,0)</f>
        <v>310</v>
      </c>
      <c r="J116" t="str">
        <f>_xlfn.XLOOKUP(C116, Stores!$A$2:$A$7, Stores!$D$2:$D$7)</f>
        <v>Sydney West</v>
      </c>
      <c r="K116" s="4">
        <f t="shared" si="2"/>
        <v>998</v>
      </c>
      <c r="L116" s="4">
        <f t="shared" si="3"/>
        <v>378</v>
      </c>
      <c r="M116" s="10">
        <f>IF(Table1[[#This Row],[Revenue]]=0, "", Table1[[#This Row],[Profit]]/Table1[[#This Row],[Revenue]])</f>
        <v>0.37875751503006011</v>
      </c>
      <c r="N116" s="4" t="str">
        <f>IF(Table1[[#This Row],[Margin]]="", "check", IF(Table1[[#This Row],[Margin]]&lt;0.2, "Low", "OK"))</f>
        <v>OK</v>
      </c>
      <c r="O116" s="4" t="str" cm="1">
        <f t="array" ref="O116">_xlfn.IFS(Table1[[#This Row],[Revenue]]=0, "Check", Table1[[#This Row],[Revenue]]&gt;=1000, "Large", Table1[[#This Row],[Revenue]]&gt;=200, "Medium", TRUE, "Small")</f>
        <v>Medium</v>
      </c>
      <c r="P116" s="4" t="str">
        <f>IF(AND(Table1[[#This Row],[Margin Flag]]="Low", Table1[[#This Row],[Revenue]]&gt;1000), "Review", "")</f>
        <v/>
      </c>
      <c r="Q116" s="4" t="str">
        <f>IF(OR(Table1[[#This Row],[Qty]]&gt;=5,Table1[[#This Row],[Order Size]] = "Large" ), "Bulk", "")</f>
        <v/>
      </c>
      <c r="R116" s="10">
        <f>_xlfn.XLOOKUP(G116, Lookup!$A$2:$A$7, Lookup!$B$2:$B$7, "")</f>
        <v>0.25</v>
      </c>
      <c r="S116" s="4" t="str">
        <f>IF(Table1[[#This Row],[Margin]]&lt;Table1[[#This Row],[Target Margin]], "Yes", "")</f>
        <v/>
      </c>
    </row>
    <row r="117" spans="1:19">
      <c r="A117" t="s">
        <v>160</v>
      </c>
      <c r="B117" s="2">
        <v>46219</v>
      </c>
      <c r="C117" t="s">
        <v>32</v>
      </c>
      <c r="D117" t="s">
        <v>21</v>
      </c>
      <c r="E117">
        <v>1</v>
      </c>
      <c r="F117" t="str">
        <f>_xlfn.XLOOKUP(D117, Products!$A$2:$A$21, Products!$B$2:$B$21, "Not Found")</f>
        <v>Gaming Mouse</v>
      </c>
      <c r="G117" t="str">
        <f>_xlfn.XLOOKUP(D117, Products!$A$2:$A$21, Products!$C$2:$C$21,"not found")</f>
        <v>Accessories</v>
      </c>
      <c r="H117" s="4">
        <f>_xlfn.XLOOKUP(D117, Products!$A$2:$A$21, Products!$E$2:$E$21, 0)</f>
        <v>89</v>
      </c>
      <c r="I117" s="4">
        <f>_xlfn.XLOOKUP(D117, Products!$A$2:$A$21, Products!$F$2:$F$21,0)</f>
        <v>41</v>
      </c>
      <c r="J117" t="str">
        <f>_xlfn.XLOOKUP(C117, Stores!$A$2:$A$7, Stores!$D$2:$D$7)</f>
        <v>Sydney South</v>
      </c>
      <c r="K117" s="4">
        <f t="shared" si="2"/>
        <v>89</v>
      </c>
      <c r="L117" s="4">
        <f t="shared" si="3"/>
        <v>48</v>
      </c>
      <c r="M117" s="10">
        <f>IF(Table1[[#This Row],[Revenue]]=0, "", Table1[[#This Row],[Profit]]/Table1[[#This Row],[Revenue]])</f>
        <v>0.5393258426966292</v>
      </c>
      <c r="N117" s="4" t="str">
        <f>IF(Table1[[#This Row],[Margin]]="", "check", IF(Table1[[#This Row],[Margin]]&lt;0.2, "Low", "OK"))</f>
        <v>OK</v>
      </c>
      <c r="O117" s="4" t="str" cm="1">
        <f t="array" ref="O117">_xlfn.IFS(Table1[[#This Row],[Revenue]]=0, "Check", Table1[[#This Row],[Revenue]]&gt;=1000, "Large", Table1[[#This Row],[Revenue]]&gt;=200, "Medium", TRUE, "Small")</f>
        <v>Small</v>
      </c>
      <c r="P117" s="4" t="str">
        <f>IF(AND(Table1[[#This Row],[Margin Flag]]="Low", Table1[[#This Row],[Revenue]]&gt;1000), "Review", "")</f>
        <v/>
      </c>
      <c r="Q117" s="4" t="str">
        <f>IF(OR(Table1[[#This Row],[Qty]]&gt;=5,Table1[[#This Row],[Order Size]] = "Large" ), "Bulk", "")</f>
        <v/>
      </c>
      <c r="R117" s="10">
        <f>_xlfn.XLOOKUP(G117, Lookup!$A$2:$A$7, Lookup!$B$2:$B$7, "")</f>
        <v>0.25</v>
      </c>
      <c r="S117" s="4" t="str">
        <f>IF(Table1[[#This Row],[Margin]]&lt;Table1[[#This Row],[Target Margin]], "Yes", "")</f>
        <v/>
      </c>
    </row>
    <row r="118" spans="1:19">
      <c r="A118" t="s">
        <v>161</v>
      </c>
      <c r="B118" s="2">
        <v>46219</v>
      </c>
      <c r="C118" t="s">
        <v>26</v>
      </c>
      <c r="D118" t="s">
        <v>21</v>
      </c>
      <c r="E118">
        <v>2</v>
      </c>
      <c r="F118" t="str">
        <f>_xlfn.XLOOKUP(D118, Products!$A$2:$A$21, Products!$B$2:$B$21, "Not Found")</f>
        <v>Gaming Mouse</v>
      </c>
      <c r="G118" t="str">
        <f>_xlfn.XLOOKUP(D118, Products!$A$2:$A$21, Products!$C$2:$C$21,"not found")</f>
        <v>Accessories</v>
      </c>
      <c r="H118" s="4">
        <f>_xlfn.XLOOKUP(D118, Products!$A$2:$A$21, Products!$E$2:$E$21, 0)</f>
        <v>89</v>
      </c>
      <c r="I118" s="4">
        <f>_xlfn.XLOOKUP(D118, Products!$A$2:$A$21, Products!$F$2:$F$21,0)</f>
        <v>41</v>
      </c>
      <c r="J118" t="str">
        <f>_xlfn.XLOOKUP(C118, Stores!$A$2:$A$7, Stores!$D$2:$D$7)</f>
        <v>Sydney North</v>
      </c>
      <c r="K118" s="4">
        <f t="shared" si="2"/>
        <v>178</v>
      </c>
      <c r="L118" s="4">
        <f t="shared" si="3"/>
        <v>96</v>
      </c>
      <c r="M118" s="10">
        <f>IF(Table1[[#This Row],[Revenue]]=0, "", Table1[[#This Row],[Profit]]/Table1[[#This Row],[Revenue]])</f>
        <v>0.5393258426966292</v>
      </c>
      <c r="N118" s="4" t="str">
        <f>IF(Table1[[#This Row],[Margin]]="", "check", IF(Table1[[#This Row],[Margin]]&lt;0.2, "Low", "OK"))</f>
        <v>OK</v>
      </c>
      <c r="O118" s="4" t="str" cm="1">
        <f t="array" ref="O118">_xlfn.IFS(Table1[[#This Row],[Revenue]]=0, "Check", Table1[[#This Row],[Revenue]]&gt;=1000, "Large", Table1[[#This Row],[Revenue]]&gt;=200, "Medium", TRUE, "Small")</f>
        <v>Small</v>
      </c>
      <c r="P118" s="4" t="str">
        <f>IF(AND(Table1[[#This Row],[Margin Flag]]="Low", Table1[[#This Row],[Revenue]]&gt;1000), "Review", "")</f>
        <v/>
      </c>
      <c r="Q118" s="4" t="str">
        <f>IF(OR(Table1[[#This Row],[Qty]]&gt;=5,Table1[[#This Row],[Order Size]] = "Large" ), "Bulk", "")</f>
        <v/>
      </c>
      <c r="R118" s="10">
        <f>_xlfn.XLOOKUP(G118, Lookup!$A$2:$A$7, Lookup!$B$2:$B$7, "")</f>
        <v>0.25</v>
      </c>
      <c r="S118" s="4" t="str">
        <f>IF(Table1[[#This Row],[Margin]]&lt;Table1[[#This Row],[Target Margin]], "Yes", "")</f>
        <v/>
      </c>
    </row>
    <row r="119" spans="1:19">
      <c r="A119" t="s">
        <v>162</v>
      </c>
      <c r="B119" s="2">
        <v>46219</v>
      </c>
      <c r="C119" t="s">
        <v>23</v>
      </c>
      <c r="D119" t="s">
        <v>30</v>
      </c>
      <c r="E119">
        <v>1</v>
      </c>
      <c r="F119" t="str">
        <f>_xlfn.XLOOKUP(D119, Products!$A$2:$A$21, Products!$B$2:$B$21, "Not Found")</f>
        <v>Video Game</v>
      </c>
      <c r="G119" t="str">
        <f>_xlfn.XLOOKUP(D119, Products!$A$2:$A$21, Products!$C$2:$C$21,"not found")</f>
        <v>Gaming</v>
      </c>
      <c r="H119" s="4">
        <f>_xlfn.XLOOKUP(D119, Products!$A$2:$A$21, Products!$E$2:$E$21, 0)</f>
        <v>79</v>
      </c>
      <c r="I119" s="4">
        <f>_xlfn.XLOOKUP(D119, Products!$A$2:$A$21, Products!$F$2:$F$21,0)</f>
        <v>52</v>
      </c>
      <c r="J119" t="str">
        <f>_xlfn.XLOOKUP(C119, Stores!$A$2:$A$7, Stores!$D$2:$D$7)</f>
        <v>Sydney East</v>
      </c>
      <c r="K119" s="4">
        <f t="shared" si="2"/>
        <v>79</v>
      </c>
      <c r="L119" s="4">
        <f t="shared" si="3"/>
        <v>27</v>
      </c>
      <c r="M119" s="10">
        <f>IF(Table1[[#This Row],[Revenue]]=0, "", Table1[[#This Row],[Profit]]/Table1[[#This Row],[Revenue]])</f>
        <v>0.34177215189873417</v>
      </c>
      <c r="N119" s="4" t="str">
        <f>IF(Table1[[#This Row],[Margin]]="", "check", IF(Table1[[#This Row],[Margin]]&lt;0.2, "Low", "OK"))</f>
        <v>OK</v>
      </c>
      <c r="O119" s="4" t="str" cm="1">
        <f t="array" ref="O119">_xlfn.IFS(Table1[[#This Row],[Revenue]]=0, "Check", Table1[[#This Row],[Revenue]]&gt;=1000, "Large", Table1[[#This Row],[Revenue]]&gt;=200, "Medium", TRUE, "Small")</f>
        <v>Small</v>
      </c>
      <c r="P119" s="4" t="str">
        <f>IF(AND(Table1[[#This Row],[Margin Flag]]="Low", Table1[[#This Row],[Revenue]]&gt;1000), "Review", "")</f>
        <v/>
      </c>
      <c r="Q119" s="4" t="str">
        <f>IF(OR(Table1[[#This Row],[Qty]]&gt;=5,Table1[[#This Row],[Order Size]] = "Large" ), "Bulk", "")</f>
        <v/>
      </c>
      <c r="R119" s="10">
        <f>_xlfn.XLOOKUP(G119, Lookup!$A$2:$A$7, Lookup!$B$2:$B$7, "")</f>
        <v>0.08</v>
      </c>
      <c r="S119" s="4" t="str">
        <f>IF(Table1[[#This Row],[Margin]]&lt;Table1[[#This Row],[Target Margin]], "Yes", "")</f>
        <v/>
      </c>
    </row>
    <row r="120" spans="1:19">
      <c r="A120" t="s">
        <v>163</v>
      </c>
      <c r="B120" s="2">
        <v>46219</v>
      </c>
      <c r="C120" t="s">
        <v>23</v>
      </c>
      <c r="D120" t="s">
        <v>67</v>
      </c>
      <c r="E120">
        <v>2</v>
      </c>
      <c r="F120" t="str">
        <f>_xlfn.XLOOKUP(D120, Products!$A$2:$A$21, Products!$B$2:$B$21, "Not Found")</f>
        <v>Soundbar</v>
      </c>
      <c r="G120" t="str">
        <f>_xlfn.XLOOKUP(D120, Products!$A$2:$A$21, Products!$C$2:$C$21,"not found")</f>
        <v>Audio</v>
      </c>
      <c r="H120" s="4">
        <f>_xlfn.XLOOKUP(D120, Products!$A$2:$A$21, Products!$E$2:$E$21, 0)</f>
        <v>699</v>
      </c>
      <c r="I120" s="4">
        <f>_xlfn.XLOOKUP(D120, Products!$A$2:$A$21, Products!$F$2:$F$21,0)</f>
        <v>450</v>
      </c>
      <c r="J120" t="str">
        <f>_xlfn.XLOOKUP(C120, Stores!$A$2:$A$7, Stores!$D$2:$D$7)</f>
        <v>Sydney East</v>
      </c>
      <c r="K120" s="4">
        <f t="shared" si="2"/>
        <v>1398</v>
      </c>
      <c r="L120" s="4">
        <f t="shared" si="3"/>
        <v>498</v>
      </c>
      <c r="M120" s="10">
        <f>IF(Table1[[#This Row],[Revenue]]=0, "", Table1[[#This Row],[Profit]]/Table1[[#This Row],[Revenue]])</f>
        <v>0.35622317596566522</v>
      </c>
      <c r="N120" s="4" t="str">
        <f>IF(Table1[[#This Row],[Margin]]="", "check", IF(Table1[[#This Row],[Margin]]&lt;0.2, "Low", "OK"))</f>
        <v>OK</v>
      </c>
      <c r="O120" s="4" t="str" cm="1">
        <f t="array" ref="O120">_xlfn.IFS(Table1[[#This Row],[Revenue]]=0, "Check", Table1[[#This Row],[Revenue]]&gt;=1000, "Large", Table1[[#This Row],[Revenue]]&gt;=200, "Medium", TRUE, "Small")</f>
        <v>Large</v>
      </c>
      <c r="P120" s="4" t="str">
        <f>IF(AND(Table1[[#This Row],[Margin Flag]]="Low", Table1[[#This Row],[Revenue]]&gt;1000), "Review", "")</f>
        <v/>
      </c>
      <c r="Q120" s="4" t="str">
        <f>IF(OR(Table1[[#This Row],[Qty]]&gt;=5,Table1[[#This Row],[Order Size]] = "Large" ), "Bulk", "")</f>
        <v>Bulk</v>
      </c>
      <c r="R120" s="10">
        <f>_xlfn.XLOOKUP(G120, Lookup!$A$2:$A$7, Lookup!$B$2:$B$7, "")</f>
        <v>0.25</v>
      </c>
      <c r="S120" s="4" t="str">
        <f>IF(Table1[[#This Row],[Margin]]&lt;Table1[[#This Row],[Target Margin]], "Yes", "")</f>
        <v/>
      </c>
    </row>
    <row r="121" spans="1:19">
      <c r="A121" t="s">
        <v>164</v>
      </c>
      <c r="B121" s="2">
        <v>46219</v>
      </c>
      <c r="C121" t="s">
        <v>32</v>
      </c>
      <c r="D121" t="s">
        <v>27</v>
      </c>
      <c r="E121">
        <v>1</v>
      </c>
      <c r="F121" t="str">
        <f>_xlfn.XLOOKUP(D121, Products!$A$2:$A$21, Products!$B$2:$B$21, "Not Found")</f>
        <v>Bluetooth Speaker</v>
      </c>
      <c r="G121" t="str">
        <f>_xlfn.XLOOKUP(D121, Products!$A$2:$A$21, Products!$C$2:$C$21,"not found")</f>
        <v>Audio</v>
      </c>
      <c r="H121" s="4">
        <f>_xlfn.XLOOKUP(D121, Products!$A$2:$A$21, Products!$E$2:$E$21, 0)</f>
        <v>179</v>
      </c>
      <c r="I121" s="4">
        <f>_xlfn.XLOOKUP(D121, Products!$A$2:$A$21, Products!$F$2:$F$21,0)</f>
        <v>95</v>
      </c>
      <c r="J121" t="str">
        <f>_xlfn.XLOOKUP(C121, Stores!$A$2:$A$7, Stores!$D$2:$D$7)</f>
        <v>Sydney South</v>
      </c>
      <c r="K121" s="4">
        <f t="shared" si="2"/>
        <v>179</v>
      </c>
      <c r="L121" s="4">
        <f t="shared" si="3"/>
        <v>84</v>
      </c>
      <c r="M121" s="10">
        <f>IF(Table1[[#This Row],[Revenue]]=0, "", Table1[[#This Row],[Profit]]/Table1[[#This Row],[Revenue]])</f>
        <v>0.46927374301675978</v>
      </c>
      <c r="N121" s="4" t="str">
        <f>IF(Table1[[#This Row],[Margin]]="", "check", IF(Table1[[#This Row],[Margin]]&lt;0.2, "Low", "OK"))</f>
        <v>OK</v>
      </c>
      <c r="O121" s="4" t="str" cm="1">
        <f t="array" ref="O121">_xlfn.IFS(Table1[[#This Row],[Revenue]]=0, "Check", Table1[[#This Row],[Revenue]]&gt;=1000, "Large", Table1[[#This Row],[Revenue]]&gt;=200, "Medium", TRUE, "Small")</f>
        <v>Small</v>
      </c>
      <c r="P121" s="4" t="str">
        <f>IF(AND(Table1[[#This Row],[Margin Flag]]="Low", Table1[[#This Row],[Revenue]]&gt;1000), "Review", "")</f>
        <v/>
      </c>
      <c r="Q121" s="4" t="str">
        <f>IF(OR(Table1[[#This Row],[Qty]]&gt;=5,Table1[[#This Row],[Order Size]] = "Large" ), "Bulk", "")</f>
        <v/>
      </c>
      <c r="R121" s="10">
        <f>_xlfn.XLOOKUP(G121, Lookup!$A$2:$A$7, Lookup!$B$2:$B$7, "")</f>
        <v>0.25</v>
      </c>
      <c r="S121" s="4" t="str">
        <f>IF(Table1[[#This Row],[Margin]]&lt;Table1[[#This Row],[Target Margin]], "Yes", "")</f>
        <v/>
      </c>
    </row>
    <row r="122" spans="1:19">
      <c r="A122" t="s">
        <v>165</v>
      </c>
      <c r="B122" s="2">
        <v>46220</v>
      </c>
      <c r="C122" t="s">
        <v>29</v>
      </c>
      <c r="D122" t="s">
        <v>24</v>
      </c>
      <c r="E122">
        <v>1</v>
      </c>
      <c r="F122" t="str">
        <f>_xlfn.XLOOKUP(D122, Products!$A$2:$A$21, Products!$B$2:$B$21, "Not Found")</f>
        <v>Wireless Earbuds</v>
      </c>
      <c r="G122" t="str">
        <f>_xlfn.XLOOKUP(D122, Products!$A$2:$A$21, Products!$C$2:$C$21,"not found")</f>
        <v>Audio</v>
      </c>
      <c r="H122" s="4">
        <f>_xlfn.XLOOKUP(D122, Products!$A$2:$A$21, Products!$E$2:$E$21, 0)</f>
        <v>249</v>
      </c>
      <c r="I122" s="4">
        <f>_xlfn.XLOOKUP(D122, Products!$A$2:$A$21, Products!$F$2:$F$21,0)</f>
        <v>140</v>
      </c>
      <c r="J122" t="str">
        <f>_xlfn.XLOOKUP(C122, Stores!$A$2:$A$7, Stores!$D$2:$D$7)</f>
        <v>Sydney West</v>
      </c>
      <c r="K122" s="4">
        <f t="shared" si="2"/>
        <v>249</v>
      </c>
      <c r="L122" s="4">
        <f t="shared" si="3"/>
        <v>109</v>
      </c>
      <c r="M122" s="10">
        <f>IF(Table1[[#This Row],[Revenue]]=0, "", Table1[[#This Row],[Profit]]/Table1[[#This Row],[Revenue]])</f>
        <v>0.43775100401606426</v>
      </c>
      <c r="N122" s="4" t="str">
        <f>IF(Table1[[#This Row],[Margin]]="", "check", IF(Table1[[#This Row],[Margin]]&lt;0.2, "Low", "OK"))</f>
        <v>OK</v>
      </c>
      <c r="O122" s="4" t="str" cm="1">
        <f t="array" ref="O122">_xlfn.IFS(Table1[[#This Row],[Revenue]]=0, "Check", Table1[[#This Row],[Revenue]]&gt;=1000, "Large", Table1[[#This Row],[Revenue]]&gt;=200, "Medium", TRUE, "Small")</f>
        <v>Medium</v>
      </c>
      <c r="P122" s="4" t="str">
        <f>IF(AND(Table1[[#This Row],[Margin Flag]]="Low", Table1[[#This Row],[Revenue]]&gt;1000), "Review", "")</f>
        <v/>
      </c>
      <c r="Q122" s="4" t="str">
        <f>IF(OR(Table1[[#This Row],[Qty]]&gt;=5,Table1[[#This Row],[Order Size]] = "Large" ), "Bulk", "")</f>
        <v/>
      </c>
      <c r="R122" s="10">
        <f>_xlfn.XLOOKUP(G122, Lookup!$A$2:$A$7, Lookup!$B$2:$B$7, "")</f>
        <v>0.25</v>
      </c>
      <c r="S122" s="4" t="str">
        <f>IF(Table1[[#This Row],[Margin]]&lt;Table1[[#This Row],[Target Margin]], "Yes", "")</f>
        <v/>
      </c>
    </row>
    <row r="123" spans="1:19">
      <c r="A123" t="s">
        <v>166</v>
      </c>
      <c r="B123" s="2">
        <v>46220</v>
      </c>
      <c r="C123" t="s">
        <v>32</v>
      </c>
      <c r="D123" t="s">
        <v>50</v>
      </c>
      <c r="E123">
        <v>1</v>
      </c>
      <c r="F123" t="str">
        <f>_xlfn.XLOOKUP(D123, Products!$A$2:$A$21, Products!$B$2:$B$21, "Not Found")</f>
        <v>Smartphone 128GB</v>
      </c>
      <c r="G123" t="str">
        <f>_xlfn.XLOOKUP(D123, Products!$A$2:$A$21, Products!$C$2:$C$21,"not found")</f>
        <v>Phones</v>
      </c>
      <c r="H123" s="4">
        <f>_xlfn.XLOOKUP(D123, Products!$A$2:$A$21, Products!$E$2:$E$21, 0)</f>
        <v>1099</v>
      </c>
      <c r="I123" s="4">
        <f>_xlfn.XLOOKUP(D123, Products!$A$2:$A$21, Products!$F$2:$F$21,0)</f>
        <v>860</v>
      </c>
      <c r="J123" t="str">
        <f>_xlfn.XLOOKUP(C123, Stores!$A$2:$A$7, Stores!$D$2:$D$7)</f>
        <v>Sydney South</v>
      </c>
      <c r="K123" s="4">
        <f t="shared" si="2"/>
        <v>1099</v>
      </c>
      <c r="L123" s="4">
        <f t="shared" si="3"/>
        <v>239</v>
      </c>
      <c r="M123" s="10">
        <f>IF(Table1[[#This Row],[Revenue]]=0, "", Table1[[#This Row],[Profit]]/Table1[[#This Row],[Revenue]])</f>
        <v>0.21747042766151045</v>
      </c>
      <c r="N123" s="4" t="str">
        <f>IF(Table1[[#This Row],[Margin]]="", "check", IF(Table1[[#This Row],[Margin]]&lt;0.2, "Low", "OK"))</f>
        <v>OK</v>
      </c>
      <c r="O123" s="4" t="str" cm="1">
        <f t="array" ref="O123">_xlfn.IFS(Table1[[#This Row],[Revenue]]=0, "Check", Table1[[#This Row],[Revenue]]&gt;=1000, "Large", Table1[[#This Row],[Revenue]]&gt;=200, "Medium", TRUE, "Small")</f>
        <v>Large</v>
      </c>
      <c r="P123" s="4" t="str">
        <f>IF(AND(Table1[[#This Row],[Margin Flag]]="Low", Table1[[#This Row],[Revenue]]&gt;1000), "Review", "")</f>
        <v/>
      </c>
      <c r="Q123" s="4" t="str">
        <f>IF(OR(Table1[[#This Row],[Qty]]&gt;=5,Table1[[#This Row],[Order Size]] = "Large" ), "Bulk", "")</f>
        <v>Bulk</v>
      </c>
      <c r="R123" s="10">
        <f>_xlfn.XLOOKUP(G123, Lookup!$A$2:$A$7, Lookup!$B$2:$B$7, "")</f>
        <v>0.25</v>
      </c>
      <c r="S123" s="4" t="str">
        <f>IF(Table1[[#This Row],[Margin]]&lt;Table1[[#This Row],[Target Margin]], "Yes", "")</f>
        <v>Yes</v>
      </c>
    </row>
    <row r="124" spans="1:19">
      <c r="A124" t="s">
        <v>167</v>
      </c>
      <c r="B124" s="2">
        <v>46220</v>
      </c>
      <c r="C124" t="s">
        <v>32</v>
      </c>
      <c r="D124" t="s">
        <v>30</v>
      </c>
      <c r="E124">
        <v>1</v>
      </c>
      <c r="F124" t="str">
        <f>_xlfn.XLOOKUP(D124, Products!$A$2:$A$21, Products!$B$2:$B$21, "Not Found")</f>
        <v>Video Game</v>
      </c>
      <c r="G124" t="str">
        <f>_xlfn.XLOOKUP(D124, Products!$A$2:$A$21, Products!$C$2:$C$21,"not found")</f>
        <v>Gaming</v>
      </c>
      <c r="H124" s="4">
        <f>_xlfn.XLOOKUP(D124, Products!$A$2:$A$21, Products!$E$2:$E$21, 0)</f>
        <v>79</v>
      </c>
      <c r="I124" s="4">
        <f>_xlfn.XLOOKUP(D124, Products!$A$2:$A$21, Products!$F$2:$F$21,0)</f>
        <v>52</v>
      </c>
      <c r="J124" t="str">
        <f>_xlfn.XLOOKUP(C124, Stores!$A$2:$A$7, Stores!$D$2:$D$7)</f>
        <v>Sydney South</v>
      </c>
      <c r="K124" s="4">
        <f t="shared" si="2"/>
        <v>79</v>
      </c>
      <c r="L124" s="4">
        <f t="shared" si="3"/>
        <v>27</v>
      </c>
      <c r="M124" s="10">
        <f>IF(Table1[[#This Row],[Revenue]]=0, "", Table1[[#This Row],[Profit]]/Table1[[#This Row],[Revenue]])</f>
        <v>0.34177215189873417</v>
      </c>
      <c r="N124" s="4" t="str">
        <f>IF(Table1[[#This Row],[Margin]]="", "check", IF(Table1[[#This Row],[Margin]]&lt;0.2, "Low", "OK"))</f>
        <v>OK</v>
      </c>
      <c r="O124" s="4" t="str" cm="1">
        <f t="array" ref="O124">_xlfn.IFS(Table1[[#This Row],[Revenue]]=0, "Check", Table1[[#This Row],[Revenue]]&gt;=1000, "Large", Table1[[#This Row],[Revenue]]&gt;=200, "Medium", TRUE, "Small")</f>
        <v>Small</v>
      </c>
      <c r="P124" s="4" t="str">
        <f>IF(AND(Table1[[#This Row],[Margin Flag]]="Low", Table1[[#This Row],[Revenue]]&gt;1000), "Review", "")</f>
        <v/>
      </c>
      <c r="Q124" s="4" t="str">
        <f>IF(OR(Table1[[#This Row],[Qty]]&gt;=5,Table1[[#This Row],[Order Size]] = "Large" ), "Bulk", "")</f>
        <v/>
      </c>
      <c r="R124" s="10">
        <f>_xlfn.XLOOKUP(G124, Lookup!$A$2:$A$7, Lookup!$B$2:$B$7, "")</f>
        <v>0.08</v>
      </c>
      <c r="S124" s="4" t="str">
        <f>IF(Table1[[#This Row],[Margin]]&lt;Table1[[#This Row],[Target Margin]], "Yes", "")</f>
        <v/>
      </c>
    </row>
    <row r="125" spans="1:19">
      <c r="A125" t="s">
        <v>168</v>
      </c>
      <c r="B125" s="2">
        <v>46220</v>
      </c>
      <c r="C125" t="s">
        <v>20</v>
      </c>
      <c r="D125" t="s">
        <v>21</v>
      </c>
      <c r="E125">
        <v>3</v>
      </c>
      <c r="F125" t="str">
        <f>_xlfn.XLOOKUP(D125, Products!$A$2:$A$21, Products!$B$2:$B$21, "Not Found")</f>
        <v>Gaming Mouse</v>
      </c>
      <c r="G125" t="str">
        <f>_xlfn.XLOOKUP(D125, Products!$A$2:$A$21, Products!$C$2:$C$21,"not found")</f>
        <v>Accessories</v>
      </c>
      <c r="H125" s="4">
        <f>_xlfn.XLOOKUP(D125, Products!$A$2:$A$21, Products!$E$2:$E$21, 0)</f>
        <v>89</v>
      </c>
      <c r="I125" s="4">
        <f>_xlfn.XLOOKUP(D125, Products!$A$2:$A$21, Products!$F$2:$F$21,0)</f>
        <v>41</v>
      </c>
      <c r="J125" t="str">
        <f>_xlfn.XLOOKUP(C125, Stores!$A$2:$A$7, Stores!$D$2:$D$7)</f>
        <v>Sydney West</v>
      </c>
      <c r="K125" s="4">
        <f t="shared" si="2"/>
        <v>267</v>
      </c>
      <c r="L125" s="4">
        <f t="shared" si="3"/>
        <v>144</v>
      </c>
      <c r="M125" s="10">
        <f>IF(Table1[[#This Row],[Revenue]]=0, "", Table1[[#This Row],[Profit]]/Table1[[#This Row],[Revenue]])</f>
        <v>0.5393258426966292</v>
      </c>
      <c r="N125" s="4" t="str">
        <f>IF(Table1[[#This Row],[Margin]]="", "check", IF(Table1[[#This Row],[Margin]]&lt;0.2, "Low", "OK"))</f>
        <v>OK</v>
      </c>
      <c r="O125" s="4" t="str" cm="1">
        <f t="array" ref="O125">_xlfn.IFS(Table1[[#This Row],[Revenue]]=0, "Check", Table1[[#This Row],[Revenue]]&gt;=1000, "Large", Table1[[#This Row],[Revenue]]&gt;=200, "Medium", TRUE, "Small")</f>
        <v>Medium</v>
      </c>
      <c r="P125" s="4" t="str">
        <f>IF(AND(Table1[[#This Row],[Margin Flag]]="Low", Table1[[#This Row],[Revenue]]&gt;1000), "Review", "")</f>
        <v/>
      </c>
      <c r="Q125" s="4" t="str">
        <f>IF(OR(Table1[[#This Row],[Qty]]&gt;=5,Table1[[#This Row],[Order Size]] = "Large" ), "Bulk", "")</f>
        <v/>
      </c>
      <c r="R125" s="10">
        <f>_xlfn.XLOOKUP(G125, Lookup!$A$2:$A$7, Lookup!$B$2:$B$7, "")</f>
        <v>0.25</v>
      </c>
      <c r="S125" s="4" t="str">
        <f>IF(Table1[[#This Row],[Margin]]&lt;Table1[[#This Row],[Target Margin]], "Yes", "")</f>
        <v/>
      </c>
    </row>
    <row r="126" spans="1:19">
      <c r="A126" t="s">
        <v>169</v>
      </c>
      <c r="B126" s="2">
        <v>46220</v>
      </c>
      <c r="C126" t="s">
        <v>29</v>
      </c>
      <c r="D126" t="s">
        <v>50</v>
      </c>
      <c r="E126">
        <v>3</v>
      </c>
      <c r="F126" t="str">
        <f>_xlfn.XLOOKUP(D126, Products!$A$2:$A$21, Products!$B$2:$B$21, "Not Found")</f>
        <v>Smartphone 128GB</v>
      </c>
      <c r="G126" t="str">
        <f>_xlfn.XLOOKUP(D126, Products!$A$2:$A$21, Products!$C$2:$C$21,"not found")</f>
        <v>Phones</v>
      </c>
      <c r="H126" s="4">
        <f>_xlfn.XLOOKUP(D126, Products!$A$2:$A$21, Products!$E$2:$E$21, 0)</f>
        <v>1099</v>
      </c>
      <c r="I126" s="4">
        <f>_xlfn.XLOOKUP(D126, Products!$A$2:$A$21, Products!$F$2:$F$21,0)</f>
        <v>860</v>
      </c>
      <c r="J126" t="str">
        <f>_xlfn.XLOOKUP(C126, Stores!$A$2:$A$7, Stores!$D$2:$D$7)</f>
        <v>Sydney West</v>
      </c>
      <c r="K126" s="4">
        <f t="shared" si="2"/>
        <v>3297</v>
      </c>
      <c r="L126" s="4">
        <f t="shared" si="3"/>
        <v>717</v>
      </c>
      <c r="M126" s="10">
        <f>IF(Table1[[#This Row],[Revenue]]=0, "", Table1[[#This Row],[Profit]]/Table1[[#This Row],[Revenue]])</f>
        <v>0.21747042766151045</v>
      </c>
      <c r="N126" s="4" t="str">
        <f>IF(Table1[[#This Row],[Margin]]="", "check", IF(Table1[[#This Row],[Margin]]&lt;0.2, "Low", "OK"))</f>
        <v>OK</v>
      </c>
      <c r="O126" s="4" t="str" cm="1">
        <f t="array" ref="O126">_xlfn.IFS(Table1[[#This Row],[Revenue]]=0, "Check", Table1[[#This Row],[Revenue]]&gt;=1000, "Large", Table1[[#This Row],[Revenue]]&gt;=200, "Medium", TRUE, "Small")</f>
        <v>Large</v>
      </c>
      <c r="P126" s="4" t="str">
        <f>IF(AND(Table1[[#This Row],[Margin Flag]]="Low", Table1[[#This Row],[Revenue]]&gt;1000), "Review", "")</f>
        <v/>
      </c>
      <c r="Q126" s="4" t="str">
        <f>IF(OR(Table1[[#This Row],[Qty]]&gt;=5,Table1[[#This Row],[Order Size]] = "Large" ), "Bulk", "")</f>
        <v>Bulk</v>
      </c>
      <c r="R126" s="10">
        <f>_xlfn.XLOOKUP(G126, Lookup!$A$2:$A$7, Lookup!$B$2:$B$7, "")</f>
        <v>0.25</v>
      </c>
      <c r="S126" s="4" t="str">
        <f>IF(Table1[[#This Row],[Margin]]&lt;Table1[[#This Row],[Target Margin]], "Yes", "")</f>
        <v>Yes</v>
      </c>
    </row>
    <row r="127" spans="1:19">
      <c r="A127" t="s">
        <v>170</v>
      </c>
      <c r="B127" s="2">
        <v>46220</v>
      </c>
      <c r="C127" t="s">
        <v>26</v>
      </c>
      <c r="D127" t="s">
        <v>171</v>
      </c>
      <c r="E127">
        <v>2</v>
      </c>
      <c r="F127" t="str">
        <f>_xlfn.XLOOKUP(D127, Products!$A$2:$A$21, Products!$B$2:$B$21, "Not Found")</f>
        <v>Smartwatch</v>
      </c>
      <c r="G127" t="str">
        <f>_xlfn.XLOOKUP(D127, Products!$A$2:$A$21, Products!$C$2:$C$21,"not found")</f>
        <v>Phones</v>
      </c>
      <c r="H127" s="4">
        <f>_xlfn.XLOOKUP(D127, Products!$A$2:$A$21, Products!$E$2:$E$21, 0)</f>
        <v>649</v>
      </c>
      <c r="I127" s="4">
        <f>_xlfn.XLOOKUP(D127, Products!$A$2:$A$21, Products!$F$2:$F$21,0)</f>
        <v>480</v>
      </c>
      <c r="J127" t="str">
        <f>_xlfn.XLOOKUP(C127, Stores!$A$2:$A$7, Stores!$D$2:$D$7)</f>
        <v>Sydney North</v>
      </c>
      <c r="K127" s="4">
        <f t="shared" si="2"/>
        <v>1298</v>
      </c>
      <c r="L127" s="4">
        <f t="shared" si="3"/>
        <v>338</v>
      </c>
      <c r="M127" s="10">
        <f>IF(Table1[[#This Row],[Revenue]]=0, "", Table1[[#This Row],[Profit]]/Table1[[#This Row],[Revenue]])</f>
        <v>0.26040061633281975</v>
      </c>
      <c r="N127" s="4" t="str">
        <f>IF(Table1[[#This Row],[Margin]]="", "check", IF(Table1[[#This Row],[Margin]]&lt;0.2, "Low", "OK"))</f>
        <v>OK</v>
      </c>
      <c r="O127" s="4" t="str" cm="1">
        <f t="array" ref="O127">_xlfn.IFS(Table1[[#This Row],[Revenue]]=0, "Check", Table1[[#This Row],[Revenue]]&gt;=1000, "Large", Table1[[#This Row],[Revenue]]&gt;=200, "Medium", TRUE, "Small")</f>
        <v>Large</v>
      </c>
      <c r="P127" s="4" t="str">
        <f>IF(AND(Table1[[#This Row],[Margin Flag]]="Low", Table1[[#This Row],[Revenue]]&gt;1000), "Review", "")</f>
        <v/>
      </c>
      <c r="Q127" s="4" t="str">
        <f>IF(OR(Table1[[#This Row],[Qty]]&gt;=5,Table1[[#This Row],[Order Size]] = "Large" ), "Bulk", "")</f>
        <v>Bulk</v>
      </c>
      <c r="R127" s="10">
        <f>_xlfn.XLOOKUP(G127, Lookup!$A$2:$A$7, Lookup!$B$2:$B$7, "")</f>
        <v>0.25</v>
      </c>
      <c r="S127" s="4" t="str">
        <f>IF(Table1[[#This Row],[Margin]]&lt;Table1[[#This Row],[Target Margin]], "Yes", "")</f>
        <v/>
      </c>
    </row>
    <row r="128" spans="1:19">
      <c r="A128" t="s">
        <v>172</v>
      </c>
      <c r="B128" s="2">
        <v>46220</v>
      </c>
      <c r="C128" t="s">
        <v>23</v>
      </c>
      <c r="D128" t="s">
        <v>69</v>
      </c>
      <c r="E128">
        <v>1</v>
      </c>
      <c r="F128" t="str">
        <f>_xlfn.XLOOKUP(D128, Products!$A$2:$A$21, Products!$B$2:$B$21, "Not Found")</f>
        <v>27in Monitor</v>
      </c>
      <c r="G128" t="str">
        <f>_xlfn.XLOOKUP(D128, Products!$A$2:$A$21, Products!$C$2:$C$21,"not found")</f>
        <v>Computers</v>
      </c>
      <c r="H128" s="4">
        <f>_xlfn.XLOOKUP(D128, Products!$A$2:$A$21, Products!$E$2:$E$21, 0)</f>
        <v>399</v>
      </c>
      <c r="I128" s="4">
        <f>_xlfn.XLOOKUP(D128, Products!$A$2:$A$21, Products!$F$2:$F$21,0)</f>
        <v>290</v>
      </c>
      <c r="J128" t="str">
        <f>_xlfn.XLOOKUP(C128, Stores!$A$2:$A$7, Stores!$D$2:$D$7)</f>
        <v>Sydney East</v>
      </c>
      <c r="K128" s="4">
        <f t="shared" si="2"/>
        <v>399</v>
      </c>
      <c r="L128" s="4">
        <f t="shared" si="3"/>
        <v>109</v>
      </c>
      <c r="M128" s="10">
        <f>IF(Table1[[#This Row],[Revenue]]=0, "", Table1[[#This Row],[Profit]]/Table1[[#This Row],[Revenue]])</f>
        <v>0.27318295739348369</v>
      </c>
      <c r="N128" s="4" t="str">
        <f>IF(Table1[[#This Row],[Margin]]="", "check", IF(Table1[[#This Row],[Margin]]&lt;0.2, "Low", "OK"))</f>
        <v>OK</v>
      </c>
      <c r="O128" s="4" t="str" cm="1">
        <f t="array" ref="O128">_xlfn.IFS(Table1[[#This Row],[Revenue]]=0, "Check", Table1[[#This Row],[Revenue]]&gt;=1000, "Large", Table1[[#This Row],[Revenue]]&gt;=200, "Medium", TRUE, "Small")</f>
        <v>Medium</v>
      </c>
      <c r="P128" s="4" t="str">
        <f>IF(AND(Table1[[#This Row],[Margin Flag]]="Low", Table1[[#This Row],[Revenue]]&gt;1000), "Review", "")</f>
        <v/>
      </c>
      <c r="Q128" s="4" t="str">
        <f>IF(OR(Table1[[#This Row],[Qty]]&gt;=5,Table1[[#This Row],[Order Size]] = "Large" ), "Bulk", "")</f>
        <v/>
      </c>
      <c r="R128" s="10">
        <f>_xlfn.XLOOKUP(G128, Lookup!$A$2:$A$7, Lookup!$B$2:$B$7, "")</f>
        <v>0.25</v>
      </c>
      <c r="S128" s="4" t="str">
        <f>IF(Table1[[#This Row],[Margin]]&lt;Table1[[#This Row],[Target Margin]], "Yes", "")</f>
        <v/>
      </c>
    </row>
    <row r="129" spans="1:19">
      <c r="A129" t="s">
        <v>173</v>
      </c>
      <c r="B129" s="2">
        <v>46220</v>
      </c>
      <c r="C129" t="s">
        <v>57</v>
      </c>
      <c r="D129" t="s">
        <v>69</v>
      </c>
      <c r="E129">
        <v>2</v>
      </c>
      <c r="F129" t="str">
        <f>_xlfn.XLOOKUP(D129, Products!$A$2:$A$21, Products!$B$2:$B$21, "Not Found")</f>
        <v>27in Monitor</v>
      </c>
      <c r="G129" t="str">
        <f>_xlfn.XLOOKUP(D129, Products!$A$2:$A$21, Products!$C$2:$C$21,"not found")</f>
        <v>Computers</v>
      </c>
      <c r="H129" s="4">
        <f>_xlfn.XLOOKUP(D129, Products!$A$2:$A$21, Products!$E$2:$E$21, 0)</f>
        <v>399</v>
      </c>
      <c r="I129" s="4">
        <f>_xlfn.XLOOKUP(D129, Products!$A$2:$A$21, Products!$F$2:$F$21,0)</f>
        <v>290</v>
      </c>
      <c r="J129" t="str">
        <f>_xlfn.XLOOKUP(C129, Stores!$A$2:$A$7, Stores!$D$2:$D$7)</f>
        <v>Sydney South</v>
      </c>
      <c r="K129" s="4">
        <f t="shared" si="2"/>
        <v>798</v>
      </c>
      <c r="L129" s="4">
        <f t="shared" si="3"/>
        <v>218</v>
      </c>
      <c r="M129" s="10">
        <f>IF(Table1[[#This Row],[Revenue]]=0, "", Table1[[#This Row],[Profit]]/Table1[[#This Row],[Revenue]])</f>
        <v>0.27318295739348369</v>
      </c>
      <c r="N129" s="4" t="str">
        <f>IF(Table1[[#This Row],[Margin]]="", "check", IF(Table1[[#This Row],[Margin]]&lt;0.2, "Low", "OK"))</f>
        <v>OK</v>
      </c>
      <c r="O129" s="4" t="str" cm="1">
        <f t="array" ref="O129">_xlfn.IFS(Table1[[#This Row],[Revenue]]=0, "Check", Table1[[#This Row],[Revenue]]&gt;=1000, "Large", Table1[[#This Row],[Revenue]]&gt;=200, "Medium", TRUE, "Small")</f>
        <v>Medium</v>
      </c>
      <c r="P129" s="4" t="str">
        <f>IF(AND(Table1[[#This Row],[Margin Flag]]="Low", Table1[[#This Row],[Revenue]]&gt;1000), "Review", "")</f>
        <v/>
      </c>
      <c r="Q129" s="4" t="str">
        <f>IF(OR(Table1[[#This Row],[Qty]]&gt;=5,Table1[[#This Row],[Order Size]] = "Large" ), "Bulk", "")</f>
        <v/>
      </c>
      <c r="R129" s="10">
        <f>_xlfn.XLOOKUP(G129, Lookup!$A$2:$A$7, Lookup!$B$2:$B$7, "")</f>
        <v>0.25</v>
      </c>
      <c r="S129" s="4" t="str">
        <f>IF(Table1[[#This Row],[Margin]]&lt;Table1[[#This Row],[Target Margin]], "Yes", "")</f>
        <v/>
      </c>
    </row>
    <row r="130" spans="1:19">
      <c r="A130" t="s">
        <v>174</v>
      </c>
      <c r="B130" s="2">
        <v>46221</v>
      </c>
      <c r="C130" t="s">
        <v>26</v>
      </c>
      <c r="D130" t="s">
        <v>21</v>
      </c>
      <c r="E130">
        <v>1</v>
      </c>
      <c r="F130" t="str">
        <f>_xlfn.XLOOKUP(D130, Products!$A$2:$A$21, Products!$B$2:$B$21, "Not Found")</f>
        <v>Gaming Mouse</v>
      </c>
      <c r="G130" t="str">
        <f>_xlfn.XLOOKUP(D130, Products!$A$2:$A$21, Products!$C$2:$C$21,"not found")</f>
        <v>Accessories</v>
      </c>
      <c r="H130" s="4">
        <f>_xlfn.XLOOKUP(D130, Products!$A$2:$A$21, Products!$E$2:$E$21, 0)</f>
        <v>89</v>
      </c>
      <c r="I130" s="4">
        <f>_xlfn.XLOOKUP(D130, Products!$A$2:$A$21, Products!$F$2:$F$21,0)</f>
        <v>41</v>
      </c>
      <c r="J130" t="str">
        <f>_xlfn.XLOOKUP(C130, Stores!$A$2:$A$7, Stores!$D$2:$D$7)</f>
        <v>Sydney North</v>
      </c>
      <c r="K130" s="4">
        <f t="shared" si="2"/>
        <v>89</v>
      </c>
      <c r="L130" s="4">
        <f t="shared" si="3"/>
        <v>48</v>
      </c>
      <c r="M130" s="10">
        <f>IF(Table1[[#This Row],[Revenue]]=0, "", Table1[[#This Row],[Profit]]/Table1[[#This Row],[Revenue]])</f>
        <v>0.5393258426966292</v>
      </c>
      <c r="N130" s="4" t="str">
        <f>IF(Table1[[#This Row],[Margin]]="", "check", IF(Table1[[#This Row],[Margin]]&lt;0.2, "Low", "OK"))</f>
        <v>OK</v>
      </c>
      <c r="O130" s="4" t="str" cm="1">
        <f t="array" ref="O130">_xlfn.IFS(Table1[[#This Row],[Revenue]]=0, "Check", Table1[[#This Row],[Revenue]]&gt;=1000, "Large", Table1[[#This Row],[Revenue]]&gt;=200, "Medium", TRUE, "Small")</f>
        <v>Small</v>
      </c>
      <c r="P130" s="4" t="str">
        <f>IF(AND(Table1[[#This Row],[Margin Flag]]="Low", Table1[[#This Row],[Revenue]]&gt;1000), "Review", "")</f>
        <v/>
      </c>
      <c r="Q130" s="4" t="str">
        <f>IF(OR(Table1[[#This Row],[Qty]]&gt;=5,Table1[[#This Row],[Order Size]] = "Large" ), "Bulk", "")</f>
        <v/>
      </c>
      <c r="R130" s="10">
        <f>_xlfn.XLOOKUP(G130, Lookup!$A$2:$A$7, Lookup!$B$2:$B$7, "")</f>
        <v>0.25</v>
      </c>
      <c r="S130" s="4" t="str">
        <f>IF(Table1[[#This Row],[Margin]]&lt;Table1[[#This Row],[Target Margin]], "Yes", "")</f>
        <v/>
      </c>
    </row>
    <row r="131" spans="1:19">
      <c r="A131" t="s">
        <v>175</v>
      </c>
      <c r="B131" s="2">
        <v>46221</v>
      </c>
      <c r="C131" t="s">
        <v>26</v>
      </c>
      <c r="D131" t="s">
        <v>38</v>
      </c>
      <c r="E131">
        <v>2</v>
      </c>
      <c r="F131" t="str">
        <f>_xlfn.XLOOKUP(D131, Products!$A$2:$A$21, Products!$B$2:$B$21, "Not Found")</f>
        <v>USB-C Charger</v>
      </c>
      <c r="G131" t="str">
        <f>_xlfn.XLOOKUP(D131, Products!$A$2:$A$21, Products!$C$2:$C$21,"not found")</f>
        <v>Accessories</v>
      </c>
      <c r="H131" s="4">
        <f>_xlfn.XLOOKUP(D131, Products!$A$2:$A$21, Products!$E$2:$E$21, 0)</f>
        <v>49</v>
      </c>
      <c r="I131" s="4">
        <f>_xlfn.XLOOKUP(D131, Products!$A$2:$A$21, Products!$F$2:$F$21,0)</f>
        <v>14</v>
      </c>
      <c r="J131" t="str">
        <f>_xlfn.XLOOKUP(C131, Stores!$A$2:$A$7, Stores!$D$2:$D$7)</f>
        <v>Sydney North</v>
      </c>
      <c r="K131" s="4">
        <f t="shared" ref="K131:K194" si="4" xml:space="preserve"> E131*H131</f>
        <v>98</v>
      </c>
      <c r="L131" s="4">
        <f t="shared" ref="L131:L194" si="5" xml:space="preserve"> K131 - (E131 * I131)</f>
        <v>70</v>
      </c>
      <c r="M131" s="10">
        <f>IF(Table1[[#This Row],[Revenue]]=0, "", Table1[[#This Row],[Profit]]/Table1[[#This Row],[Revenue]])</f>
        <v>0.7142857142857143</v>
      </c>
      <c r="N131" s="4" t="str">
        <f>IF(Table1[[#This Row],[Margin]]="", "check", IF(Table1[[#This Row],[Margin]]&lt;0.2, "Low", "OK"))</f>
        <v>OK</v>
      </c>
      <c r="O131" s="4" t="str" cm="1">
        <f t="array" ref="O131">_xlfn.IFS(Table1[[#This Row],[Revenue]]=0, "Check", Table1[[#This Row],[Revenue]]&gt;=1000, "Large", Table1[[#This Row],[Revenue]]&gt;=200, "Medium", TRUE, "Small")</f>
        <v>Small</v>
      </c>
      <c r="P131" s="4" t="str">
        <f>IF(AND(Table1[[#This Row],[Margin Flag]]="Low", Table1[[#This Row],[Revenue]]&gt;1000), "Review", "")</f>
        <v/>
      </c>
      <c r="Q131" s="4" t="str">
        <f>IF(OR(Table1[[#This Row],[Qty]]&gt;=5,Table1[[#This Row],[Order Size]] = "Large" ), "Bulk", "")</f>
        <v/>
      </c>
      <c r="R131" s="10">
        <f>_xlfn.XLOOKUP(G131, Lookup!$A$2:$A$7, Lookup!$B$2:$B$7, "")</f>
        <v>0.25</v>
      </c>
      <c r="S131" s="4" t="str">
        <f>IF(Table1[[#This Row],[Margin]]&lt;Table1[[#This Row],[Target Margin]], "Yes", "")</f>
        <v/>
      </c>
    </row>
    <row r="132" spans="1:19">
      <c r="A132" t="s">
        <v>176</v>
      </c>
      <c r="B132" s="2">
        <v>46222</v>
      </c>
      <c r="C132" t="s">
        <v>26</v>
      </c>
      <c r="D132" t="s">
        <v>38</v>
      </c>
      <c r="E132">
        <v>1</v>
      </c>
      <c r="F132" t="str">
        <f>_xlfn.XLOOKUP(D132, Products!$A$2:$A$21, Products!$B$2:$B$21, "Not Found")</f>
        <v>USB-C Charger</v>
      </c>
      <c r="G132" t="str">
        <f>_xlfn.XLOOKUP(D132, Products!$A$2:$A$21, Products!$C$2:$C$21,"not found")</f>
        <v>Accessories</v>
      </c>
      <c r="H132" s="4">
        <f>_xlfn.XLOOKUP(D132, Products!$A$2:$A$21, Products!$E$2:$E$21, 0)</f>
        <v>49</v>
      </c>
      <c r="I132" s="4">
        <f>_xlfn.XLOOKUP(D132, Products!$A$2:$A$21, Products!$F$2:$F$21,0)</f>
        <v>14</v>
      </c>
      <c r="J132" t="str">
        <f>_xlfn.XLOOKUP(C132, Stores!$A$2:$A$7, Stores!$D$2:$D$7)</f>
        <v>Sydney North</v>
      </c>
      <c r="K132" s="4">
        <f t="shared" si="4"/>
        <v>49</v>
      </c>
      <c r="L132" s="4">
        <f t="shared" si="5"/>
        <v>35</v>
      </c>
      <c r="M132" s="10">
        <f>IF(Table1[[#This Row],[Revenue]]=0, "", Table1[[#This Row],[Profit]]/Table1[[#This Row],[Revenue]])</f>
        <v>0.7142857142857143</v>
      </c>
      <c r="N132" s="4" t="str">
        <f>IF(Table1[[#This Row],[Margin]]="", "check", IF(Table1[[#This Row],[Margin]]&lt;0.2, "Low", "OK"))</f>
        <v>OK</v>
      </c>
      <c r="O132" s="4" t="str" cm="1">
        <f t="array" ref="O132">_xlfn.IFS(Table1[[#This Row],[Revenue]]=0, "Check", Table1[[#This Row],[Revenue]]&gt;=1000, "Large", Table1[[#This Row],[Revenue]]&gt;=200, "Medium", TRUE, "Small")</f>
        <v>Small</v>
      </c>
      <c r="P132" s="4" t="str">
        <f>IF(AND(Table1[[#This Row],[Margin Flag]]="Low", Table1[[#This Row],[Revenue]]&gt;1000), "Review", "")</f>
        <v/>
      </c>
      <c r="Q132" s="4" t="str">
        <f>IF(OR(Table1[[#This Row],[Qty]]&gt;=5,Table1[[#This Row],[Order Size]] = "Large" ), "Bulk", "")</f>
        <v/>
      </c>
      <c r="R132" s="10">
        <f>_xlfn.XLOOKUP(G132, Lookup!$A$2:$A$7, Lookup!$B$2:$B$7, "")</f>
        <v>0.25</v>
      </c>
      <c r="S132" s="4" t="str">
        <f>IF(Table1[[#This Row],[Margin]]&lt;Table1[[#This Row],[Target Margin]], "Yes", "")</f>
        <v/>
      </c>
    </row>
    <row r="133" spans="1:19">
      <c r="A133" t="s">
        <v>177</v>
      </c>
      <c r="B133" s="2">
        <v>46222</v>
      </c>
      <c r="C133" t="s">
        <v>32</v>
      </c>
      <c r="D133" t="s">
        <v>99</v>
      </c>
      <c r="E133">
        <v>1</v>
      </c>
      <c r="F133" t="str">
        <f>_xlfn.XLOOKUP(D133, Products!$A$2:$A$21, Products!$B$2:$B$21, "Not Found")</f>
        <v>Smartphone 256GB</v>
      </c>
      <c r="G133" t="str">
        <f>_xlfn.XLOOKUP(D133, Products!$A$2:$A$21, Products!$C$2:$C$21,"not found")</f>
        <v>Phones</v>
      </c>
      <c r="H133" s="4">
        <f>_xlfn.XLOOKUP(D133, Products!$A$2:$A$21, Products!$E$2:$E$21, 0)</f>
        <v>1499</v>
      </c>
      <c r="I133" s="4">
        <f>_xlfn.XLOOKUP(D133, Products!$A$2:$A$21, Products!$F$2:$F$21,0)</f>
        <v>1180</v>
      </c>
      <c r="J133" t="str">
        <f>_xlfn.XLOOKUP(C133, Stores!$A$2:$A$7, Stores!$D$2:$D$7)</f>
        <v>Sydney South</v>
      </c>
      <c r="K133" s="4">
        <f t="shared" si="4"/>
        <v>1499</v>
      </c>
      <c r="L133" s="4">
        <f t="shared" si="5"/>
        <v>319</v>
      </c>
      <c r="M133" s="10">
        <f>IF(Table1[[#This Row],[Revenue]]=0, "", Table1[[#This Row],[Profit]]/Table1[[#This Row],[Revenue]])</f>
        <v>0.21280853902601735</v>
      </c>
      <c r="N133" s="4" t="str">
        <f>IF(Table1[[#This Row],[Margin]]="", "check", IF(Table1[[#This Row],[Margin]]&lt;0.2, "Low", "OK"))</f>
        <v>OK</v>
      </c>
      <c r="O133" s="4" t="str" cm="1">
        <f t="array" ref="O133">_xlfn.IFS(Table1[[#This Row],[Revenue]]=0, "Check", Table1[[#This Row],[Revenue]]&gt;=1000, "Large", Table1[[#This Row],[Revenue]]&gt;=200, "Medium", TRUE, "Small")</f>
        <v>Large</v>
      </c>
      <c r="P133" s="4" t="str">
        <f>IF(AND(Table1[[#This Row],[Margin Flag]]="Low", Table1[[#This Row],[Revenue]]&gt;1000), "Review", "")</f>
        <v/>
      </c>
      <c r="Q133" s="4" t="str">
        <f>IF(OR(Table1[[#This Row],[Qty]]&gt;=5,Table1[[#This Row],[Order Size]] = "Large" ), "Bulk", "")</f>
        <v>Bulk</v>
      </c>
      <c r="R133" s="10">
        <f>_xlfn.XLOOKUP(G133, Lookup!$A$2:$A$7, Lookup!$B$2:$B$7, "")</f>
        <v>0.25</v>
      </c>
      <c r="S133" s="4" t="str">
        <f>IF(Table1[[#This Row],[Margin]]&lt;Table1[[#This Row],[Target Margin]], "Yes", "")</f>
        <v>Yes</v>
      </c>
    </row>
    <row r="134" spans="1:19">
      <c r="A134" t="s">
        <v>178</v>
      </c>
      <c r="B134" s="2">
        <v>46222</v>
      </c>
      <c r="C134" t="s">
        <v>32</v>
      </c>
      <c r="D134" t="s">
        <v>69</v>
      </c>
      <c r="E134">
        <v>1</v>
      </c>
      <c r="F134" t="str">
        <f>_xlfn.XLOOKUP(D134, Products!$A$2:$A$21, Products!$B$2:$B$21, "Not Found")</f>
        <v>27in Monitor</v>
      </c>
      <c r="G134" t="str">
        <f>_xlfn.XLOOKUP(D134, Products!$A$2:$A$21, Products!$C$2:$C$21,"not found")</f>
        <v>Computers</v>
      </c>
      <c r="H134" s="4">
        <f>_xlfn.XLOOKUP(D134, Products!$A$2:$A$21, Products!$E$2:$E$21, 0)</f>
        <v>399</v>
      </c>
      <c r="I134" s="4">
        <f>_xlfn.XLOOKUP(D134, Products!$A$2:$A$21, Products!$F$2:$F$21,0)</f>
        <v>290</v>
      </c>
      <c r="J134" t="str">
        <f>_xlfn.XLOOKUP(C134, Stores!$A$2:$A$7, Stores!$D$2:$D$7)</f>
        <v>Sydney South</v>
      </c>
      <c r="K134" s="4">
        <f t="shared" si="4"/>
        <v>399</v>
      </c>
      <c r="L134" s="4">
        <f t="shared" si="5"/>
        <v>109</v>
      </c>
      <c r="M134" s="10">
        <f>IF(Table1[[#This Row],[Revenue]]=0, "", Table1[[#This Row],[Profit]]/Table1[[#This Row],[Revenue]])</f>
        <v>0.27318295739348369</v>
      </c>
      <c r="N134" s="4" t="str">
        <f>IF(Table1[[#This Row],[Margin]]="", "check", IF(Table1[[#This Row],[Margin]]&lt;0.2, "Low", "OK"))</f>
        <v>OK</v>
      </c>
      <c r="O134" s="4" t="str" cm="1">
        <f t="array" ref="O134">_xlfn.IFS(Table1[[#This Row],[Revenue]]=0, "Check", Table1[[#This Row],[Revenue]]&gt;=1000, "Large", Table1[[#This Row],[Revenue]]&gt;=200, "Medium", TRUE, "Small")</f>
        <v>Medium</v>
      </c>
      <c r="P134" s="4" t="str">
        <f>IF(AND(Table1[[#This Row],[Margin Flag]]="Low", Table1[[#This Row],[Revenue]]&gt;1000), "Review", "")</f>
        <v/>
      </c>
      <c r="Q134" s="4" t="str">
        <f>IF(OR(Table1[[#This Row],[Qty]]&gt;=5,Table1[[#This Row],[Order Size]] = "Large" ), "Bulk", "")</f>
        <v/>
      </c>
      <c r="R134" s="10">
        <f>_xlfn.XLOOKUP(G134, Lookup!$A$2:$A$7, Lookup!$B$2:$B$7, "")</f>
        <v>0.25</v>
      </c>
      <c r="S134" s="4" t="str">
        <f>IF(Table1[[#This Row],[Margin]]&lt;Table1[[#This Row],[Target Margin]], "Yes", "")</f>
        <v/>
      </c>
    </row>
    <row r="135" spans="1:19">
      <c r="A135" t="s">
        <v>179</v>
      </c>
      <c r="B135" s="2">
        <v>46222</v>
      </c>
      <c r="C135" t="s">
        <v>29</v>
      </c>
      <c r="D135" t="s">
        <v>21</v>
      </c>
      <c r="E135">
        <v>1</v>
      </c>
      <c r="F135" t="str">
        <f>_xlfn.XLOOKUP(D135, Products!$A$2:$A$21, Products!$B$2:$B$21, "Not Found")</f>
        <v>Gaming Mouse</v>
      </c>
      <c r="G135" t="str">
        <f>_xlfn.XLOOKUP(D135, Products!$A$2:$A$21, Products!$C$2:$C$21,"not found")</f>
        <v>Accessories</v>
      </c>
      <c r="H135" s="4">
        <f>_xlfn.XLOOKUP(D135, Products!$A$2:$A$21, Products!$E$2:$E$21, 0)</f>
        <v>89</v>
      </c>
      <c r="I135" s="4">
        <f>_xlfn.XLOOKUP(D135, Products!$A$2:$A$21, Products!$F$2:$F$21,0)</f>
        <v>41</v>
      </c>
      <c r="J135" t="str">
        <f>_xlfn.XLOOKUP(C135, Stores!$A$2:$A$7, Stores!$D$2:$D$7)</f>
        <v>Sydney West</v>
      </c>
      <c r="K135" s="4">
        <f t="shared" si="4"/>
        <v>89</v>
      </c>
      <c r="L135" s="4">
        <f t="shared" si="5"/>
        <v>48</v>
      </c>
      <c r="M135" s="10">
        <f>IF(Table1[[#This Row],[Revenue]]=0, "", Table1[[#This Row],[Profit]]/Table1[[#This Row],[Revenue]])</f>
        <v>0.5393258426966292</v>
      </c>
      <c r="N135" s="4" t="str">
        <f>IF(Table1[[#This Row],[Margin]]="", "check", IF(Table1[[#This Row],[Margin]]&lt;0.2, "Low", "OK"))</f>
        <v>OK</v>
      </c>
      <c r="O135" s="4" t="str" cm="1">
        <f t="array" ref="O135">_xlfn.IFS(Table1[[#This Row],[Revenue]]=0, "Check", Table1[[#This Row],[Revenue]]&gt;=1000, "Large", Table1[[#This Row],[Revenue]]&gt;=200, "Medium", TRUE, "Small")</f>
        <v>Small</v>
      </c>
      <c r="P135" s="4" t="str">
        <f>IF(AND(Table1[[#This Row],[Margin Flag]]="Low", Table1[[#This Row],[Revenue]]&gt;1000), "Review", "")</f>
        <v/>
      </c>
      <c r="Q135" s="4" t="str">
        <f>IF(OR(Table1[[#This Row],[Qty]]&gt;=5,Table1[[#This Row],[Order Size]] = "Large" ), "Bulk", "")</f>
        <v/>
      </c>
      <c r="R135" s="10">
        <f>_xlfn.XLOOKUP(G135, Lookup!$A$2:$A$7, Lookup!$B$2:$B$7, "")</f>
        <v>0.25</v>
      </c>
      <c r="S135" s="4" t="str">
        <f>IF(Table1[[#This Row],[Margin]]&lt;Table1[[#This Row],[Target Margin]], "Yes", "")</f>
        <v/>
      </c>
    </row>
    <row r="136" spans="1:19">
      <c r="A136" t="s">
        <v>180</v>
      </c>
      <c r="B136" s="2">
        <v>46222</v>
      </c>
      <c r="C136" t="s">
        <v>23</v>
      </c>
      <c r="D136" t="s">
        <v>50</v>
      </c>
      <c r="E136">
        <v>2</v>
      </c>
      <c r="F136" t="str">
        <f>_xlfn.XLOOKUP(D136, Products!$A$2:$A$21, Products!$B$2:$B$21, "Not Found")</f>
        <v>Smartphone 128GB</v>
      </c>
      <c r="G136" t="str">
        <f>_xlfn.XLOOKUP(D136, Products!$A$2:$A$21, Products!$C$2:$C$21,"not found")</f>
        <v>Phones</v>
      </c>
      <c r="H136" s="4">
        <f>_xlfn.XLOOKUP(D136, Products!$A$2:$A$21, Products!$E$2:$E$21, 0)</f>
        <v>1099</v>
      </c>
      <c r="I136" s="4">
        <f>_xlfn.XLOOKUP(D136, Products!$A$2:$A$21, Products!$F$2:$F$21,0)</f>
        <v>860</v>
      </c>
      <c r="J136" t="str">
        <f>_xlfn.XLOOKUP(C136, Stores!$A$2:$A$7, Stores!$D$2:$D$7)</f>
        <v>Sydney East</v>
      </c>
      <c r="K136" s="4">
        <f t="shared" si="4"/>
        <v>2198</v>
      </c>
      <c r="L136" s="4">
        <f t="shared" si="5"/>
        <v>478</v>
      </c>
      <c r="M136" s="10">
        <f>IF(Table1[[#This Row],[Revenue]]=0, "", Table1[[#This Row],[Profit]]/Table1[[#This Row],[Revenue]])</f>
        <v>0.21747042766151045</v>
      </c>
      <c r="N136" s="4" t="str">
        <f>IF(Table1[[#This Row],[Margin]]="", "check", IF(Table1[[#This Row],[Margin]]&lt;0.2, "Low", "OK"))</f>
        <v>OK</v>
      </c>
      <c r="O136" s="4" t="str" cm="1">
        <f t="array" ref="O136">_xlfn.IFS(Table1[[#This Row],[Revenue]]=0, "Check", Table1[[#This Row],[Revenue]]&gt;=1000, "Large", Table1[[#This Row],[Revenue]]&gt;=200, "Medium", TRUE, "Small")</f>
        <v>Large</v>
      </c>
      <c r="P136" s="4" t="str">
        <f>IF(AND(Table1[[#This Row],[Margin Flag]]="Low", Table1[[#This Row],[Revenue]]&gt;1000), "Review", "")</f>
        <v/>
      </c>
      <c r="Q136" s="4" t="str">
        <f>IF(OR(Table1[[#This Row],[Qty]]&gt;=5,Table1[[#This Row],[Order Size]] = "Large" ), "Bulk", "")</f>
        <v>Bulk</v>
      </c>
      <c r="R136" s="10">
        <f>_xlfn.XLOOKUP(G136, Lookup!$A$2:$A$7, Lookup!$B$2:$B$7, "")</f>
        <v>0.25</v>
      </c>
      <c r="S136" s="4" t="str">
        <f>IF(Table1[[#This Row],[Margin]]&lt;Table1[[#This Row],[Target Margin]], "Yes", "")</f>
        <v>Yes</v>
      </c>
    </row>
    <row r="137" spans="1:19">
      <c r="A137" t="s">
        <v>181</v>
      </c>
      <c r="B137" s="2">
        <v>46222</v>
      </c>
      <c r="C137" t="s">
        <v>32</v>
      </c>
      <c r="D137" t="s">
        <v>27</v>
      </c>
      <c r="E137">
        <v>2</v>
      </c>
      <c r="F137" t="str">
        <f>_xlfn.XLOOKUP(D137, Products!$A$2:$A$21, Products!$B$2:$B$21, "Not Found")</f>
        <v>Bluetooth Speaker</v>
      </c>
      <c r="G137" t="str">
        <f>_xlfn.XLOOKUP(D137, Products!$A$2:$A$21, Products!$C$2:$C$21,"not found")</f>
        <v>Audio</v>
      </c>
      <c r="H137" s="4">
        <f>_xlfn.XLOOKUP(D137, Products!$A$2:$A$21, Products!$E$2:$E$21, 0)</f>
        <v>179</v>
      </c>
      <c r="I137" s="4">
        <f>_xlfn.XLOOKUP(D137, Products!$A$2:$A$21, Products!$F$2:$F$21,0)</f>
        <v>95</v>
      </c>
      <c r="J137" t="str">
        <f>_xlfn.XLOOKUP(C137, Stores!$A$2:$A$7, Stores!$D$2:$D$7)</f>
        <v>Sydney South</v>
      </c>
      <c r="K137" s="4">
        <f t="shared" si="4"/>
        <v>358</v>
      </c>
      <c r="L137" s="4">
        <f t="shared" si="5"/>
        <v>168</v>
      </c>
      <c r="M137" s="10">
        <f>IF(Table1[[#This Row],[Revenue]]=0, "", Table1[[#This Row],[Profit]]/Table1[[#This Row],[Revenue]])</f>
        <v>0.46927374301675978</v>
      </c>
      <c r="N137" s="4" t="str">
        <f>IF(Table1[[#This Row],[Margin]]="", "check", IF(Table1[[#This Row],[Margin]]&lt;0.2, "Low", "OK"))</f>
        <v>OK</v>
      </c>
      <c r="O137" s="4" t="str" cm="1">
        <f t="array" ref="O137">_xlfn.IFS(Table1[[#This Row],[Revenue]]=0, "Check", Table1[[#This Row],[Revenue]]&gt;=1000, "Large", Table1[[#This Row],[Revenue]]&gt;=200, "Medium", TRUE, "Small")</f>
        <v>Medium</v>
      </c>
      <c r="P137" s="4" t="str">
        <f>IF(AND(Table1[[#This Row],[Margin Flag]]="Low", Table1[[#This Row],[Revenue]]&gt;1000), "Review", "")</f>
        <v/>
      </c>
      <c r="Q137" s="4" t="str">
        <f>IF(OR(Table1[[#This Row],[Qty]]&gt;=5,Table1[[#This Row],[Order Size]] = "Large" ), "Bulk", "")</f>
        <v/>
      </c>
      <c r="R137" s="10">
        <f>_xlfn.XLOOKUP(G137, Lookup!$A$2:$A$7, Lookup!$B$2:$B$7, "")</f>
        <v>0.25</v>
      </c>
      <c r="S137" s="4" t="str">
        <f>IF(Table1[[#This Row],[Margin]]&lt;Table1[[#This Row],[Target Margin]], "Yes", "")</f>
        <v/>
      </c>
    </row>
    <row r="138" spans="1:19">
      <c r="A138" t="s">
        <v>182</v>
      </c>
      <c r="B138" s="2">
        <v>46222</v>
      </c>
      <c r="C138" t="s">
        <v>32</v>
      </c>
      <c r="D138" t="s">
        <v>80</v>
      </c>
      <c r="E138">
        <v>1</v>
      </c>
      <c r="F138" t="str">
        <f>_xlfn.XLOOKUP(D138, Products!$A$2:$A$21, Products!$B$2:$B$21, "Not Found")</f>
        <v>Over-Ear Headphones</v>
      </c>
      <c r="G138" t="str">
        <f>_xlfn.XLOOKUP(D138, Products!$A$2:$A$21, Products!$C$2:$C$21,"not found")</f>
        <v>Audio</v>
      </c>
      <c r="H138" s="4">
        <f>_xlfn.XLOOKUP(D138, Products!$A$2:$A$21, Products!$E$2:$E$21, 0)</f>
        <v>499</v>
      </c>
      <c r="I138" s="4">
        <f>_xlfn.XLOOKUP(D138, Products!$A$2:$A$21, Products!$F$2:$F$21,0)</f>
        <v>310</v>
      </c>
      <c r="J138" t="str">
        <f>_xlfn.XLOOKUP(C138, Stores!$A$2:$A$7, Stores!$D$2:$D$7)</f>
        <v>Sydney South</v>
      </c>
      <c r="K138" s="4">
        <f t="shared" si="4"/>
        <v>499</v>
      </c>
      <c r="L138" s="4">
        <f t="shared" si="5"/>
        <v>189</v>
      </c>
      <c r="M138" s="10">
        <f>IF(Table1[[#This Row],[Revenue]]=0, "", Table1[[#This Row],[Profit]]/Table1[[#This Row],[Revenue]])</f>
        <v>0.37875751503006011</v>
      </c>
      <c r="N138" s="4" t="str">
        <f>IF(Table1[[#This Row],[Margin]]="", "check", IF(Table1[[#This Row],[Margin]]&lt;0.2, "Low", "OK"))</f>
        <v>OK</v>
      </c>
      <c r="O138" s="4" t="str" cm="1">
        <f t="array" ref="O138">_xlfn.IFS(Table1[[#This Row],[Revenue]]=0, "Check", Table1[[#This Row],[Revenue]]&gt;=1000, "Large", Table1[[#This Row],[Revenue]]&gt;=200, "Medium", TRUE, "Small")</f>
        <v>Medium</v>
      </c>
      <c r="P138" s="4" t="str">
        <f>IF(AND(Table1[[#This Row],[Margin Flag]]="Low", Table1[[#This Row],[Revenue]]&gt;1000), "Review", "")</f>
        <v/>
      </c>
      <c r="Q138" s="4" t="str">
        <f>IF(OR(Table1[[#This Row],[Qty]]&gt;=5,Table1[[#This Row],[Order Size]] = "Large" ), "Bulk", "")</f>
        <v/>
      </c>
      <c r="R138" s="10">
        <f>_xlfn.XLOOKUP(G138, Lookup!$A$2:$A$7, Lookup!$B$2:$B$7, "")</f>
        <v>0.25</v>
      </c>
      <c r="S138" s="4" t="str">
        <f>IF(Table1[[#This Row],[Margin]]&lt;Table1[[#This Row],[Target Margin]], "Yes", "")</f>
        <v/>
      </c>
    </row>
    <row r="139" spans="1:19">
      <c r="A139" t="s">
        <v>183</v>
      </c>
      <c r="B139" s="2">
        <v>46222</v>
      </c>
      <c r="C139" t="s">
        <v>29</v>
      </c>
      <c r="D139" t="s">
        <v>58</v>
      </c>
      <c r="E139">
        <v>1</v>
      </c>
      <c r="F139" t="str">
        <f>_xlfn.XLOOKUP(D139, Products!$A$2:$A$21, Products!$B$2:$B$21, "Not Found")</f>
        <v>Mech Keyboard</v>
      </c>
      <c r="G139" t="str">
        <f>_xlfn.XLOOKUP(D139, Products!$A$2:$A$21, Products!$C$2:$C$21,"not found")</f>
        <v>Accessories</v>
      </c>
      <c r="H139" s="4">
        <f>_xlfn.XLOOKUP(D139, Products!$A$2:$A$21, Products!$E$2:$E$21, 0)</f>
        <v>149</v>
      </c>
      <c r="I139" s="4">
        <f>_xlfn.XLOOKUP(D139, Products!$A$2:$A$21, Products!$F$2:$F$21,0)</f>
        <v>72</v>
      </c>
      <c r="J139" t="str">
        <f>_xlfn.XLOOKUP(C139, Stores!$A$2:$A$7, Stores!$D$2:$D$7)</f>
        <v>Sydney West</v>
      </c>
      <c r="K139" s="4">
        <f t="shared" si="4"/>
        <v>149</v>
      </c>
      <c r="L139" s="4">
        <f t="shared" si="5"/>
        <v>77</v>
      </c>
      <c r="M139" s="10">
        <f>IF(Table1[[#This Row],[Revenue]]=0, "", Table1[[#This Row],[Profit]]/Table1[[#This Row],[Revenue]])</f>
        <v>0.51677852348993292</v>
      </c>
      <c r="N139" s="4" t="str">
        <f>IF(Table1[[#This Row],[Margin]]="", "check", IF(Table1[[#This Row],[Margin]]&lt;0.2, "Low", "OK"))</f>
        <v>OK</v>
      </c>
      <c r="O139" s="4" t="str" cm="1">
        <f t="array" ref="O139">_xlfn.IFS(Table1[[#This Row],[Revenue]]=0, "Check", Table1[[#This Row],[Revenue]]&gt;=1000, "Large", Table1[[#This Row],[Revenue]]&gt;=200, "Medium", TRUE, "Small")</f>
        <v>Small</v>
      </c>
      <c r="P139" s="4" t="str">
        <f>IF(AND(Table1[[#This Row],[Margin Flag]]="Low", Table1[[#This Row],[Revenue]]&gt;1000), "Review", "")</f>
        <v/>
      </c>
      <c r="Q139" s="4" t="str">
        <f>IF(OR(Table1[[#This Row],[Qty]]&gt;=5,Table1[[#This Row],[Order Size]] = "Large" ), "Bulk", "")</f>
        <v/>
      </c>
      <c r="R139" s="10">
        <f>_xlfn.XLOOKUP(G139, Lookup!$A$2:$A$7, Lookup!$B$2:$B$7, "")</f>
        <v>0.25</v>
      </c>
      <c r="S139" s="4" t="str">
        <f>IF(Table1[[#This Row],[Margin]]&lt;Table1[[#This Row],[Target Margin]], "Yes", "")</f>
        <v/>
      </c>
    </row>
    <row r="140" spans="1:19">
      <c r="A140" t="s">
        <v>184</v>
      </c>
      <c r="B140" s="2">
        <v>46222</v>
      </c>
      <c r="C140" t="s">
        <v>26</v>
      </c>
      <c r="D140" t="s">
        <v>35</v>
      </c>
      <c r="E140">
        <v>1</v>
      </c>
      <c r="F140" t="str">
        <f>_xlfn.XLOOKUP(D140, Products!$A$2:$A$21, Products!$B$2:$B$21, "Not Found")</f>
        <v>Phone Case</v>
      </c>
      <c r="G140" t="str">
        <f>_xlfn.XLOOKUP(D140, Products!$A$2:$A$21, Products!$C$2:$C$21,"not found")</f>
        <v>Accessories</v>
      </c>
      <c r="H140" s="4">
        <f>_xlfn.XLOOKUP(D140, Products!$A$2:$A$21, Products!$E$2:$E$21, 0)</f>
        <v>39</v>
      </c>
      <c r="I140" s="4">
        <f>_xlfn.XLOOKUP(D140, Products!$A$2:$A$21, Products!$F$2:$F$21,0)</f>
        <v>9</v>
      </c>
      <c r="J140" t="str">
        <f>_xlfn.XLOOKUP(C140, Stores!$A$2:$A$7, Stores!$D$2:$D$7)</f>
        <v>Sydney North</v>
      </c>
      <c r="K140" s="4">
        <f t="shared" si="4"/>
        <v>39</v>
      </c>
      <c r="L140" s="4">
        <f t="shared" si="5"/>
        <v>30</v>
      </c>
      <c r="M140" s="10">
        <f>IF(Table1[[#This Row],[Revenue]]=0, "", Table1[[#This Row],[Profit]]/Table1[[#This Row],[Revenue]])</f>
        <v>0.76923076923076927</v>
      </c>
      <c r="N140" s="4" t="str">
        <f>IF(Table1[[#This Row],[Margin]]="", "check", IF(Table1[[#This Row],[Margin]]&lt;0.2, "Low", "OK"))</f>
        <v>OK</v>
      </c>
      <c r="O140" s="4" t="str" cm="1">
        <f t="array" ref="O140">_xlfn.IFS(Table1[[#This Row],[Revenue]]=0, "Check", Table1[[#This Row],[Revenue]]&gt;=1000, "Large", Table1[[#This Row],[Revenue]]&gt;=200, "Medium", TRUE, "Small")</f>
        <v>Small</v>
      </c>
      <c r="P140" s="4" t="str">
        <f>IF(AND(Table1[[#This Row],[Margin Flag]]="Low", Table1[[#This Row],[Revenue]]&gt;1000), "Review", "")</f>
        <v/>
      </c>
      <c r="Q140" s="4" t="str">
        <f>IF(OR(Table1[[#This Row],[Qty]]&gt;=5,Table1[[#This Row],[Order Size]] = "Large" ), "Bulk", "")</f>
        <v/>
      </c>
      <c r="R140" s="10">
        <f>_xlfn.XLOOKUP(G140, Lookup!$A$2:$A$7, Lookup!$B$2:$B$7, "")</f>
        <v>0.25</v>
      </c>
      <c r="S140" s="4" t="str">
        <f>IF(Table1[[#This Row],[Margin]]&lt;Table1[[#This Row],[Target Margin]], "Yes", "")</f>
        <v/>
      </c>
    </row>
    <row r="141" spans="1:19">
      <c r="A141" t="s">
        <v>185</v>
      </c>
      <c r="B141" s="2">
        <v>46222</v>
      </c>
      <c r="C141" t="s">
        <v>26</v>
      </c>
      <c r="D141" t="s">
        <v>27</v>
      </c>
      <c r="E141">
        <v>1</v>
      </c>
      <c r="F141" t="str">
        <f>_xlfn.XLOOKUP(D141, Products!$A$2:$A$21, Products!$B$2:$B$21, "Not Found")</f>
        <v>Bluetooth Speaker</v>
      </c>
      <c r="G141" t="str">
        <f>_xlfn.XLOOKUP(D141, Products!$A$2:$A$21, Products!$C$2:$C$21,"not found")</f>
        <v>Audio</v>
      </c>
      <c r="H141" s="4">
        <f>_xlfn.XLOOKUP(D141, Products!$A$2:$A$21, Products!$E$2:$E$21, 0)</f>
        <v>179</v>
      </c>
      <c r="I141" s="4">
        <f>_xlfn.XLOOKUP(D141, Products!$A$2:$A$21, Products!$F$2:$F$21,0)</f>
        <v>95</v>
      </c>
      <c r="J141" t="str">
        <f>_xlfn.XLOOKUP(C141, Stores!$A$2:$A$7, Stores!$D$2:$D$7)</f>
        <v>Sydney North</v>
      </c>
      <c r="K141" s="4">
        <f t="shared" si="4"/>
        <v>179</v>
      </c>
      <c r="L141" s="4">
        <f t="shared" si="5"/>
        <v>84</v>
      </c>
      <c r="M141" s="10">
        <f>IF(Table1[[#This Row],[Revenue]]=0, "", Table1[[#This Row],[Profit]]/Table1[[#This Row],[Revenue]])</f>
        <v>0.46927374301675978</v>
      </c>
      <c r="N141" s="4" t="str">
        <f>IF(Table1[[#This Row],[Margin]]="", "check", IF(Table1[[#This Row],[Margin]]&lt;0.2, "Low", "OK"))</f>
        <v>OK</v>
      </c>
      <c r="O141" s="4" t="str" cm="1">
        <f t="array" ref="O141">_xlfn.IFS(Table1[[#This Row],[Revenue]]=0, "Check", Table1[[#This Row],[Revenue]]&gt;=1000, "Large", Table1[[#This Row],[Revenue]]&gt;=200, "Medium", TRUE, "Small")</f>
        <v>Small</v>
      </c>
      <c r="P141" s="4" t="str">
        <f>IF(AND(Table1[[#This Row],[Margin Flag]]="Low", Table1[[#This Row],[Revenue]]&gt;1000), "Review", "")</f>
        <v/>
      </c>
      <c r="Q141" s="4" t="str">
        <f>IF(OR(Table1[[#This Row],[Qty]]&gt;=5,Table1[[#This Row],[Order Size]] = "Large" ), "Bulk", "")</f>
        <v/>
      </c>
      <c r="R141" s="10">
        <f>_xlfn.XLOOKUP(G141, Lookup!$A$2:$A$7, Lookup!$B$2:$B$7, "")</f>
        <v>0.25</v>
      </c>
      <c r="S141" s="4" t="str">
        <f>IF(Table1[[#This Row],[Margin]]&lt;Table1[[#This Row],[Target Margin]], "Yes", "")</f>
        <v/>
      </c>
    </row>
    <row r="142" spans="1:19">
      <c r="A142" t="s">
        <v>186</v>
      </c>
      <c r="B142" s="2">
        <v>46223</v>
      </c>
      <c r="C142" t="s">
        <v>29</v>
      </c>
      <c r="D142" t="s">
        <v>99</v>
      </c>
      <c r="E142">
        <v>1</v>
      </c>
      <c r="F142" t="str">
        <f>_xlfn.XLOOKUP(D142, Products!$A$2:$A$21, Products!$B$2:$B$21, "Not Found")</f>
        <v>Smartphone 256GB</v>
      </c>
      <c r="G142" t="str">
        <f>_xlfn.XLOOKUP(D142, Products!$A$2:$A$21, Products!$C$2:$C$21,"not found")</f>
        <v>Phones</v>
      </c>
      <c r="H142" s="4">
        <f>_xlfn.XLOOKUP(D142, Products!$A$2:$A$21, Products!$E$2:$E$21, 0)</f>
        <v>1499</v>
      </c>
      <c r="I142" s="4">
        <f>_xlfn.XLOOKUP(D142, Products!$A$2:$A$21, Products!$F$2:$F$21,0)</f>
        <v>1180</v>
      </c>
      <c r="J142" t="str">
        <f>_xlfn.XLOOKUP(C142, Stores!$A$2:$A$7, Stores!$D$2:$D$7)</f>
        <v>Sydney West</v>
      </c>
      <c r="K142" s="4">
        <f t="shared" si="4"/>
        <v>1499</v>
      </c>
      <c r="L142" s="4">
        <f t="shared" si="5"/>
        <v>319</v>
      </c>
      <c r="M142" s="10">
        <f>IF(Table1[[#This Row],[Revenue]]=0, "", Table1[[#This Row],[Profit]]/Table1[[#This Row],[Revenue]])</f>
        <v>0.21280853902601735</v>
      </c>
      <c r="N142" s="4" t="str">
        <f>IF(Table1[[#This Row],[Margin]]="", "check", IF(Table1[[#This Row],[Margin]]&lt;0.2, "Low", "OK"))</f>
        <v>OK</v>
      </c>
      <c r="O142" s="4" t="str" cm="1">
        <f t="array" ref="O142">_xlfn.IFS(Table1[[#This Row],[Revenue]]=0, "Check", Table1[[#This Row],[Revenue]]&gt;=1000, "Large", Table1[[#This Row],[Revenue]]&gt;=200, "Medium", TRUE, "Small")</f>
        <v>Large</v>
      </c>
      <c r="P142" s="4" t="str">
        <f>IF(AND(Table1[[#This Row],[Margin Flag]]="Low", Table1[[#This Row],[Revenue]]&gt;1000), "Review", "")</f>
        <v/>
      </c>
      <c r="Q142" s="4" t="str">
        <f>IF(OR(Table1[[#This Row],[Qty]]&gt;=5,Table1[[#This Row],[Order Size]] = "Large" ), "Bulk", "")</f>
        <v>Bulk</v>
      </c>
      <c r="R142" s="10">
        <f>_xlfn.XLOOKUP(G142, Lookup!$A$2:$A$7, Lookup!$B$2:$B$7, "")</f>
        <v>0.25</v>
      </c>
      <c r="S142" s="4" t="str">
        <f>IF(Table1[[#This Row],[Margin]]&lt;Table1[[#This Row],[Target Margin]], "Yes", "")</f>
        <v>Yes</v>
      </c>
    </row>
    <row r="143" spans="1:19">
      <c r="A143" t="s">
        <v>187</v>
      </c>
      <c r="B143" s="2">
        <v>46223</v>
      </c>
      <c r="C143" t="s">
        <v>29</v>
      </c>
      <c r="D143" t="s">
        <v>30</v>
      </c>
      <c r="E143">
        <v>2</v>
      </c>
      <c r="F143" t="str">
        <f>_xlfn.XLOOKUP(D143, Products!$A$2:$A$21, Products!$B$2:$B$21, "Not Found")</f>
        <v>Video Game</v>
      </c>
      <c r="G143" t="str">
        <f>_xlfn.XLOOKUP(D143, Products!$A$2:$A$21, Products!$C$2:$C$21,"not found")</f>
        <v>Gaming</v>
      </c>
      <c r="H143" s="4">
        <f>_xlfn.XLOOKUP(D143, Products!$A$2:$A$21, Products!$E$2:$E$21, 0)</f>
        <v>79</v>
      </c>
      <c r="I143" s="4">
        <f>_xlfn.XLOOKUP(D143, Products!$A$2:$A$21, Products!$F$2:$F$21,0)</f>
        <v>52</v>
      </c>
      <c r="J143" t="str">
        <f>_xlfn.XLOOKUP(C143, Stores!$A$2:$A$7, Stores!$D$2:$D$7)</f>
        <v>Sydney West</v>
      </c>
      <c r="K143" s="4">
        <f t="shared" si="4"/>
        <v>158</v>
      </c>
      <c r="L143" s="4">
        <f t="shared" si="5"/>
        <v>54</v>
      </c>
      <c r="M143" s="10">
        <f>IF(Table1[[#This Row],[Revenue]]=0, "", Table1[[#This Row],[Profit]]/Table1[[#This Row],[Revenue]])</f>
        <v>0.34177215189873417</v>
      </c>
      <c r="N143" s="4" t="str">
        <f>IF(Table1[[#This Row],[Margin]]="", "check", IF(Table1[[#This Row],[Margin]]&lt;0.2, "Low", "OK"))</f>
        <v>OK</v>
      </c>
      <c r="O143" s="4" t="str" cm="1">
        <f t="array" ref="O143">_xlfn.IFS(Table1[[#This Row],[Revenue]]=0, "Check", Table1[[#This Row],[Revenue]]&gt;=1000, "Large", Table1[[#This Row],[Revenue]]&gt;=200, "Medium", TRUE, "Small")</f>
        <v>Small</v>
      </c>
      <c r="P143" s="4" t="str">
        <f>IF(AND(Table1[[#This Row],[Margin Flag]]="Low", Table1[[#This Row],[Revenue]]&gt;1000), "Review", "")</f>
        <v/>
      </c>
      <c r="Q143" s="4" t="str">
        <f>IF(OR(Table1[[#This Row],[Qty]]&gt;=5,Table1[[#This Row],[Order Size]] = "Large" ), "Bulk", "")</f>
        <v/>
      </c>
      <c r="R143" s="10">
        <f>_xlfn.XLOOKUP(G143, Lookup!$A$2:$A$7, Lookup!$B$2:$B$7, "")</f>
        <v>0.08</v>
      </c>
      <c r="S143" s="4" t="str">
        <f>IF(Table1[[#This Row],[Margin]]&lt;Table1[[#This Row],[Target Margin]], "Yes", "")</f>
        <v/>
      </c>
    </row>
    <row r="144" spans="1:19">
      <c r="A144" t="s">
        <v>188</v>
      </c>
      <c r="B144" s="2">
        <v>46223</v>
      </c>
      <c r="C144" t="s">
        <v>26</v>
      </c>
      <c r="D144" t="s">
        <v>24</v>
      </c>
      <c r="E144">
        <v>1</v>
      </c>
      <c r="F144" t="str">
        <f>_xlfn.XLOOKUP(D144, Products!$A$2:$A$21, Products!$B$2:$B$21, "Not Found")</f>
        <v>Wireless Earbuds</v>
      </c>
      <c r="G144" t="str">
        <f>_xlfn.XLOOKUP(D144, Products!$A$2:$A$21, Products!$C$2:$C$21,"not found")</f>
        <v>Audio</v>
      </c>
      <c r="H144" s="4">
        <f>_xlfn.XLOOKUP(D144, Products!$A$2:$A$21, Products!$E$2:$E$21, 0)</f>
        <v>249</v>
      </c>
      <c r="I144" s="4">
        <f>_xlfn.XLOOKUP(D144, Products!$A$2:$A$21, Products!$F$2:$F$21,0)</f>
        <v>140</v>
      </c>
      <c r="J144" t="str">
        <f>_xlfn.XLOOKUP(C144, Stores!$A$2:$A$7, Stores!$D$2:$D$7)</f>
        <v>Sydney North</v>
      </c>
      <c r="K144" s="4">
        <f t="shared" si="4"/>
        <v>249</v>
      </c>
      <c r="L144" s="4">
        <f t="shared" si="5"/>
        <v>109</v>
      </c>
      <c r="M144" s="10">
        <f>IF(Table1[[#This Row],[Revenue]]=0, "", Table1[[#This Row],[Profit]]/Table1[[#This Row],[Revenue]])</f>
        <v>0.43775100401606426</v>
      </c>
      <c r="N144" s="4" t="str">
        <f>IF(Table1[[#This Row],[Margin]]="", "check", IF(Table1[[#This Row],[Margin]]&lt;0.2, "Low", "OK"))</f>
        <v>OK</v>
      </c>
      <c r="O144" s="4" t="str" cm="1">
        <f t="array" ref="O144">_xlfn.IFS(Table1[[#This Row],[Revenue]]=0, "Check", Table1[[#This Row],[Revenue]]&gt;=1000, "Large", Table1[[#This Row],[Revenue]]&gt;=200, "Medium", TRUE, "Small")</f>
        <v>Medium</v>
      </c>
      <c r="P144" s="4" t="str">
        <f>IF(AND(Table1[[#This Row],[Margin Flag]]="Low", Table1[[#This Row],[Revenue]]&gt;1000), "Review", "")</f>
        <v/>
      </c>
      <c r="Q144" s="4" t="str">
        <f>IF(OR(Table1[[#This Row],[Qty]]&gt;=5,Table1[[#This Row],[Order Size]] = "Large" ), "Bulk", "")</f>
        <v/>
      </c>
      <c r="R144" s="10">
        <f>_xlfn.XLOOKUP(G144, Lookup!$A$2:$A$7, Lookup!$B$2:$B$7, "")</f>
        <v>0.25</v>
      </c>
      <c r="S144" s="4" t="str">
        <f>IF(Table1[[#This Row],[Margin]]&lt;Table1[[#This Row],[Target Margin]], "Yes", "")</f>
        <v/>
      </c>
    </row>
    <row r="145" spans="1:19">
      <c r="A145" t="s">
        <v>189</v>
      </c>
      <c r="B145" s="2">
        <v>46223</v>
      </c>
      <c r="C145" t="s">
        <v>29</v>
      </c>
      <c r="D145" t="s">
        <v>43</v>
      </c>
      <c r="E145">
        <v>1</v>
      </c>
      <c r="F145" t="str">
        <f>_xlfn.XLOOKUP(D145, Products!$A$2:$A$21, Products!$B$2:$B$21, "Not Found")</f>
        <v>Console Controller</v>
      </c>
      <c r="G145" t="str">
        <f>_xlfn.XLOOKUP(D145, Products!$A$2:$A$21, Products!$C$2:$C$21,"not found")</f>
        <v>Gaming</v>
      </c>
      <c r="H145" s="4">
        <f>_xlfn.XLOOKUP(D145, Products!$A$2:$A$21, Products!$E$2:$E$21, 0)</f>
        <v>99</v>
      </c>
      <c r="I145" s="4">
        <f>_xlfn.XLOOKUP(D145, Products!$A$2:$A$21, Products!$F$2:$F$21,0)</f>
        <v>58</v>
      </c>
      <c r="J145" t="str">
        <f>_xlfn.XLOOKUP(C145, Stores!$A$2:$A$7, Stores!$D$2:$D$7)</f>
        <v>Sydney West</v>
      </c>
      <c r="K145" s="4">
        <f t="shared" si="4"/>
        <v>99</v>
      </c>
      <c r="L145" s="4">
        <f t="shared" si="5"/>
        <v>41</v>
      </c>
      <c r="M145" s="10">
        <f>IF(Table1[[#This Row],[Revenue]]=0, "", Table1[[#This Row],[Profit]]/Table1[[#This Row],[Revenue]])</f>
        <v>0.41414141414141414</v>
      </c>
      <c r="N145" s="4" t="str">
        <f>IF(Table1[[#This Row],[Margin]]="", "check", IF(Table1[[#This Row],[Margin]]&lt;0.2, "Low", "OK"))</f>
        <v>OK</v>
      </c>
      <c r="O145" s="4" t="str" cm="1">
        <f t="array" ref="O145">_xlfn.IFS(Table1[[#This Row],[Revenue]]=0, "Check", Table1[[#This Row],[Revenue]]&gt;=1000, "Large", Table1[[#This Row],[Revenue]]&gt;=200, "Medium", TRUE, "Small")</f>
        <v>Small</v>
      </c>
      <c r="P145" s="4" t="str">
        <f>IF(AND(Table1[[#This Row],[Margin Flag]]="Low", Table1[[#This Row],[Revenue]]&gt;1000), "Review", "")</f>
        <v/>
      </c>
      <c r="Q145" s="4" t="str">
        <f>IF(OR(Table1[[#This Row],[Qty]]&gt;=5,Table1[[#This Row],[Order Size]] = "Large" ), "Bulk", "")</f>
        <v/>
      </c>
      <c r="R145" s="10">
        <f>_xlfn.XLOOKUP(G145, Lookup!$A$2:$A$7, Lookup!$B$2:$B$7, "")</f>
        <v>0.08</v>
      </c>
      <c r="S145" s="4" t="str">
        <f>IF(Table1[[#This Row],[Margin]]&lt;Table1[[#This Row],[Target Margin]], "Yes", "")</f>
        <v/>
      </c>
    </row>
    <row r="146" spans="1:19">
      <c r="A146" t="s">
        <v>190</v>
      </c>
      <c r="B146" s="2">
        <v>46223</v>
      </c>
      <c r="C146" t="s">
        <v>57</v>
      </c>
      <c r="D146" t="s">
        <v>27</v>
      </c>
      <c r="E146">
        <v>1</v>
      </c>
      <c r="F146" t="str">
        <f>_xlfn.XLOOKUP(D146, Products!$A$2:$A$21, Products!$B$2:$B$21, "Not Found")</f>
        <v>Bluetooth Speaker</v>
      </c>
      <c r="G146" t="str">
        <f>_xlfn.XLOOKUP(D146, Products!$A$2:$A$21, Products!$C$2:$C$21,"not found")</f>
        <v>Audio</v>
      </c>
      <c r="H146" s="4">
        <f>_xlfn.XLOOKUP(D146, Products!$A$2:$A$21, Products!$E$2:$E$21, 0)</f>
        <v>179</v>
      </c>
      <c r="I146" s="4">
        <f>_xlfn.XLOOKUP(D146, Products!$A$2:$A$21, Products!$F$2:$F$21,0)</f>
        <v>95</v>
      </c>
      <c r="J146" t="str">
        <f>_xlfn.XLOOKUP(C146, Stores!$A$2:$A$7, Stores!$D$2:$D$7)</f>
        <v>Sydney South</v>
      </c>
      <c r="K146" s="4">
        <f t="shared" si="4"/>
        <v>179</v>
      </c>
      <c r="L146" s="4">
        <f t="shared" si="5"/>
        <v>84</v>
      </c>
      <c r="M146" s="10">
        <f>IF(Table1[[#This Row],[Revenue]]=0, "", Table1[[#This Row],[Profit]]/Table1[[#This Row],[Revenue]])</f>
        <v>0.46927374301675978</v>
      </c>
      <c r="N146" s="4" t="str">
        <f>IF(Table1[[#This Row],[Margin]]="", "check", IF(Table1[[#This Row],[Margin]]&lt;0.2, "Low", "OK"))</f>
        <v>OK</v>
      </c>
      <c r="O146" s="4" t="str" cm="1">
        <f t="array" ref="O146">_xlfn.IFS(Table1[[#This Row],[Revenue]]=0, "Check", Table1[[#This Row],[Revenue]]&gt;=1000, "Large", Table1[[#This Row],[Revenue]]&gt;=200, "Medium", TRUE, "Small")</f>
        <v>Small</v>
      </c>
      <c r="P146" s="4" t="str">
        <f>IF(AND(Table1[[#This Row],[Margin Flag]]="Low", Table1[[#This Row],[Revenue]]&gt;1000), "Review", "")</f>
        <v/>
      </c>
      <c r="Q146" s="4" t="str">
        <f>IF(OR(Table1[[#This Row],[Qty]]&gt;=5,Table1[[#This Row],[Order Size]] = "Large" ), "Bulk", "")</f>
        <v/>
      </c>
      <c r="R146" s="10">
        <f>_xlfn.XLOOKUP(G146, Lookup!$A$2:$A$7, Lookup!$B$2:$B$7, "")</f>
        <v>0.25</v>
      </c>
      <c r="S146" s="4" t="str">
        <f>IF(Table1[[#This Row],[Margin]]&lt;Table1[[#This Row],[Target Margin]], "Yes", "")</f>
        <v/>
      </c>
    </row>
    <row r="147" spans="1:19">
      <c r="A147" t="s">
        <v>191</v>
      </c>
      <c r="B147" s="2">
        <v>46224</v>
      </c>
      <c r="C147" t="s">
        <v>57</v>
      </c>
      <c r="D147" t="s">
        <v>50</v>
      </c>
      <c r="E147">
        <v>2</v>
      </c>
      <c r="F147" t="str">
        <f>_xlfn.XLOOKUP(D147, Products!$A$2:$A$21, Products!$B$2:$B$21, "Not Found")</f>
        <v>Smartphone 128GB</v>
      </c>
      <c r="G147" t="str">
        <f>_xlfn.XLOOKUP(D147, Products!$A$2:$A$21, Products!$C$2:$C$21,"not found")</f>
        <v>Phones</v>
      </c>
      <c r="H147" s="4">
        <f>_xlfn.XLOOKUP(D147, Products!$A$2:$A$21, Products!$E$2:$E$21, 0)</f>
        <v>1099</v>
      </c>
      <c r="I147" s="4">
        <f>_xlfn.XLOOKUP(D147, Products!$A$2:$A$21, Products!$F$2:$F$21,0)</f>
        <v>860</v>
      </c>
      <c r="J147" t="str">
        <f>_xlfn.XLOOKUP(C147, Stores!$A$2:$A$7, Stores!$D$2:$D$7)</f>
        <v>Sydney South</v>
      </c>
      <c r="K147" s="4">
        <f t="shared" si="4"/>
        <v>2198</v>
      </c>
      <c r="L147" s="4">
        <f t="shared" si="5"/>
        <v>478</v>
      </c>
      <c r="M147" s="10">
        <f>IF(Table1[[#This Row],[Revenue]]=0, "", Table1[[#This Row],[Profit]]/Table1[[#This Row],[Revenue]])</f>
        <v>0.21747042766151045</v>
      </c>
      <c r="N147" s="4" t="str">
        <f>IF(Table1[[#This Row],[Margin]]="", "check", IF(Table1[[#This Row],[Margin]]&lt;0.2, "Low", "OK"))</f>
        <v>OK</v>
      </c>
      <c r="O147" s="4" t="str" cm="1">
        <f t="array" ref="O147">_xlfn.IFS(Table1[[#This Row],[Revenue]]=0, "Check", Table1[[#This Row],[Revenue]]&gt;=1000, "Large", Table1[[#This Row],[Revenue]]&gt;=200, "Medium", TRUE, "Small")</f>
        <v>Large</v>
      </c>
      <c r="P147" s="4" t="str">
        <f>IF(AND(Table1[[#This Row],[Margin Flag]]="Low", Table1[[#This Row],[Revenue]]&gt;1000), "Review", "")</f>
        <v/>
      </c>
      <c r="Q147" s="4" t="str">
        <f>IF(OR(Table1[[#This Row],[Qty]]&gt;=5,Table1[[#This Row],[Order Size]] = "Large" ), "Bulk", "")</f>
        <v>Bulk</v>
      </c>
      <c r="R147" s="10">
        <f>_xlfn.XLOOKUP(G147, Lookup!$A$2:$A$7, Lookup!$B$2:$B$7, "")</f>
        <v>0.25</v>
      </c>
      <c r="S147" s="4" t="str">
        <f>IF(Table1[[#This Row],[Margin]]&lt;Table1[[#This Row],[Target Margin]], "Yes", "")</f>
        <v>Yes</v>
      </c>
    </row>
    <row r="148" spans="1:19">
      <c r="A148" t="s">
        <v>192</v>
      </c>
      <c r="B148" s="2">
        <v>46224</v>
      </c>
      <c r="C148" t="s">
        <v>20</v>
      </c>
      <c r="D148" t="s">
        <v>24</v>
      </c>
      <c r="E148">
        <v>3</v>
      </c>
      <c r="F148" t="str">
        <f>_xlfn.XLOOKUP(D148, Products!$A$2:$A$21, Products!$B$2:$B$21, "Not Found")</f>
        <v>Wireless Earbuds</v>
      </c>
      <c r="G148" t="str">
        <f>_xlfn.XLOOKUP(D148, Products!$A$2:$A$21, Products!$C$2:$C$21,"not found")</f>
        <v>Audio</v>
      </c>
      <c r="H148" s="4">
        <f>_xlfn.XLOOKUP(D148, Products!$A$2:$A$21, Products!$E$2:$E$21, 0)</f>
        <v>249</v>
      </c>
      <c r="I148" s="4">
        <f>_xlfn.XLOOKUP(D148, Products!$A$2:$A$21, Products!$F$2:$F$21,0)</f>
        <v>140</v>
      </c>
      <c r="J148" t="str">
        <f>_xlfn.XLOOKUP(C148, Stores!$A$2:$A$7, Stores!$D$2:$D$7)</f>
        <v>Sydney West</v>
      </c>
      <c r="K148" s="4">
        <f t="shared" si="4"/>
        <v>747</v>
      </c>
      <c r="L148" s="4">
        <f t="shared" si="5"/>
        <v>327</v>
      </c>
      <c r="M148" s="10">
        <f>IF(Table1[[#This Row],[Revenue]]=0, "", Table1[[#This Row],[Profit]]/Table1[[#This Row],[Revenue]])</f>
        <v>0.43775100401606426</v>
      </c>
      <c r="N148" s="4" t="str">
        <f>IF(Table1[[#This Row],[Margin]]="", "check", IF(Table1[[#This Row],[Margin]]&lt;0.2, "Low", "OK"))</f>
        <v>OK</v>
      </c>
      <c r="O148" s="4" t="str" cm="1">
        <f t="array" ref="O148">_xlfn.IFS(Table1[[#This Row],[Revenue]]=0, "Check", Table1[[#This Row],[Revenue]]&gt;=1000, "Large", Table1[[#This Row],[Revenue]]&gt;=200, "Medium", TRUE, "Small")</f>
        <v>Medium</v>
      </c>
      <c r="P148" s="4" t="str">
        <f>IF(AND(Table1[[#This Row],[Margin Flag]]="Low", Table1[[#This Row],[Revenue]]&gt;1000), "Review", "")</f>
        <v/>
      </c>
      <c r="Q148" s="4" t="str">
        <f>IF(OR(Table1[[#This Row],[Qty]]&gt;=5,Table1[[#This Row],[Order Size]] = "Large" ), "Bulk", "")</f>
        <v/>
      </c>
      <c r="R148" s="10">
        <f>_xlfn.XLOOKUP(G148, Lookup!$A$2:$A$7, Lookup!$B$2:$B$7, "")</f>
        <v>0.25</v>
      </c>
      <c r="S148" s="4" t="str">
        <f>IF(Table1[[#This Row],[Margin]]&lt;Table1[[#This Row],[Target Margin]], "Yes", "")</f>
        <v/>
      </c>
    </row>
    <row r="149" spans="1:19">
      <c r="A149" t="s">
        <v>193</v>
      </c>
      <c r="B149" s="2">
        <v>46224</v>
      </c>
      <c r="C149" t="s">
        <v>23</v>
      </c>
      <c r="D149" t="s">
        <v>99</v>
      </c>
      <c r="E149">
        <v>1</v>
      </c>
      <c r="F149" t="str">
        <f>_xlfn.XLOOKUP(D149, Products!$A$2:$A$21, Products!$B$2:$B$21, "Not Found")</f>
        <v>Smartphone 256GB</v>
      </c>
      <c r="G149" t="str">
        <f>_xlfn.XLOOKUP(D149, Products!$A$2:$A$21, Products!$C$2:$C$21,"not found")</f>
        <v>Phones</v>
      </c>
      <c r="H149" s="4">
        <f>_xlfn.XLOOKUP(D149, Products!$A$2:$A$21, Products!$E$2:$E$21, 0)</f>
        <v>1499</v>
      </c>
      <c r="I149" s="4">
        <f>_xlfn.XLOOKUP(D149, Products!$A$2:$A$21, Products!$F$2:$F$21,0)</f>
        <v>1180</v>
      </c>
      <c r="J149" t="str">
        <f>_xlfn.XLOOKUP(C149, Stores!$A$2:$A$7, Stores!$D$2:$D$7)</f>
        <v>Sydney East</v>
      </c>
      <c r="K149" s="4">
        <f t="shared" si="4"/>
        <v>1499</v>
      </c>
      <c r="L149" s="4">
        <f t="shared" si="5"/>
        <v>319</v>
      </c>
      <c r="M149" s="10">
        <f>IF(Table1[[#This Row],[Revenue]]=0, "", Table1[[#This Row],[Profit]]/Table1[[#This Row],[Revenue]])</f>
        <v>0.21280853902601735</v>
      </c>
      <c r="N149" s="4" t="str">
        <f>IF(Table1[[#This Row],[Margin]]="", "check", IF(Table1[[#This Row],[Margin]]&lt;0.2, "Low", "OK"))</f>
        <v>OK</v>
      </c>
      <c r="O149" s="4" t="str" cm="1">
        <f t="array" ref="O149">_xlfn.IFS(Table1[[#This Row],[Revenue]]=0, "Check", Table1[[#This Row],[Revenue]]&gt;=1000, "Large", Table1[[#This Row],[Revenue]]&gt;=200, "Medium", TRUE, "Small")</f>
        <v>Large</v>
      </c>
      <c r="P149" s="4" t="str">
        <f>IF(AND(Table1[[#This Row],[Margin Flag]]="Low", Table1[[#This Row],[Revenue]]&gt;1000), "Review", "")</f>
        <v/>
      </c>
      <c r="Q149" s="4" t="str">
        <f>IF(OR(Table1[[#This Row],[Qty]]&gt;=5,Table1[[#This Row],[Order Size]] = "Large" ), "Bulk", "")</f>
        <v>Bulk</v>
      </c>
      <c r="R149" s="10">
        <f>_xlfn.XLOOKUP(G149, Lookup!$A$2:$A$7, Lookup!$B$2:$B$7, "")</f>
        <v>0.25</v>
      </c>
      <c r="S149" s="4" t="str">
        <f>IF(Table1[[#This Row],[Margin]]&lt;Table1[[#This Row],[Target Margin]], "Yes", "")</f>
        <v>Yes</v>
      </c>
    </row>
    <row r="150" spans="1:19">
      <c r="A150" t="s">
        <v>194</v>
      </c>
      <c r="B150" s="2">
        <v>46224</v>
      </c>
      <c r="C150" t="s">
        <v>32</v>
      </c>
      <c r="D150" t="s">
        <v>24</v>
      </c>
      <c r="E150">
        <v>1</v>
      </c>
      <c r="F150" t="str">
        <f>_xlfn.XLOOKUP(D150, Products!$A$2:$A$21, Products!$B$2:$B$21, "Not Found")</f>
        <v>Wireless Earbuds</v>
      </c>
      <c r="G150" t="str">
        <f>_xlfn.XLOOKUP(D150, Products!$A$2:$A$21, Products!$C$2:$C$21,"not found")</f>
        <v>Audio</v>
      </c>
      <c r="H150" s="4">
        <f>_xlfn.XLOOKUP(D150, Products!$A$2:$A$21, Products!$E$2:$E$21, 0)</f>
        <v>249</v>
      </c>
      <c r="I150" s="4">
        <f>_xlfn.XLOOKUP(D150, Products!$A$2:$A$21, Products!$F$2:$F$21,0)</f>
        <v>140</v>
      </c>
      <c r="J150" t="str">
        <f>_xlfn.XLOOKUP(C150, Stores!$A$2:$A$7, Stores!$D$2:$D$7)</f>
        <v>Sydney South</v>
      </c>
      <c r="K150" s="4">
        <f t="shared" si="4"/>
        <v>249</v>
      </c>
      <c r="L150" s="4">
        <f t="shared" si="5"/>
        <v>109</v>
      </c>
      <c r="M150" s="10">
        <f>IF(Table1[[#This Row],[Revenue]]=0, "", Table1[[#This Row],[Profit]]/Table1[[#This Row],[Revenue]])</f>
        <v>0.43775100401606426</v>
      </c>
      <c r="N150" s="4" t="str">
        <f>IF(Table1[[#This Row],[Margin]]="", "check", IF(Table1[[#This Row],[Margin]]&lt;0.2, "Low", "OK"))</f>
        <v>OK</v>
      </c>
      <c r="O150" s="4" t="str" cm="1">
        <f t="array" ref="O150">_xlfn.IFS(Table1[[#This Row],[Revenue]]=0, "Check", Table1[[#This Row],[Revenue]]&gt;=1000, "Large", Table1[[#This Row],[Revenue]]&gt;=200, "Medium", TRUE, "Small")</f>
        <v>Medium</v>
      </c>
      <c r="P150" s="4" t="str">
        <f>IF(AND(Table1[[#This Row],[Margin Flag]]="Low", Table1[[#This Row],[Revenue]]&gt;1000), "Review", "")</f>
        <v/>
      </c>
      <c r="Q150" s="4" t="str">
        <f>IF(OR(Table1[[#This Row],[Qty]]&gt;=5,Table1[[#This Row],[Order Size]] = "Large" ), "Bulk", "")</f>
        <v/>
      </c>
      <c r="R150" s="10">
        <f>_xlfn.XLOOKUP(G150, Lookup!$A$2:$A$7, Lookup!$B$2:$B$7, "")</f>
        <v>0.25</v>
      </c>
      <c r="S150" s="4" t="str">
        <f>IF(Table1[[#This Row],[Margin]]&lt;Table1[[#This Row],[Target Margin]], "Yes", "")</f>
        <v/>
      </c>
    </row>
    <row r="151" spans="1:19">
      <c r="A151" t="s">
        <v>195</v>
      </c>
      <c r="B151" s="2">
        <v>46224</v>
      </c>
      <c r="C151" t="s">
        <v>20</v>
      </c>
      <c r="D151" t="s">
        <v>60</v>
      </c>
      <c r="E151">
        <v>1</v>
      </c>
      <c r="F151" t="str">
        <f>_xlfn.XLOOKUP(D151, Products!$A$2:$A$21, Products!$B$2:$B$21, "Not Found")</f>
        <v>55in TV</v>
      </c>
      <c r="G151" t="str">
        <f>_xlfn.XLOOKUP(D151, Products!$A$2:$A$21, Products!$C$2:$C$21,"not found")</f>
        <v>TV</v>
      </c>
      <c r="H151" s="4">
        <f>_xlfn.XLOOKUP(D151, Products!$A$2:$A$21, Products!$E$2:$E$21, 0)</f>
        <v>1299</v>
      </c>
      <c r="I151" s="4">
        <f>_xlfn.XLOOKUP(D151, Products!$A$2:$A$21, Products!$F$2:$F$21,0)</f>
        <v>980</v>
      </c>
      <c r="J151" t="str">
        <f>_xlfn.XLOOKUP(C151, Stores!$A$2:$A$7, Stores!$D$2:$D$7)</f>
        <v>Sydney West</v>
      </c>
      <c r="K151" s="4">
        <f t="shared" si="4"/>
        <v>1299</v>
      </c>
      <c r="L151" s="4">
        <f t="shared" si="5"/>
        <v>319</v>
      </c>
      <c r="M151" s="10">
        <f>IF(Table1[[#This Row],[Revenue]]=0, "", Table1[[#This Row],[Profit]]/Table1[[#This Row],[Revenue]])</f>
        <v>0.2455735180908391</v>
      </c>
      <c r="N151" s="4" t="str">
        <f>IF(Table1[[#This Row],[Margin]]="", "check", IF(Table1[[#This Row],[Margin]]&lt;0.2, "Low", "OK"))</f>
        <v>OK</v>
      </c>
      <c r="O151" s="4" t="str" cm="1">
        <f t="array" ref="O151">_xlfn.IFS(Table1[[#This Row],[Revenue]]=0, "Check", Table1[[#This Row],[Revenue]]&gt;=1000, "Large", Table1[[#This Row],[Revenue]]&gt;=200, "Medium", TRUE, "Small")</f>
        <v>Large</v>
      </c>
      <c r="P151" s="4" t="str">
        <f>IF(AND(Table1[[#This Row],[Margin Flag]]="Low", Table1[[#This Row],[Revenue]]&gt;1000), "Review", "")</f>
        <v/>
      </c>
      <c r="Q151" s="4" t="str">
        <f>IF(OR(Table1[[#This Row],[Qty]]&gt;=5,Table1[[#This Row],[Order Size]] = "Large" ), "Bulk", "")</f>
        <v>Bulk</v>
      </c>
      <c r="R151" s="10">
        <f>_xlfn.XLOOKUP(G151, Lookup!$A$2:$A$7, Lookup!$B$2:$B$7, "")</f>
        <v>0.25</v>
      </c>
      <c r="S151" s="4" t="str">
        <f>IF(Table1[[#This Row],[Margin]]&lt;Table1[[#This Row],[Target Margin]], "Yes", "")</f>
        <v>Yes</v>
      </c>
    </row>
    <row r="152" spans="1:19">
      <c r="A152" t="s">
        <v>196</v>
      </c>
      <c r="B152" s="2">
        <v>46224</v>
      </c>
      <c r="C152" t="s">
        <v>29</v>
      </c>
      <c r="D152" t="s">
        <v>171</v>
      </c>
      <c r="E152">
        <v>1</v>
      </c>
      <c r="F152" t="str">
        <f>_xlfn.XLOOKUP(D152, Products!$A$2:$A$21, Products!$B$2:$B$21, "Not Found")</f>
        <v>Smartwatch</v>
      </c>
      <c r="G152" t="str">
        <f>_xlfn.XLOOKUP(D152, Products!$A$2:$A$21, Products!$C$2:$C$21,"not found")</f>
        <v>Phones</v>
      </c>
      <c r="H152" s="4">
        <f>_xlfn.XLOOKUP(D152, Products!$A$2:$A$21, Products!$E$2:$E$21, 0)</f>
        <v>649</v>
      </c>
      <c r="I152" s="4">
        <f>_xlfn.XLOOKUP(D152, Products!$A$2:$A$21, Products!$F$2:$F$21,0)</f>
        <v>480</v>
      </c>
      <c r="J152" t="str">
        <f>_xlfn.XLOOKUP(C152, Stores!$A$2:$A$7, Stores!$D$2:$D$7)</f>
        <v>Sydney West</v>
      </c>
      <c r="K152" s="4">
        <f t="shared" si="4"/>
        <v>649</v>
      </c>
      <c r="L152" s="4">
        <f t="shared" si="5"/>
        <v>169</v>
      </c>
      <c r="M152" s="10">
        <f>IF(Table1[[#This Row],[Revenue]]=0, "", Table1[[#This Row],[Profit]]/Table1[[#This Row],[Revenue]])</f>
        <v>0.26040061633281975</v>
      </c>
      <c r="N152" s="4" t="str">
        <f>IF(Table1[[#This Row],[Margin]]="", "check", IF(Table1[[#This Row],[Margin]]&lt;0.2, "Low", "OK"))</f>
        <v>OK</v>
      </c>
      <c r="O152" s="4" t="str" cm="1">
        <f t="array" ref="O152">_xlfn.IFS(Table1[[#This Row],[Revenue]]=0, "Check", Table1[[#This Row],[Revenue]]&gt;=1000, "Large", Table1[[#This Row],[Revenue]]&gt;=200, "Medium", TRUE, "Small")</f>
        <v>Medium</v>
      </c>
      <c r="P152" s="4" t="str">
        <f>IF(AND(Table1[[#This Row],[Margin Flag]]="Low", Table1[[#This Row],[Revenue]]&gt;1000), "Review", "")</f>
        <v/>
      </c>
      <c r="Q152" s="4" t="str">
        <f>IF(OR(Table1[[#This Row],[Qty]]&gt;=5,Table1[[#This Row],[Order Size]] = "Large" ), "Bulk", "")</f>
        <v/>
      </c>
      <c r="R152" s="10">
        <f>_xlfn.XLOOKUP(G152, Lookup!$A$2:$A$7, Lookup!$B$2:$B$7, "")</f>
        <v>0.25</v>
      </c>
      <c r="S152" s="4" t="str">
        <f>IF(Table1[[#This Row],[Margin]]&lt;Table1[[#This Row],[Target Margin]], "Yes", "")</f>
        <v/>
      </c>
    </row>
    <row r="153" spans="1:19">
      <c r="A153" t="s">
        <v>197</v>
      </c>
      <c r="B153" s="2">
        <v>46224</v>
      </c>
      <c r="C153" t="s">
        <v>29</v>
      </c>
      <c r="D153" t="s">
        <v>87</v>
      </c>
      <c r="E153">
        <v>1</v>
      </c>
      <c r="F153" t="str">
        <f>_xlfn.XLOOKUP(D153, Products!$A$2:$A$21, Products!$B$2:$B$21, "Not Found")</f>
        <v>Laptop 16in</v>
      </c>
      <c r="G153" t="str">
        <f>_xlfn.XLOOKUP(D153, Products!$A$2:$A$21, Products!$C$2:$C$21,"not found")</f>
        <v>Computers</v>
      </c>
      <c r="H153" s="4">
        <f>_xlfn.XLOOKUP(D153, Products!$A$2:$A$21, Products!$E$2:$E$21, 0)</f>
        <v>1799</v>
      </c>
      <c r="I153" s="4">
        <f>_xlfn.XLOOKUP(D153, Products!$A$2:$A$21, Products!$F$2:$F$21,0)</f>
        <v>1390</v>
      </c>
      <c r="J153" t="str">
        <f>_xlfn.XLOOKUP(C153, Stores!$A$2:$A$7, Stores!$D$2:$D$7)</f>
        <v>Sydney West</v>
      </c>
      <c r="K153" s="4">
        <f t="shared" si="4"/>
        <v>1799</v>
      </c>
      <c r="L153" s="4">
        <f t="shared" si="5"/>
        <v>409</v>
      </c>
      <c r="M153" s="10">
        <f>IF(Table1[[#This Row],[Revenue]]=0, "", Table1[[#This Row],[Profit]]/Table1[[#This Row],[Revenue]])</f>
        <v>0.2273485269594219</v>
      </c>
      <c r="N153" s="4" t="str">
        <f>IF(Table1[[#This Row],[Margin]]="", "check", IF(Table1[[#This Row],[Margin]]&lt;0.2, "Low", "OK"))</f>
        <v>OK</v>
      </c>
      <c r="O153" s="4" t="str" cm="1">
        <f t="array" ref="O153">_xlfn.IFS(Table1[[#This Row],[Revenue]]=0, "Check", Table1[[#This Row],[Revenue]]&gt;=1000, "Large", Table1[[#This Row],[Revenue]]&gt;=200, "Medium", TRUE, "Small")</f>
        <v>Large</v>
      </c>
      <c r="P153" s="4" t="str">
        <f>IF(AND(Table1[[#This Row],[Margin Flag]]="Low", Table1[[#This Row],[Revenue]]&gt;1000), "Review", "")</f>
        <v/>
      </c>
      <c r="Q153" s="4" t="str">
        <f>IF(OR(Table1[[#This Row],[Qty]]&gt;=5,Table1[[#This Row],[Order Size]] = "Large" ), "Bulk", "")</f>
        <v>Bulk</v>
      </c>
      <c r="R153" s="10">
        <f>_xlfn.XLOOKUP(G153, Lookup!$A$2:$A$7, Lookup!$B$2:$B$7, "")</f>
        <v>0.25</v>
      </c>
      <c r="S153" s="4" t="str">
        <f>IF(Table1[[#This Row],[Margin]]&lt;Table1[[#This Row],[Target Margin]], "Yes", "")</f>
        <v>Yes</v>
      </c>
    </row>
    <row r="154" spans="1:19">
      <c r="A154" t="s">
        <v>198</v>
      </c>
      <c r="B154" s="2">
        <v>46224</v>
      </c>
      <c r="C154" t="s">
        <v>29</v>
      </c>
      <c r="D154" t="s">
        <v>38</v>
      </c>
      <c r="E154">
        <v>1</v>
      </c>
      <c r="F154" t="str">
        <f>_xlfn.XLOOKUP(D154, Products!$A$2:$A$21, Products!$B$2:$B$21, "Not Found")</f>
        <v>USB-C Charger</v>
      </c>
      <c r="G154" t="str">
        <f>_xlfn.XLOOKUP(D154, Products!$A$2:$A$21, Products!$C$2:$C$21,"not found")</f>
        <v>Accessories</v>
      </c>
      <c r="H154" s="4">
        <f>_xlfn.XLOOKUP(D154, Products!$A$2:$A$21, Products!$E$2:$E$21, 0)</f>
        <v>49</v>
      </c>
      <c r="I154" s="4">
        <f>_xlfn.XLOOKUP(D154, Products!$A$2:$A$21, Products!$F$2:$F$21,0)</f>
        <v>14</v>
      </c>
      <c r="J154" t="str">
        <f>_xlfn.XLOOKUP(C154, Stores!$A$2:$A$7, Stores!$D$2:$D$7)</f>
        <v>Sydney West</v>
      </c>
      <c r="K154" s="4">
        <f t="shared" si="4"/>
        <v>49</v>
      </c>
      <c r="L154" s="4">
        <f t="shared" si="5"/>
        <v>35</v>
      </c>
      <c r="M154" s="10">
        <f>IF(Table1[[#This Row],[Revenue]]=0, "", Table1[[#This Row],[Profit]]/Table1[[#This Row],[Revenue]])</f>
        <v>0.7142857142857143</v>
      </c>
      <c r="N154" s="4" t="str">
        <f>IF(Table1[[#This Row],[Margin]]="", "check", IF(Table1[[#This Row],[Margin]]&lt;0.2, "Low", "OK"))</f>
        <v>OK</v>
      </c>
      <c r="O154" s="4" t="str" cm="1">
        <f t="array" ref="O154">_xlfn.IFS(Table1[[#This Row],[Revenue]]=0, "Check", Table1[[#This Row],[Revenue]]&gt;=1000, "Large", Table1[[#This Row],[Revenue]]&gt;=200, "Medium", TRUE, "Small")</f>
        <v>Small</v>
      </c>
      <c r="P154" s="4" t="str">
        <f>IF(AND(Table1[[#This Row],[Margin Flag]]="Low", Table1[[#This Row],[Revenue]]&gt;1000), "Review", "")</f>
        <v/>
      </c>
      <c r="Q154" s="4" t="str">
        <f>IF(OR(Table1[[#This Row],[Qty]]&gt;=5,Table1[[#This Row],[Order Size]] = "Large" ), "Bulk", "")</f>
        <v/>
      </c>
      <c r="R154" s="10">
        <f>_xlfn.XLOOKUP(G154, Lookup!$A$2:$A$7, Lookup!$B$2:$B$7, "")</f>
        <v>0.25</v>
      </c>
      <c r="S154" s="4" t="str">
        <f>IF(Table1[[#This Row],[Margin]]&lt;Table1[[#This Row],[Target Margin]], "Yes", "")</f>
        <v/>
      </c>
    </row>
    <row r="155" spans="1:19">
      <c r="A155" t="s">
        <v>199</v>
      </c>
      <c r="B155" s="2">
        <v>46224</v>
      </c>
      <c r="C155" t="s">
        <v>23</v>
      </c>
      <c r="D155" t="s">
        <v>21</v>
      </c>
      <c r="E155">
        <v>1</v>
      </c>
      <c r="F155" t="str">
        <f>_xlfn.XLOOKUP(D155, Products!$A$2:$A$21, Products!$B$2:$B$21, "Not Found")</f>
        <v>Gaming Mouse</v>
      </c>
      <c r="G155" t="str">
        <f>_xlfn.XLOOKUP(D155, Products!$A$2:$A$21, Products!$C$2:$C$21,"not found")</f>
        <v>Accessories</v>
      </c>
      <c r="H155" s="4">
        <f>_xlfn.XLOOKUP(D155, Products!$A$2:$A$21, Products!$E$2:$E$21, 0)</f>
        <v>89</v>
      </c>
      <c r="I155" s="4">
        <f>_xlfn.XLOOKUP(D155, Products!$A$2:$A$21, Products!$F$2:$F$21,0)</f>
        <v>41</v>
      </c>
      <c r="J155" t="str">
        <f>_xlfn.XLOOKUP(C155, Stores!$A$2:$A$7, Stores!$D$2:$D$7)</f>
        <v>Sydney East</v>
      </c>
      <c r="K155" s="4">
        <f t="shared" si="4"/>
        <v>89</v>
      </c>
      <c r="L155" s="4">
        <f t="shared" si="5"/>
        <v>48</v>
      </c>
      <c r="M155" s="10">
        <f>IF(Table1[[#This Row],[Revenue]]=0, "", Table1[[#This Row],[Profit]]/Table1[[#This Row],[Revenue]])</f>
        <v>0.5393258426966292</v>
      </c>
      <c r="N155" s="4" t="str">
        <f>IF(Table1[[#This Row],[Margin]]="", "check", IF(Table1[[#This Row],[Margin]]&lt;0.2, "Low", "OK"))</f>
        <v>OK</v>
      </c>
      <c r="O155" s="4" t="str" cm="1">
        <f t="array" ref="O155">_xlfn.IFS(Table1[[#This Row],[Revenue]]=0, "Check", Table1[[#This Row],[Revenue]]&gt;=1000, "Large", Table1[[#This Row],[Revenue]]&gt;=200, "Medium", TRUE, "Small")</f>
        <v>Small</v>
      </c>
      <c r="P155" s="4" t="str">
        <f>IF(AND(Table1[[#This Row],[Margin Flag]]="Low", Table1[[#This Row],[Revenue]]&gt;1000), "Review", "")</f>
        <v/>
      </c>
      <c r="Q155" s="4" t="str">
        <f>IF(OR(Table1[[#This Row],[Qty]]&gt;=5,Table1[[#This Row],[Order Size]] = "Large" ), "Bulk", "")</f>
        <v/>
      </c>
      <c r="R155" s="10">
        <f>_xlfn.XLOOKUP(G155, Lookup!$A$2:$A$7, Lookup!$B$2:$B$7, "")</f>
        <v>0.25</v>
      </c>
      <c r="S155" s="4" t="str">
        <f>IF(Table1[[#This Row],[Margin]]&lt;Table1[[#This Row],[Target Margin]], "Yes", "")</f>
        <v/>
      </c>
    </row>
    <row r="156" spans="1:19">
      <c r="A156" t="s">
        <v>200</v>
      </c>
      <c r="B156" s="2">
        <v>46224</v>
      </c>
      <c r="C156" t="s">
        <v>20</v>
      </c>
      <c r="D156" t="s">
        <v>24</v>
      </c>
      <c r="E156">
        <v>1</v>
      </c>
      <c r="F156" t="str">
        <f>_xlfn.XLOOKUP(D156, Products!$A$2:$A$21, Products!$B$2:$B$21, "Not Found")</f>
        <v>Wireless Earbuds</v>
      </c>
      <c r="G156" t="str">
        <f>_xlfn.XLOOKUP(D156, Products!$A$2:$A$21, Products!$C$2:$C$21,"not found")</f>
        <v>Audio</v>
      </c>
      <c r="H156" s="4">
        <f>_xlfn.XLOOKUP(D156, Products!$A$2:$A$21, Products!$E$2:$E$21, 0)</f>
        <v>249</v>
      </c>
      <c r="I156" s="4">
        <f>_xlfn.XLOOKUP(D156, Products!$A$2:$A$21, Products!$F$2:$F$21,0)</f>
        <v>140</v>
      </c>
      <c r="J156" t="str">
        <f>_xlfn.XLOOKUP(C156, Stores!$A$2:$A$7, Stores!$D$2:$D$7)</f>
        <v>Sydney West</v>
      </c>
      <c r="K156" s="4">
        <f t="shared" si="4"/>
        <v>249</v>
      </c>
      <c r="L156" s="4">
        <f t="shared" si="5"/>
        <v>109</v>
      </c>
      <c r="M156" s="10">
        <f>IF(Table1[[#This Row],[Revenue]]=0, "", Table1[[#This Row],[Profit]]/Table1[[#This Row],[Revenue]])</f>
        <v>0.43775100401606426</v>
      </c>
      <c r="N156" s="4" t="str">
        <f>IF(Table1[[#This Row],[Margin]]="", "check", IF(Table1[[#This Row],[Margin]]&lt;0.2, "Low", "OK"))</f>
        <v>OK</v>
      </c>
      <c r="O156" s="4" t="str" cm="1">
        <f t="array" ref="O156">_xlfn.IFS(Table1[[#This Row],[Revenue]]=0, "Check", Table1[[#This Row],[Revenue]]&gt;=1000, "Large", Table1[[#This Row],[Revenue]]&gt;=200, "Medium", TRUE, "Small")</f>
        <v>Medium</v>
      </c>
      <c r="P156" s="4" t="str">
        <f>IF(AND(Table1[[#This Row],[Margin Flag]]="Low", Table1[[#This Row],[Revenue]]&gt;1000), "Review", "")</f>
        <v/>
      </c>
      <c r="Q156" s="4" t="str">
        <f>IF(OR(Table1[[#This Row],[Qty]]&gt;=5,Table1[[#This Row],[Order Size]] = "Large" ), "Bulk", "")</f>
        <v/>
      </c>
      <c r="R156" s="10">
        <f>_xlfn.XLOOKUP(G156, Lookup!$A$2:$A$7, Lookup!$B$2:$B$7, "")</f>
        <v>0.25</v>
      </c>
      <c r="S156" s="4" t="str">
        <f>IF(Table1[[#This Row],[Margin]]&lt;Table1[[#This Row],[Target Margin]], "Yes", "")</f>
        <v/>
      </c>
    </row>
    <row r="157" spans="1:19">
      <c r="A157" t="s">
        <v>201</v>
      </c>
      <c r="B157" s="2">
        <v>46224</v>
      </c>
      <c r="C157" t="s">
        <v>29</v>
      </c>
      <c r="D157" t="s">
        <v>21</v>
      </c>
      <c r="E157">
        <v>1</v>
      </c>
      <c r="F157" t="str">
        <f>_xlfn.XLOOKUP(D157, Products!$A$2:$A$21, Products!$B$2:$B$21, "Not Found")</f>
        <v>Gaming Mouse</v>
      </c>
      <c r="G157" t="str">
        <f>_xlfn.XLOOKUP(D157, Products!$A$2:$A$21, Products!$C$2:$C$21,"not found")</f>
        <v>Accessories</v>
      </c>
      <c r="H157" s="4">
        <f>_xlfn.XLOOKUP(D157, Products!$A$2:$A$21, Products!$E$2:$E$21, 0)</f>
        <v>89</v>
      </c>
      <c r="I157" s="4">
        <f>_xlfn.XLOOKUP(D157, Products!$A$2:$A$21, Products!$F$2:$F$21,0)</f>
        <v>41</v>
      </c>
      <c r="J157" t="str">
        <f>_xlfn.XLOOKUP(C157, Stores!$A$2:$A$7, Stores!$D$2:$D$7)</f>
        <v>Sydney West</v>
      </c>
      <c r="K157" s="4">
        <f t="shared" si="4"/>
        <v>89</v>
      </c>
      <c r="L157" s="4">
        <f t="shared" si="5"/>
        <v>48</v>
      </c>
      <c r="M157" s="10">
        <f>IF(Table1[[#This Row],[Revenue]]=0, "", Table1[[#This Row],[Profit]]/Table1[[#This Row],[Revenue]])</f>
        <v>0.5393258426966292</v>
      </c>
      <c r="N157" s="4" t="str">
        <f>IF(Table1[[#This Row],[Margin]]="", "check", IF(Table1[[#This Row],[Margin]]&lt;0.2, "Low", "OK"))</f>
        <v>OK</v>
      </c>
      <c r="O157" s="4" t="str" cm="1">
        <f t="array" ref="O157">_xlfn.IFS(Table1[[#This Row],[Revenue]]=0, "Check", Table1[[#This Row],[Revenue]]&gt;=1000, "Large", Table1[[#This Row],[Revenue]]&gt;=200, "Medium", TRUE, "Small")</f>
        <v>Small</v>
      </c>
      <c r="P157" s="4" t="str">
        <f>IF(AND(Table1[[#This Row],[Margin Flag]]="Low", Table1[[#This Row],[Revenue]]&gt;1000), "Review", "")</f>
        <v/>
      </c>
      <c r="Q157" s="4" t="str">
        <f>IF(OR(Table1[[#This Row],[Qty]]&gt;=5,Table1[[#This Row],[Order Size]] = "Large" ), "Bulk", "")</f>
        <v/>
      </c>
      <c r="R157" s="10">
        <f>_xlfn.XLOOKUP(G157, Lookup!$A$2:$A$7, Lookup!$B$2:$B$7, "")</f>
        <v>0.25</v>
      </c>
      <c r="S157" s="4" t="str">
        <f>IF(Table1[[#This Row],[Margin]]&lt;Table1[[#This Row],[Target Margin]], "Yes", "")</f>
        <v/>
      </c>
    </row>
    <row r="158" spans="1:19">
      <c r="A158" t="s">
        <v>202</v>
      </c>
      <c r="B158" s="2">
        <v>46224</v>
      </c>
      <c r="C158" t="s">
        <v>23</v>
      </c>
      <c r="D158" t="s">
        <v>152</v>
      </c>
      <c r="E158">
        <v>2</v>
      </c>
      <c r="F158" t="str">
        <f>_xlfn.XLOOKUP(D158, Products!$A$2:$A$21, Products!$B$2:$B$21, "Not Found")</f>
        <v>Game Console</v>
      </c>
      <c r="G158" t="str">
        <f>_xlfn.XLOOKUP(D158, Products!$A$2:$A$21, Products!$C$2:$C$21,"not found")</f>
        <v>Gaming</v>
      </c>
      <c r="H158" s="4">
        <f>_xlfn.XLOOKUP(D158, Products!$A$2:$A$21, Products!$E$2:$E$21, 0)</f>
        <v>499</v>
      </c>
      <c r="I158" s="4">
        <f>_xlfn.XLOOKUP(D158, Products!$A$2:$A$21, Products!$F$2:$F$21,0)</f>
        <v>420</v>
      </c>
      <c r="J158" t="str">
        <f>_xlfn.XLOOKUP(C158, Stores!$A$2:$A$7, Stores!$D$2:$D$7)</f>
        <v>Sydney East</v>
      </c>
      <c r="K158" s="4">
        <f t="shared" si="4"/>
        <v>998</v>
      </c>
      <c r="L158" s="4">
        <f t="shared" si="5"/>
        <v>158</v>
      </c>
      <c r="M158" s="10">
        <f>IF(Table1[[#This Row],[Revenue]]=0, "", Table1[[#This Row],[Profit]]/Table1[[#This Row],[Revenue]])</f>
        <v>0.15831663326653306</v>
      </c>
      <c r="N158" s="4" t="str">
        <f>IF(Table1[[#This Row],[Margin]]="", "check", IF(Table1[[#This Row],[Margin]]&lt;0.2, "Low", "OK"))</f>
        <v>Low</v>
      </c>
      <c r="O158" s="4" t="str" cm="1">
        <f t="array" ref="O158">_xlfn.IFS(Table1[[#This Row],[Revenue]]=0, "Check", Table1[[#This Row],[Revenue]]&gt;=1000, "Large", Table1[[#This Row],[Revenue]]&gt;=200, "Medium", TRUE, "Small")</f>
        <v>Medium</v>
      </c>
      <c r="P158" s="4" t="str">
        <f>IF(AND(Table1[[#This Row],[Margin Flag]]="Low", Table1[[#This Row],[Revenue]]&gt;1000), "Review", "")</f>
        <v/>
      </c>
      <c r="Q158" s="4" t="str">
        <f>IF(OR(Table1[[#This Row],[Qty]]&gt;=5,Table1[[#This Row],[Order Size]] = "Large" ), "Bulk", "")</f>
        <v/>
      </c>
      <c r="R158" s="10">
        <f>_xlfn.XLOOKUP(G158, Lookup!$A$2:$A$7, Lookup!$B$2:$B$7, "")</f>
        <v>0.08</v>
      </c>
      <c r="S158" s="4" t="str">
        <f>IF(Table1[[#This Row],[Margin]]&lt;Table1[[#This Row],[Target Margin]], "Yes", "")</f>
        <v/>
      </c>
    </row>
    <row r="159" spans="1:19">
      <c r="A159" t="s">
        <v>203</v>
      </c>
      <c r="B159" s="2">
        <v>46224</v>
      </c>
      <c r="C159" t="s">
        <v>29</v>
      </c>
      <c r="D159" t="s">
        <v>38</v>
      </c>
      <c r="E159">
        <v>1</v>
      </c>
      <c r="F159" t="str">
        <f>_xlfn.XLOOKUP(D159, Products!$A$2:$A$21, Products!$B$2:$B$21, "Not Found")</f>
        <v>USB-C Charger</v>
      </c>
      <c r="G159" t="str">
        <f>_xlfn.XLOOKUP(D159, Products!$A$2:$A$21, Products!$C$2:$C$21,"not found")</f>
        <v>Accessories</v>
      </c>
      <c r="H159" s="4">
        <f>_xlfn.XLOOKUP(D159, Products!$A$2:$A$21, Products!$E$2:$E$21, 0)</f>
        <v>49</v>
      </c>
      <c r="I159" s="4">
        <f>_xlfn.XLOOKUP(D159, Products!$A$2:$A$21, Products!$F$2:$F$21,0)</f>
        <v>14</v>
      </c>
      <c r="J159" t="str">
        <f>_xlfn.XLOOKUP(C159, Stores!$A$2:$A$7, Stores!$D$2:$D$7)</f>
        <v>Sydney West</v>
      </c>
      <c r="K159" s="4">
        <f t="shared" si="4"/>
        <v>49</v>
      </c>
      <c r="L159" s="4">
        <f t="shared" si="5"/>
        <v>35</v>
      </c>
      <c r="M159" s="10">
        <f>IF(Table1[[#This Row],[Revenue]]=0, "", Table1[[#This Row],[Profit]]/Table1[[#This Row],[Revenue]])</f>
        <v>0.7142857142857143</v>
      </c>
      <c r="N159" s="4" t="str">
        <f>IF(Table1[[#This Row],[Margin]]="", "check", IF(Table1[[#This Row],[Margin]]&lt;0.2, "Low", "OK"))</f>
        <v>OK</v>
      </c>
      <c r="O159" s="4" t="str" cm="1">
        <f t="array" ref="O159">_xlfn.IFS(Table1[[#This Row],[Revenue]]=0, "Check", Table1[[#This Row],[Revenue]]&gt;=1000, "Large", Table1[[#This Row],[Revenue]]&gt;=200, "Medium", TRUE, "Small")</f>
        <v>Small</v>
      </c>
      <c r="P159" s="4" t="str">
        <f>IF(AND(Table1[[#This Row],[Margin Flag]]="Low", Table1[[#This Row],[Revenue]]&gt;1000), "Review", "")</f>
        <v/>
      </c>
      <c r="Q159" s="4" t="str">
        <f>IF(OR(Table1[[#This Row],[Qty]]&gt;=5,Table1[[#This Row],[Order Size]] = "Large" ), "Bulk", "")</f>
        <v/>
      </c>
      <c r="R159" s="10">
        <f>_xlfn.XLOOKUP(G159, Lookup!$A$2:$A$7, Lookup!$B$2:$B$7, "")</f>
        <v>0.25</v>
      </c>
      <c r="S159" s="4" t="str">
        <f>IF(Table1[[#This Row],[Margin]]&lt;Table1[[#This Row],[Target Margin]], "Yes", "")</f>
        <v/>
      </c>
    </row>
    <row r="160" spans="1:19">
      <c r="A160" t="s">
        <v>204</v>
      </c>
      <c r="B160" s="2">
        <v>46225</v>
      </c>
      <c r="C160" t="s">
        <v>23</v>
      </c>
      <c r="D160" t="s">
        <v>38</v>
      </c>
      <c r="E160">
        <v>1</v>
      </c>
      <c r="F160" t="str">
        <f>_xlfn.XLOOKUP(D160, Products!$A$2:$A$21, Products!$B$2:$B$21, "Not Found")</f>
        <v>USB-C Charger</v>
      </c>
      <c r="G160" t="str">
        <f>_xlfn.XLOOKUP(D160, Products!$A$2:$A$21, Products!$C$2:$C$21,"not found")</f>
        <v>Accessories</v>
      </c>
      <c r="H160" s="4">
        <f>_xlfn.XLOOKUP(D160, Products!$A$2:$A$21, Products!$E$2:$E$21, 0)</f>
        <v>49</v>
      </c>
      <c r="I160" s="4">
        <f>_xlfn.XLOOKUP(D160, Products!$A$2:$A$21, Products!$F$2:$F$21,0)</f>
        <v>14</v>
      </c>
      <c r="J160" t="str">
        <f>_xlfn.XLOOKUP(C160, Stores!$A$2:$A$7, Stores!$D$2:$D$7)</f>
        <v>Sydney East</v>
      </c>
      <c r="K160" s="4">
        <f t="shared" si="4"/>
        <v>49</v>
      </c>
      <c r="L160" s="4">
        <f t="shared" si="5"/>
        <v>35</v>
      </c>
      <c r="M160" s="10">
        <f>IF(Table1[[#This Row],[Revenue]]=0, "", Table1[[#This Row],[Profit]]/Table1[[#This Row],[Revenue]])</f>
        <v>0.7142857142857143</v>
      </c>
      <c r="N160" s="4" t="str">
        <f>IF(Table1[[#This Row],[Margin]]="", "check", IF(Table1[[#This Row],[Margin]]&lt;0.2, "Low", "OK"))</f>
        <v>OK</v>
      </c>
      <c r="O160" s="4" t="str" cm="1">
        <f t="array" ref="O160">_xlfn.IFS(Table1[[#This Row],[Revenue]]=0, "Check", Table1[[#This Row],[Revenue]]&gt;=1000, "Large", Table1[[#This Row],[Revenue]]&gt;=200, "Medium", TRUE, "Small")</f>
        <v>Small</v>
      </c>
      <c r="P160" s="4" t="str">
        <f>IF(AND(Table1[[#This Row],[Margin Flag]]="Low", Table1[[#This Row],[Revenue]]&gt;1000), "Review", "")</f>
        <v/>
      </c>
      <c r="Q160" s="4" t="str">
        <f>IF(OR(Table1[[#This Row],[Qty]]&gt;=5,Table1[[#This Row],[Order Size]] = "Large" ), "Bulk", "")</f>
        <v/>
      </c>
      <c r="R160" s="10">
        <f>_xlfn.XLOOKUP(G160, Lookup!$A$2:$A$7, Lookup!$B$2:$B$7, "")</f>
        <v>0.25</v>
      </c>
      <c r="S160" s="4" t="str">
        <f>IF(Table1[[#This Row],[Margin]]&lt;Table1[[#This Row],[Target Margin]], "Yes", "")</f>
        <v/>
      </c>
    </row>
    <row r="161" spans="1:19">
      <c r="A161" t="s">
        <v>205</v>
      </c>
      <c r="B161" s="2">
        <v>46225</v>
      </c>
      <c r="C161" t="s">
        <v>23</v>
      </c>
      <c r="D161" t="s">
        <v>35</v>
      </c>
      <c r="E161">
        <v>4</v>
      </c>
      <c r="F161" t="str">
        <f>_xlfn.XLOOKUP(D161, Products!$A$2:$A$21, Products!$B$2:$B$21, "Not Found")</f>
        <v>Phone Case</v>
      </c>
      <c r="G161" t="str">
        <f>_xlfn.XLOOKUP(D161, Products!$A$2:$A$21, Products!$C$2:$C$21,"not found")</f>
        <v>Accessories</v>
      </c>
      <c r="H161" s="4">
        <f>_xlfn.XLOOKUP(D161, Products!$A$2:$A$21, Products!$E$2:$E$21, 0)</f>
        <v>39</v>
      </c>
      <c r="I161" s="4">
        <f>_xlfn.XLOOKUP(D161, Products!$A$2:$A$21, Products!$F$2:$F$21,0)</f>
        <v>9</v>
      </c>
      <c r="J161" t="str">
        <f>_xlfn.XLOOKUP(C161, Stores!$A$2:$A$7, Stores!$D$2:$D$7)</f>
        <v>Sydney East</v>
      </c>
      <c r="K161" s="4">
        <f t="shared" si="4"/>
        <v>156</v>
      </c>
      <c r="L161" s="4">
        <f t="shared" si="5"/>
        <v>120</v>
      </c>
      <c r="M161" s="10">
        <f>IF(Table1[[#This Row],[Revenue]]=0, "", Table1[[#This Row],[Profit]]/Table1[[#This Row],[Revenue]])</f>
        <v>0.76923076923076927</v>
      </c>
      <c r="N161" s="4" t="str">
        <f>IF(Table1[[#This Row],[Margin]]="", "check", IF(Table1[[#This Row],[Margin]]&lt;0.2, "Low", "OK"))</f>
        <v>OK</v>
      </c>
      <c r="O161" s="4" t="str" cm="1">
        <f t="array" ref="O161">_xlfn.IFS(Table1[[#This Row],[Revenue]]=0, "Check", Table1[[#This Row],[Revenue]]&gt;=1000, "Large", Table1[[#This Row],[Revenue]]&gt;=200, "Medium", TRUE, "Small")</f>
        <v>Small</v>
      </c>
      <c r="P161" s="4" t="str">
        <f>IF(AND(Table1[[#This Row],[Margin Flag]]="Low", Table1[[#This Row],[Revenue]]&gt;1000), "Review", "")</f>
        <v/>
      </c>
      <c r="Q161" s="4" t="str">
        <f>IF(OR(Table1[[#This Row],[Qty]]&gt;=5,Table1[[#This Row],[Order Size]] = "Large" ), "Bulk", "")</f>
        <v/>
      </c>
      <c r="R161" s="10">
        <f>_xlfn.XLOOKUP(G161, Lookup!$A$2:$A$7, Lookup!$B$2:$B$7, "")</f>
        <v>0.25</v>
      </c>
      <c r="S161" s="4" t="str">
        <f>IF(Table1[[#This Row],[Margin]]&lt;Table1[[#This Row],[Target Margin]], "Yes", "")</f>
        <v/>
      </c>
    </row>
    <row r="162" spans="1:19">
      <c r="A162" t="s">
        <v>206</v>
      </c>
      <c r="B162" s="2">
        <v>46225</v>
      </c>
      <c r="C162" t="s">
        <v>20</v>
      </c>
      <c r="D162" t="s">
        <v>30</v>
      </c>
      <c r="E162">
        <v>2</v>
      </c>
      <c r="F162" t="str">
        <f>_xlfn.XLOOKUP(D162, Products!$A$2:$A$21, Products!$B$2:$B$21, "Not Found")</f>
        <v>Video Game</v>
      </c>
      <c r="G162" t="str">
        <f>_xlfn.XLOOKUP(D162, Products!$A$2:$A$21, Products!$C$2:$C$21,"not found")</f>
        <v>Gaming</v>
      </c>
      <c r="H162" s="4">
        <f>_xlfn.XLOOKUP(D162, Products!$A$2:$A$21, Products!$E$2:$E$21, 0)</f>
        <v>79</v>
      </c>
      <c r="I162" s="4">
        <f>_xlfn.XLOOKUP(D162, Products!$A$2:$A$21, Products!$F$2:$F$21,0)</f>
        <v>52</v>
      </c>
      <c r="J162" t="str">
        <f>_xlfn.XLOOKUP(C162, Stores!$A$2:$A$7, Stores!$D$2:$D$7)</f>
        <v>Sydney West</v>
      </c>
      <c r="K162" s="4">
        <f t="shared" si="4"/>
        <v>158</v>
      </c>
      <c r="L162" s="4">
        <f t="shared" si="5"/>
        <v>54</v>
      </c>
      <c r="M162" s="10">
        <f>IF(Table1[[#This Row],[Revenue]]=0, "", Table1[[#This Row],[Profit]]/Table1[[#This Row],[Revenue]])</f>
        <v>0.34177215189873417</v>
      </c>
      <c r="N162" s="4" t="str">
        <f>IF(Table1[[#This Row],[Margin]]="", "check", IF(Table1[[#This Row],[Margin]]&lt;0.2, "Low", "OK"))</f>
        <v>OK</v>
      </c>
      <c r="O162" s="4" t="str" cm="1">
        <f t="array" ref="O162">_xlfn.IFS(Table1[[#This Row],[Revenue]]=0, "Check", Table1[[#This Row],[Revenue]]&gt;=1000, "Large", Table1[[#This Row],[Revenue]]&gt;=200, "Medium", TRUE, "Small")</f>
        <v>Small</v>
      </c>
      <c r="P162" s="4" t="str">
        <f>IF(AND(Table1[[#This Row],[Margin Flag]]="Low", Table1[[#This Row],[Revenue]]&gt;1000), "Review", "")</f>
        <v/>
      </c>
      <c r="Q162" s="4" t="str">
        <f>IF(OR(Table1[[#This Row],[Qty]]&gt;=5,Table1[[#This Row],[Order Size]] = "Large" ), "Bulk", "")</f>
        <v/>
      </c>
      <c r="R162" s="10">
        <f>_xlfn.XLOOKUP(G162, Lookup!$A$2:$A$7, Lookup!$B$2:$B$7, "")</f>
        <v>0.08</v>
      </c>
      <c r="S162" s="4" t="str">
        <f>IF(Table1[[#This Row],[Margin]]&lt;Table1[[#This Row],[Target Margin]], "Yes", "")</f>
        <v/>
      </c>
    </row>
    <row r="163" spans="1:19">
      <c r="A163" t="s">
        <v>207</v>
      </c>
      <c r="B163" s="2">
        <v>46225</v>
      </c>
      <c r="C163" t="s">
        <v>32</v>
      </c>
      <c r="D163" t="s">
        <v>24</v>
      </c>
      <c r="E163">
        <v>1</v>
      </c>
      <c r="F163" t="str">
        <f>_xlfn.XLOOKUP(D163, Products!$A$2:$A$21, Products!$B$2:$B$21, "Not Found")</f>
        <v>Wireless Earbuds</v>
      </c>
      <c r="G163" t="str">
        <f>_xlfn.XLOOKUP(D163, Products!$A$2:$A$21, Products!$C$2:$C$21,"not found")</f>
        <v>Audio</v>
      </c>
      <c r="H163" s="4">
        <f>_xlfn.XLOOKUP(D163, Products!$A$2:$A$21, Products!$E$2:$E$21, 0)</f>
        <v>249</v>
      </c>
      <c r="I163" s="4">
        <f>_xlfn.XLOOKUP(D163, Products!$A$2:$A$21, Products!$F$2:$F$21,0)</f>
        <v>140</v>
      </c>
      <c r="J163" t="str">
        <f>_xlfn.XLOOKUP(C163, Stores!$A$2:$A$7, Stores!$D$2:$D$7)</f>
        <v>Sydney South</v>
      </c>
      <c r="K163" s="4">
        <f t="shared" si="4"/>
        <v>249</v>
      </c>
      <c r="L163" s="4">
        <f t="shared" si="5"/>
        <v>109</v>
      </c>
      <c r="M163" s="10">
        <f>IF(Table1[[#This Row],[Revenue]]=0, "", Table1[[#This Row],[Profit]]/Table1[[#This Row],[Revenue]])</f>
        <v>0.43775100401606426</v>
      </c>
      <c r="N163" s="4" t="str">
        <f>IF(Table1[[#This Row],[Margin]]="", "check", IF(Table1[[#This Row],[Margin]]&lt;0.2, "Low", "OK"))</f>
        <v>OK</v>
      </c>
      <c r="O163" s="4" t="str" cm="1">
        <f t="array" ref="O163">_xlfn.IFS(Table1[[#This Row],[Revenue]]=0, "Check", Table1[[#This Row],[Revenue]]&gt;=1000, "Large", Table1[[#This Row],[Revenue]]&gt;=200, "Medium", TRUE, "Small")</f>
        <v>Medium</v>
      </c>
      <c r="P163" s="4" t="str">
        <f>IF(AND(Table1[[#This Row],[Margin Flag]]="Low", Table1[[#This Row],[Revenue]]&gt;1000), "Review", "")</f>
        <v/>
      </c>
      <c r="Q163" s="4" t="str">
        <f>IF(OR(Table1[[#This Row],[Qty]]&gt;=5,Table1[[#This Row],[Order Size]] = "Large" ), "Bulk", "")</f>
        <v/>
      </c>
      <c r="R163" s="10">
        <f>_xlfn.XLOOKUP(G163, Lookup!$A$2:$A$7, Lookup!$B$2:$B$7, "")</f>
        <v>0.25</v>
      </c>
      <c r="S163" s="4" t="str">
        <f>IF(Table1[[#This Row],[Margin]]&lt;Table1[[#This Row],[Target Margin]], "Yes", "")</f>
        <v/>
      </c>
    </row>
    <row r="164" spans="1:19">
      <c r="A164" t="s">
        <v>208</v>
      </c>
      <c r="B164" s="2">
        <v>46225</v>
      </c>
      <c r="C164" t="s">
        <v>29</v>
      </c>
      <c r="D164" t="s">
        <v>30</v>
      </c>
      <c r="E164">
        <v>1</v>
      </c>
      <c r="F164" t="str">
        <f>_xlfn.XLOOKUP(D164, Products!$A$2:$A$21, Products!$B$2:$B$21, "Not Found")</f>
        <v>Video Game</v>
      </c>
      <c r="G164" t="str">
        <f>_xlfn.XLOOKUP(D164, Products!$A$2:$A$21, Products!$C$2:$C$21,"not found")</f>
        <v>Gaming</v>
      </c>
      <c r="H164" s="4">
        <f>_xlfn.XLOOKUP(D164, Products!$A$2:$A$21, Products!$E$2:$E$21, 0)</f>
        <v>79</v>
      </c>
      <c r="I164" s="4">
        <f>_xlfn.XLOOKUP(D164, Products!$A$2:$A$21, Products!$F$2:$F$21,0)</f>
        <v>52</v>
      </c>
      <c r="J164" t="str">
        <f>_xlfn.XLOOKUP(C164, Stores!$A$2:$A$7, Stores!$D$2:$D$7)</f>
        <v>Sydney West</v>
      </c>
      <c r="K164" s="4">
        <f t="shared" si="4"/>
        <v>79</v>
      </c>
      <c r="L164" s="4">
        <f t="shared" si="5"/>
        <v>27</v>
      </c>
      <c r="M164" s="10">
        <f>IF(Table1[[#This Row],[Revenue]]=0, "", Table1[[#This Row],[Profit]]/Table1[[#This Row],[Revenue]])</f>
        <v>0.34177215189873417</v>
      </c>
      <c r="N164" s="4" t="str">
        <f>IF(Table1[[#This Row],[Margin]]="", "check", IF(Table1[[#This Row],[Margin]]&lt;0.2, "Low", "OK"))</f>
        <v>OK</v>
      </c>
      <c r="O164" s="4" t="str" cm="1">
        <f t="array" ref="O164">_xlfn.IFS(Table1[[#This Row],[Revenue]]=0, "Check", Table1[[#This Row],[Revenue]]&gt;=1000, "Large", Table1[[#This Row],[Revenue]]&gt;=200, "Medium", TRUE, "Small")</f>
        <v>Small</v>
      </c>
      <c r="P164" s="4" t="str">
        <f>IF(AND(Table1[[#This Row],[Margin Flag]]="Low", Table1[[#This Row],[Revenue]]&gt;1000), "Review", "")</f>
        <v/>
      </c>
      <c r="Q164" s="4" t="str">
        <f>IF(OR(Table1[[#This Row],[Qty]]&gt;=5,Table1[[#This Row],[Order Size]] = "Large" ), "Bulk", "")</f>
        <v/>
      </c>
      <c r="R164" s="10">
        <f>_xlfn.XLOOKUP(G164, Lookup!$A$2:$A$7, Lookup!$B$2:$B$7, "")</f>
        <v>0.08</v>
      </c>
      <c r="S164" s="4" t="str">
        <f>IF(Table1[[#This Row],[Margin]]&lt;Table1[[#This Row],[Target Margin]], "Yes", "")</f>
        <v/>
      </c>
    </row>
    <row r="165" spans="1:19">
      <c r="A165" t="s">
        <v>209</v>
      </c>
      <c r="B165" s="2">
        <v>46225</v>
      </c>
      <c r="C165" t="s">
        <v>26</v>
      </c>
      <c r="D165" t="s">
        <v>43</v>
      </c>
      <c r="E165">
        <v>2</v>
      </c>
      <c r="F165" t="str">
        <f>_xlfn.XLOOKUP(D165, Products!$A$2:$A$21, Products!$B$2:$B$21, "Not Found")</f>
        <v>Console Controller</v>
      </c>
      <c r="G165" t="str">
        <f>_xlfn.XLOOKUP(D165, Products!$A$2:$A$21, Products!$C$2:$C$21,"not found")</f>
        <v>Gaming</v>
      </c>
      <c r="H165" s="4">
        <f>_xlfn.XLOOKUP(D165, Products!$A$2:$A$21, Products!$E$2:$E$21, 0)</f>
        <v>99</v>
      </c>
      <c r="I165" s="4">
        <f>_xlfn.XLOOKUP(D165, Products!$A$2:$A$21, Products!$F$2:$F$21,0)</f>
        <v>58</v>
      </c>
      <c r="J165" t="str">
        <f>_xlfn.XLOOKUP(C165, Stores!$A$2:$A$7, Stores!$D$2:$D$7)</f>
        <v>Sydney North</v>
      </c>
      <c r="K165" s="4">
        <f t="shared" si="4"/>
        <v>198</v>
      </c>
      <c r="L165" s="4">
        <f t="shared" si="5"/>
        <v>82</v>
      </c>
      <c r="M165" s="10">
        <f>IF(Table1[[#This Row],[Revenue]]=0, "", Table1[[#This Row],[Profit]]/Table1[[#This Row],[Revenue]])</f>
        <v>0.41414141414141414</v>
      </c>
      <c r="N165" s="4" t="str">
        <f>IF(Table1[[#This Row],[Margin]]="", "check", IF(Table1[[#This Row],[Margin]]&lt;0.2, "Low", "OK"))</f>
        <v>OK</v>
      </c>
      <c r="O165" s="4" t="str" cm="1">
        <f t="array" ref="O165">_xlfn.IFS(Table1[[#This Row],[Revenue]]=0, "Check", Table1[[#This Row],[Revenue]]&gt;=1000, "Large", Table1[[#This Row],[Revenue]]&gt;=200, "Medium", TRUE, "Small")</f>
        <v>Small</v>
      </c>
      <c r="P165" s="4" t="str">
        <f>IF(AND(Table1[[#This Row],[Margin Flag]]="Low", Table1[[#This Row],[Revenue]]&gt;1000), "Review", "")</f>
        <v/>
      </c>
      <c r="Q165" s="4" t="str">
        <f>IF(OR(Table1[[#This Row],[Qty]]&gt;=5,Table1[[#This Row],[Order Size]] = "Large" ), "Bulk", "")</f>
        <v/>
      </c>
      <c r="R165" s="10">
        <f>_xlfn.XLOOKUP(G165, Lookup!$A$2:$A$7, Lookup!$B$2:$B$7, "")</f>
        <v>0.08</v>
      </c>
      <c r="S165" s="4" t="str">
        <f>IF(Table1[[#This Row],[Margin]]&lt;Table1[[#This Row],[Target Margin]], "Yes", "")</f>
        <v/>
      </c>
    </row>
    <row r="166" spans="1:19">
      <c r="A166" t="s">
        <v>210</v>
      </c>
      <c r="B166" s="2">
        <v>46225</v>
      </c>
      <c r="C166" t="s">
        <v>57</v>
      </c>
      <c r="D166" t="s">
        <v>35</v>
      </c>
      <c r="E166">
        <v>1</v>
      </c>
      <c r="F166" t="str">
        <f>_xlfn.XLOOKUP(D166, Products!$A$2:$A$21, Products!$B$2:$B$21, "Not Found")</f>
        <v>Phone Case</v>
      </c>
      <c r="G166" t="str">
        <f>_xlfn.XLOOKUP(D166, Products!$A$2:$A$21, Products!$C$2:$C$21,"not found")</f>
        <v>Accessories</v>
      </c>
      <c r="H166" s="4">
        <f>_xlfn.XLOOKUP(D166, Products!$A$2:$A$21, Products!$E$2:$E$21, 0)</f>
        <v>39</v>
      </c>
      <c r="I166" s="4">
        <f>_xlfn.XLOOKUP(D166, Products!$A$2:$A$21, Products!$F$2:$F$21,0)</f>
        <v>9</v>
      </c>
      <c r="J166" t="str">
        <f>_xlfn.XLOOKUP(C166, Stores!$A$2:$A$7, Stores!$D$2:$D$7)</f>
        <v>Sydney South</v>
      </c>
      <c r="K166" s="4">
        <f t="shared" si="4"/>
        <v>39</v>
      </c>
      <c r="L166" s="4">
        <f t="shared" si="5"/>
        <v>30</v>
      </c>
      <c r="M166" s="10">
        <f>IF(Table1[[#This Row],[Revenue]]=0, "", Table1[[#This Row],[Profit]]/Table1[[#This Row],[Revenue]])</f>
        <v>0.76923076923076927</v>
      </c>
      <c r="N166" s="4" t="str">
        <f>IF(Table1[[#This Row],[Margin]]="", "check", IF(Table1[[#This Row],[Margin]]&lt;0.2, "Low", "OK"))</f>
        <v>OK</v>
      </c>
      <c r="O166" s="4" t="str" cm="1">
        <f t="array" ref="O166">_xlfn.IFS(Table1[[#This Row],[Revenue]]=0, "Check", Table1[[#This Row],[Revenue]]&gt;=1000, "Large", Table1[[#This Row],[Revenue]]&gt;=200, "Medium", TRUE, "Small")</f>
        <v>Small</v>
      </c>
      <c r="P166" s="4" t="str">
        <f>IF(AND(Table1[[#This Row],[Margin Flag]]="Low", Table1[[#This Row],[Revenue]]&gt;1000), "Review", "")</f>
        <v/>
      </c>
      <c r="Q166" s="4" t="str">
        <f>IF(OR(Table1[[#This Row],[Qty]]&gt;=5,Table1[[#This Row],[Order Size]] = "Large" ), "Bulk", "")</f>
        <v/>
      </c>
      <c r="R166" s="10">
        <f>_xlfn.XLOOKUP(G166, Lookup!$A$2:$A$7, Lookup!$B$2:$B$7, "")</f>
        <v>0.25</v>
      </c>
      <c r="S166" s="4" t="str">
        <f>IF(Table1[[#This Row],[Margin]]&lt;Table1[[#This Row],[Target Margin]], "Yes", "")</f>
        <v/>
      </c>
    </row>
    <row r="167" spans="1:19">
      <c r="A167" t="s">
        <v>211</v>
      </c>
      <c r="B167" s="2">
        <v>46226</v>
      </c>
      <c r="C167" t="s">
        <v>26</v>
      </c>
      <c r="D167" t="s">
        <v>35</v>
      </c>
      <c r="E167">
        <v>1</v>
      </c>
      <c r="F167" t="str">
        <f>_xlfn.XLOOKUP(D167, Products!$A$2:$A$21, Products!$B$2:$B$21, "Not Found")</f>
        <v>Phone Case</v>
      </c>
      <c r="G167" t="str">
        <f>_xlfn.XLOOKUP(D167, Products!$A$2:$A$21, Products!$C$2:$C$21,"not found")</f>
        <v>Accessories</v>
      </c>
      <c r="H167" s="4">
        <f>_xlfn.XLOOKUP(D167, Products!$A$2:$A$21, Products!$E$2:$E$21, 0)</f>
        <v>39</v>
      </c>
      <c r="I167" s="4">
        <f>_xlfn.XLOOKUP(D167, Products!$A$2:$A$21, Products!$F$2:$F$21,0)</f>
        <v>9</v>
      </c>
      <c r="J167" t="str">
        <f>_xlfn.XLOOKUP(C167, Stores!$A$2:$A$7, Stores!$D$2:$D$7)</f>
        <v>Sydney North</v>
      </c>
      <c r="K167" s="4">
        <f t="shared" si="4"/>
        <v>39</v>
      </c>
      <c r="L167" s="4">
        <f t="shared" si="5"/>
        <v>30</v>
      </c>
      <c r="M167" s="10">
        <f>IF(Table1[[#This Row],[Revenue]]=0, "", Table1[[#This Row],[Profit]]/Table1[[#This Row],[Revenue]])</f>
        <v>0.76923076923076927</v>
      </c>
      <c r="N167" s="4" t="str">
        <f>IF(Table1[[#This Row],[Margin]]="", "check", IF(Table1[[#This Row],[Margin]]&lt;0.2, "Low", "OK"))</f>
        <v>OK</v>
      </c>
      <c r="O167" s="4" t="str" cm="1">
        <f t="array" ref="O167">_xlfn.IFS(Table1[[#This Row],[Revenue]]=0, "Check", Table1[[#This Row],[Revenue]]&gt;=1000, "Large", Table1[[#This Row],[Revenue]]&gt;=200, "Medium", TRUE, "Small")</f>
        <v>Small</v>
      </c>
      <c r="P167" s="4" t="str">
        <f>IF(AND(Table1[[#This Row],[Margin Flag]]="Low", Table1[[#This Row],[Revenue]]&gt;1000), "Review", "")</f>
        <v/>
      </c>
      <c r="Q167" s="4" t="str">
        <f>IF(OR(Table1[[#This Row],[Qty]]&gt;=5,Table1[[#This Row],[Order Size]] = "Large" ), "Bulk", "")</f>
        <v/>
      </c>
      <c r="R167" s="10">
        <f>_xlfn.XLOOKUP(G167, Lookup!$A$2:$A$7, Lookup!$B$2:$B$7, "")</f>
        <v>0.25</v>
      </c>
      <c r="S167" s="4" t="str">
        <f>IF(Table1[[#This Row],[Margin]]&lt;Table1[[#This Row],[Target Margin]], "Yes", "")</f>
        <v/>
      </c>
    </row>
    <row r="168" spans="1:19">
      <c r="A168" t="s">
        <v>212</v>
      </c>
      <c r="B168" s="2">
        <v>46226</v>
      </c>
      <c r="C168" t="s">
        <v>26</v>
      </c>
      <c r="D168" t="s">
        <v>30</v>
      </c>
      <c r="E168">
        <v>1</v>
      </c>
      <c r="F168" t="str">
        <f>_xlfn.XLOOKUP(D168, Products!$A$2:$A$21, Products!$B$2:$B$21, "Not Found")</f>
        <v>Video Game</v>
      </c>
      <c r="G168" t="str">
        <f>_xlfn.XLOOKUP(D168, Products!$A$2:$A$21, Products!$C$2:$C$21,"not found")</f>
        <v>Gaming</v>
      </c>
      <c r="H168" s="4">
        <f>_xlfn.XLOOKUP(D168, Products!$A$2:$A$21, Products!$E$2:$E$21, 0)</f>
        <v>79</v>
      </c>
      <c r="I168" s="4">
        <f>_xlfn.XLOOKUP(D168, Products!$A$2:$A$21, Products!$F$2:$F$21,0)</f>
        <v>52</v>
      </c>
      <c r="J168" t="str">
        <f>_xlfn.XLOOKUP(C168, Stores!$A$2:$A$7, Stores!$D$2:$D$7)</f>
        <v>Sydney North</v>
      </c>
      <c r="K168" s="4">
        <f t="shared" si="4"/>
        <v>79</v>
      </c>
      <c r="L168" s="4">
        <f t="shared" si="5"/>
        <v>27</v>
      </c>
      <c r="M168" s="10">
        <f>IF(Table1[[#This Row],[Revenue]]=0, "", Table1[[#This Row],[Profit]]/Table1[[#This Row],[Revenue]])</f>
        <v>0.34177215189873417</v>
      </c>
      <c r="N168" s="4" t="str">
        <f>IF(Table1[[#This Row],[Margin]]="", "check", IF(Table1[[#This Row],[Margin]]&lt;0.2, "Low", "OK"))</f>
        <v>OK</v>
      </c>
      <c r="O168" s="4" t="str" cm="1">
        <f t="array" ref="O168">_xlfn.IFS(Table1[[#This Row],[Revenue]]=0, "Check", Table1[[#This Row],[Revenue]]&gt;=1000, "Large", Table1[[#This Row],[Revenue]]&gt;=200, "Medium", TRUE, "Small")</f>
        <v>Small</v>
      </c>
      <c r="P168" s="4" t="str">
        <f>IF(AND(Table1[[#This Row],[Margin Flag]]="Low", Table1[[#This Row],[Revenue]]&gt;1000), "Review", "")</f>
        <v/>
      </c>
      <c r="Q168" s="4" t="str">
        <f>IF(OR(Table1[[#This Row],[Qty]]&gt;=5,Table1[[#This Row],[Order Size]] = "Large" ), "Bulk", "")</f>
        <v/>
      </c>
      <c r="R168" s="10">
        <f>_xlfn.XLOOKUP(G168, Lookup!$A$2:$A$7, Lookup!$B$2:$B$7, "")</f>
        <v>0.08</v>
      </c>
      <c r="S168" s="4" t="str">
        <f>IF(Table1[[#This Row],[Margin]]&lt;Table1[[#This Row],[Target Margin]], "Yes", "")</f>
        <v/>
      </c>
    </row>
    <row r="169" spans="1:19">
      <c r="A169" t="s">
        <v>213</v>
      </c>
      <c r="B169" s="2">
        <v>46227</v>
      </c>
      <c r="C169" t="s">
        <v>29</v>
      </c>
      <c r="D169" t="s">
        <v>24</v>
      </c>
      <c r="E169">
        <v>1</v>
      </c>
      <c r="F169" t="str">
        <f>_xlfn.XLOOKUP(D169, Products!$A$2:$A$21, Products!$B$2:$B$21, "Not Found")</f>
        <v>Wireless Earbuds</v>
      </c>
      <c r="G169" t="str">
        <f>_xlfn.XLOOKUP(D169, Products!$A$2:$A$21, Products!$C$2:$C$21,"not found")</f>
        <v>Audio</v>
      </c>
      <c r="H169" s="4">
        <f>_xlfn.XLOOKUP(D169, Products!$A$2:$A$21, Products!$E$2:$E$21, 0)</f>
        <v>249</v>
      </c>
      <c r="I169" s="4">
        <f>_xlfn.XLOOKUP(D169, Products!$A$2:$A$21, Products!$F$2:$F$21,0)</f>
        <v>140</v>
      </c>
      <c r="J169" t="str">
        <f>_xlfn.XLOOKUP(C169, Stores!$A$2:$A$7, Stores!$D$2:$D$7)</f>
        <v>Sydney West</v>
      </c>
      <c r="K169" s="4">
        <f t="shared" si="4"/>
        <v>249</v>
      </c>
      <c r="L169" s="4">
        <f t="shared" si="5"/>
        <v>109</v>
      </c>
      <c r="M169" s="10">
        <f>IF(Table1[[#This Row],[Revenue]]=0, "", Table1[[#This Row],[Profit]]/Table1[[#This Row],[Revenue]])</f>
        <v>0.43775100401606426</v>
      </c>
      <c r="N169" s="4" t="str">
        <f>IF(Table1[[#This Row],[Margin]]="", "check", IF(Table1[[#This Row],[Margin]]&lt;0.2, "Low", "OK"))</f>
        <v>OK</v>
      </c>
      <c r="O169" s="4" t="str" cm="1">
        <f t="array" ref="O169">_xlfn.IFS(Table1[[#This Row],[Revenue]]=0, "Check", Table1[[#This Row],[Revenue]]&gt;=1000, "Large", Table1[[#This Row],[Revenue]]&gt;=200, "Medium", TRUE, "Small")</f>
        <v>Medium</v>
      </c>
      <c r="P169" s="4" t="str">
        <f>IF(AND(Table1[[#This Row],[Margin Flag]]="Low", Table1[[#This Row],[Revenue]]&gt;1000), "Review", "")</f>
        <v/>
      </c>
      <c r="Q169" s="4" t="str">
        <f>IF(OR(Table1[[#This Row],[Qty]]&gt;=5,Table1[[#This Row],[Order Size]] = "Large" ), "Bulk", "")</f>
        <v/>
      </c>
      <c r="R169" s="10">
        <f>_xlfn.XLOOKUP(G169, Lookup!$A$2:$A$7, Lookup!$B$2:$B$7, "")</f>
        <v>0.25</v>
      </c>
      <c r="S169" s="4" t="str">
        <f>IF(Table1[[#This Row],[Margin]]&lt;Table1[[#This Row],[Target Margin]], "Yes", "")</f>
        <v/>
      </c>
    </row>
    <row r="170" spans="1:19">
      <c r="A170" t="s">
        <v>214</v>
      </c>
      <c r="B170" s="2">
        <v>46227</v>
      </c>
      <c r="C170" t="s">
        <v>23</v>
      </c>
      <c r="D170" t="s">
        <v>50</v>
      </c>
      <c r="E170">
        <v>1</v>
      </c>
      <c r="F170" t="str">
        <f>_xlfn.XLOOKUP(D170, Products!$A$2:$A$21, Products!$B$2:$B$21, "Not Found")</f>
        <v>Smartphone 128GB</v>
      </c>
      <c r="G170" t="str">
        <f>_xlfn.XLOOKUP(D170, Products!$A$2:$A$21, Products!$C$2:$C$21,"not found")</f>
        <v>Phones</v>
      </c>
      <c r="H170" s="4">
        <f>_xlfn.XLOOKUP(D170, Products!$A$2:$A$21, Products!$E$2:$E$21, 0)</f>
        <v>1099</v>
      </c>
      <c r="I170" s="4">
        <f>_xlfn.XLOOKUP(D170, Products!$A$2:$A$21, Products!$F$2:$F$21,0)</f>
        <v>860</v>
      </c>
      <c r="J170" t="str">
        <f>_xlfn.XLOOKUP(C170, Stores!$A$2:$A$7, Stores!$D$2:$D$7)</f>
        <v>Sydney East</v>
      </c>
      <c r="K170" s="4">
        <f t="shared" si="4"/>
        <v>1099</v>
      </c>
      <c r="L170" s="4">
        <f t="shared" si="5"/>
        <v>239</v>
      </c>
      <c r="M170" s="10">
        <f>IF(Table1[[#This Row],[Revenue]]=0, "", Table1[[#This Row],[Profit]]/Table1[[#This Row],[Revenue]])</f>
        <v>0.21747042766151045</v>
      </c>
      <c r="N170" s="4" t="str">
        <f>IF(Table1[[#This Row],[Margin]]="", "check", IF(Table1[[#This Row],[Margin]]&lt;0.2, "Low", "OK"))</f>
        <v>OK</v>
      </c>
      <c r="O170" s="4" t="str" cm="1">
        <f t="array" ref="O170">_xlfn.IFS(Table1[[#This Row],[Revenue]]=0, "Check", Table1[[#This Row],[Revenue]]&gt;=1000, "Large", Table1[[#This Row],[Revenue]]&gt;=200, "Medium", TRUE, "Small")</f>
        <v>Large</v>
      </c>
      <c r="P170" s="4" t="str">
        <f>IF(AND(Table1[[#This Row],[Margin Flag]]="Low", Table1[[#This Row],[Revenue]]&gt;1000), "Review", "")</f>
        <v/>
      </c>
      <c r="Q170" s="4" t="str">
        <f>IF(OR(Table1[[#This Row],[Qty]]&gt;=5,Table1[[#This Row],[Order Size]] = "Large" ), "Bulk", "")</f>
        <v>Bulk</v>
      </c>
      <c r="R170" s="10">
        <f>_xlfn.XLOOKUP(G170, Lookup!$A$2:$A$7, Lookup!$B$2:$B$7, "")</f>
        <v>0.25</v>
      </c>
      <c r="S170" s="4" t="str">
        <f>IF(Table1[[#This Row],[Margin]]&lt;Table1[[#This Row],[Target Margin]], "Yes", "")</f>
        <v>Yes</v>
      </c>
    </row>
    <row r="171" spans="1:19">
      <c r="A171" t="s">
        <v>215</v>
      </c>
      <c r="B171" s="2">
        <v>46227</v>
      </c>
      <c r="C171" t="s">
        <v>20</v>
      </c>
      <c r="D171" t="s">
        <v>30</v>
      </c>
      <c r="E171">
        <v>1</v>
      </c>
      <c r="F171" t="str">
        <f>_xlfn.XLOOKUP(D171, Products!$A$2:$A$21, Products!$B$2:$B$21, "Not Found")</f>
        <v>Video Game</v>
      </c>
      <c r="G171" t="str">
        <f>_xlfn.XLOOKUP(D171, Products!$A$2:$A$21, Products!$C$2:$C$21,"not found")</f>
        <v>Gaming</v>
      </c>
      <c r="H171" s="4">
        <f>_xlfn.XLOOKUP(D171, Products!$A$2:$A$21, Products!$E$2:$E$21, 0)</f>
        <v>79</v>
      </c>
      <c r="I171" s="4">
        <f>_xlfn.XLOOKUP(D171, Products!$A$2:$A$21, Products!$F$2:$F$21,0)</f>
        <v>52</v>
      </c>
      <c r="J171" t="str">
        <f>_xlfn.XLOOKUP(C171, Stores!$A$2:$A$7, Stores!$D$2:$D$7)</f>
        <v>Sydney West</v>
      </c>
      <c r="K171" s="4">
        <f t="shared" si="4"/>
        <v>79</v>
      </c>
      <c r="L171" s="4">
        <f t="shared" si="5"/>
        <v>27</v>
      </c>
      <c r="M171" s="10">
        <f>IF(Table1[[#This Row],[Revenue]]=0, "", Table1[[#This Row],[Profit]]/Table1[[#This Row],[Revenue]])</f>
        <v>0.34177215189873417</v>
      </c>
      <c r="N171" s="4" t="str">
        <f>IF(Table1[[#This Row],[Margin]]="", "check", IF(Table1[[#This Row],[Margin]]&lt;0.2, "Low", "OK"))</f>
        <v>OK</v>
      </c>
      <c r="O171" s="4" t="str" cm="1">
        <f t="array" ref="O171">_xlfn.IFS(Table1[[#This Row],[Revenue]]=0, "Check", Table1[[#This Row],[Revenue]]&gt;=1000, "Large", Table1[[#This Row],[Revenue]]&gt;=200, "Medium", TRUE, "Small")</f>
        <v>Small</v>
      </c>
      <c r="P171" s="4" t="str">
        <f>IF(AND(Table1[[#This Row],[Margin Flag]]="Low", Table1[[#This Row],[Revenue]]&gt;1000), "Review", "")</f>
        <v/>
      </c>
      <c r="Q171" s="4" t="str">
        <f>IF(OR(Table1[[#This Row],[Qty]]&gt;=5,Table1[[#This Row],[Order Size]] = "Large" ), "Bulk", "")</f>
        <v/>
      </c>
      <c r="R171" s="10">
        <f>_xlfn.XLOOKUP(G171, Lookup!$A$2:$A$7, Lookup!$B$2:$B$7, "")</f>
        <v>0.08</v>
      </c>
      <c r="S171" s="4" t="str">
        <f>IF(Table1[[#This Row],[Margin]]&lt;Table1[[#This Row],[Target Margin]], "Yes", "")</f>
        <v/>
      </c>
    </row>
    <row r="172" spans="1:19">
      <c r="A172" t="s">
        <v>216</v>
      </c>
      <c r="B172" s="2">
        <v>46227</v>
      </c>
      <c r="C172" t="s">
        <v>20</v>
      </c>
      <c r="D172" t="s">
        <v>50</v>
      </c>
      <c r="E172">
        <v>1</v>
      </c>
      <c r="F172" t="str">
        <f>_xlfn.XLOOKUP(D172, Products!$A$2:$A$21, Products!$B$2:$B$21, "Not Found")</f>
        <v>Smartphone 128GB</v>
      </c>
      <c r="G172" t="str">
        <f>_xlfn.XLOOKUP(D172, Products!$A$2:$A$21, Products!$C$2:$C$21,"not found")</f>
        <v>Phones</v>
      </c>
      <c r="H172" s="4">
        <f>_xlfn.XLOOKUP(D172, Products!$A$2:$A$21, Products!$E$2:$E$21, 0)</f>
        <v>1099</v>
      </c>
      <c r="I172" s="4">
        <f>_xlfn.XLOOKUP(D172, Products!$A$2:$A$21, Products!$F$2:$F$21,0)</f>
        <v>860</v>
      </c>
      <c r="J172" t="str">
        <f>_xlfn.XLOOKUP(C172, Stores!$A$2:$A$7, Stores!$D$2:$D$7)</f>
        <v>Sydney West</v>
      </c>
      <c r="K172" s="4">
        <f t="shared" si="4"/>
        <v>1099</v>
      </c>
      <c r="L172" s="4">
        <f t="shared" si="5"/>
        <v>239</v>
      </c>
      <c r="M172" s="10">
        <f>IF(Table1[[#This Row],[Revenue]]=0, "", Table1[[#This Row],[Profit]]/Table1[[#This Row],[Revenue]])</f>
        <v>0.21747042766151045</v>
      </c>
      <c r="N172" s="4" t="str">
        <f>IF(Table1[[#This Row],[Margin]]="", "check", IF(Table1[[#This Row],[Margin]]&lt;0.2, "Low", "OK"))</f>
        <v>OK</v>
      </c>
      <c r="O172" s="4" t="str" cm="1">
        <f t="array" ref="O172">_xlfn.IFS(Table1[[#This Row],[Revenue]]=0, "Check", Table1[[#This Row],[Revenue]]&gt;=1000, "Large", Table1[[#This Row],[Revenue]]&gt;=200, "Medium", TRUE, "Small")</f>
        <v>Large</v>
      </c>
      <c r="P172" s="4" t="str">
        <f>IF(AND(Table1[[#This Row],[Margin Flag]]="Low", Table1[[#This Row],[Revenue]]&gt;1000), "Review", "")</f>
        <v/>
      </c>
      <c r="Q172" s="4" t="str">
        <f>IF(OR(Table1[[#This Row],[Qty]]&gt;=5,Table1[[#This Row],[Order Size]] = "Large" ), "Bulk", "")</f>
        <v>Bulk</v>
      </c>
      <c r="R172" s="10">
        <f>_xlfn.XLOOKUP(G172, Lookup!$A$2:$A$7, Lookup!$B$2:$B$7, "")</f>
        <v>0.25</v>
      </c>
      <c r="S172" s="4" t="str">
        <f>IF(Table1[[#This Row],[Margin]]&lt;Table1[[#This Row],[Target Margin]], "Yes", "")</f>
        <v>Yes</v>
      </c>
    </row>
    <row r="173" spans="1:19">
      <c r="A173" t="s">
        <v>217</v>
      </c>
      <c r="B173" s="2">
        <v>46227</v>
      </c>
      <c r="C173" t="s">
        <v>57</v>
      </c>
      <c r="D173" t="s">
        <v>38</v>
      </c>
      <c r="E173">
        <v>2</v>
      </c>
      <c r="F173" t="str">
        <f>_xlfn.XLOOKUP(D173, Products!$A$2:$A$21, Products!$B$2:$B$21, "Not Found")</f>
        <v>USB-C Charger</v>
      </c>
      <c r="G173" t="str">
        <f>_xlfn.XLOOKUP(D173, Products!$A$2:$A$21, Products!$C$2:$C$21,"not found")</f>
        <v>Accessories</v>
      </c>
      <c r="H173" s="4">
        <f>_xlfn.XLOOKUP(D173, Products!$A$2:$A$21, Products!$E$2:$E$21, 0)</f>
        <v>49</v>
      </c>
      <c r="I173" s="4">
        <f>_xlfn.XLOOKUP(D173, Products!$A$2:$A$21, Products!$F$2:$F$21,0)</f>
        <v>14</v>
      </c>
      <c r="J173" t="str">
        <f>_xlfn.XLOOKUP(C173, Stores!$A$2:$A$7, Stores!$D$2:$D$7)</f>
        <v>Sydney South</v>
      </c>
      <c r="K173" s="4">
        <f t="shared" si="4"/>
        <v>98</v>
      </c>
      <c r="L173" s="4">
        <f t="shared" si="5"/>
        <v>70</v>
      </c>
      <c r="M173" s="10">
        <f>IF(Table1[[#This Row],[Revenue]]=0, "", Table1[[#This Row],[Profit]]/Table1[[#This Row],[Revenue]])</f>
        <v>0.7142857142857143</v>
      </c>
      <c r="N173" s="4" t="str">
        <f>IF(Table1[[#This Row],[Margin]]="", "check", IF(Table1[[#This Row],[Margin]]&lt;0.2, "Low", "OK"))</f>
        <v>OK</v>
      </c>
      <c r="O173" s="4" t="str" cm="1">
        <f t="array" ref="O173">_xlfn.IFS(Table1[[#This Row],[Revenue]]=0, "Check", Table1[[#This Row],[Revenue]]&gt;=1000, "Large", Table1[[#This Row],[Revenue]]&gt;=200, "Medium", TRUE, "Small")</f>
        <v>Small</v>
      </c>
      <c r="P173" s="4" t="str">
        <f>IF(AND(Table1[[#This Row],[Margin Flag]]="Low", Table1[[#This Row],[Revenue]]&gt;1000), "Review", "")</f>
        <v/>
      </c>
      <c r="Q173" s="4" t="str">
        <f>IF(OR(Table1[[#This Row],[Qty]]&gt;=5,Table1[[#This Row],[Order Size]] = "Large" ), "Bulk", "")</f>
        <v/>
      </c>
      <c r="R173" s="10">
        <f>_xlfn.XLOOKUP(G173, Lookup!$A$2:$A$7, Lookup!$B$2:$B$7, "")</f>
        <v>0.25</v>
      </c>
      <c r="S173" s="4" t="str">
        <f>IF(Table1[[#This Row],[Margin]]&lt;Table1[[#This Row],[Target Margin]], "Yes", "")</f>
        <v/>
      </c>
    </row>
    <row r="174" spans="1:19">
      <c r="A174" t="s">
        <v>218</v>
      </c>
      <c r="B174" s="2">
        <v>46227</v>
      </c>
      <c r="C174" t="s">
        <v>20</v>
      </c>
      <c r="D174" t="s">
        <v>21</v>
      </c>
      <c r="E174">
        <v>1</v>
      </c>
      <c r="F174" t="str">
        <f>_xlfn.XLOOKUP(D174, Products!$A$2:$A$21, Products!$B$2:$B$21, "Not Found")</f>
        <v>Gaming Mouse</v>
      </c>
      <c r="G174" t="str">
        <f>_xlfn.XLOOKUP(D174, Products!$A$2:$A$21, Products!$C$2:$C$21,"not found")</f>
        <v>Accessories</v>
      </c>
      <c r="H174" s="4">
        <f>_xlfn.XLOOKUP(D174, Products!$A$2:$A$21, Products!$E$2:$E$21, 0)</f>
        <v>89</v>
      </c>
      <c r="I174" s="4">
        <f>_xlfn.XLOOKUP(D174, Products!$A$2:$A$21, Products!$F$2:$F$21,0)</f>
        <v>41</v>
      </c>
      <c r="J174" t="str">
        <f>_xlfn.XLOOKUP(C174, Stores!$A$2:$A$7, Stores!$D$2:$D$7)</f>
        <v>Sydney West</v>
      </c>
      <c r="K174" s="4">
        <f t="shared" si="4"/>
        <v>89</v>
      </c>
      <c r="L174" s="4">
        <f t="shared" si="5"/>
        <v>48</v>
      </c>
      <c r="M174" s="10">
        <f>IF(Table1[[#This Row],[Revenue]]=0, "", Table1[[#This Row],[Profit]]/Table1[[#This Row],[Revenue]])</f>
        <v>0.5393258426966292</v>
      </c>
      <c r="N174" s="4" t="str">
        <f>IF(Table1[[#This Row],[Margin]]="", "check", IF(Table1[[#This Row],[Margin]]&lt;0.2, "Low", "OK"))</f>
        <v>OK</v>
      </c>
      <c r="O174" s="4" t="str" cm="1">
        <f t="array" ref="O174">_xlfn.IFS(Table1[[#This Row],[Revenue]]=0, "Check", Table1[[#This Row],[Revenue]]&gt;=1000, "Large", Table1[[#This Row],[Revenue]]&gt;=200, "Medium", TRUE, "Small")</f>
        <v>Small</v>
      </c>
      <c r="P174" s="4" t="str">
        <f>IF(AND(Table1[[#This Row],[Margin Flag]]="Low", Table1[[#This Row],[Revenue]]&gt;1000), "Review", "")</f>
        <v/>
      </c>
      <c r="Q174" s="4" t="str">
        <f>IF(OR(Table1[[#This Row],[Qty]]&gt;=5,Table1[[#This Row],[Order Size]] = "Large" ), "Bulk", "")</f>
        <v/>
      </c>
      <c r="R174" s="10">
        <f>_xlfn.XLOOKUP(G174, Lookup!$A$2:$A$7, Lookup!$B$2:$B$7, "")</f>
        <v>0.25</v>
      </c>
      <c r="S174" s="4" t="str">
        <f>IF(Table1[[#This Row],[Margin]]&lt;Table1[[#This Row],[Target Margin]], "Yes", "")</f>
        <v/>
      </c>
    </row>
    <row r="175" spans="1:19">
      <c r="A175" t="s">
        <v>219</v>
      </c>
      <c r="B175" s="2">
        <v>46227</v>
      </c>
      <c r="C175" t="s">
        <v>26</v>
      </c>
      <c r="D175" t="s">
        <v>27</v>
      </c>
      <c r="E175">
        <v>1</v>
      </c>
      <c r="F175" t="str">
        <f>_xlfn.XLOOKUP(D175, Products!$A$2:$A$21, Products!$B$2:$B$21, "Not Found")</f>
        <v>Bluetooth Speaker</v>
      </c>
      <c r="G175" t="str">
        <f>_xlfn.XLOOKUP(D175, Products!$A$2:$A$21, Products!$C$2:$C$21,"not found")</f>
        <v>Audio</v>
      </c>
      <c r="H175" s="4">
        <f>_xlfn.XLOOKUP(D175, Products!$A$2:$A$21, Products!$E$2:$E$21, 0)</f>
        <v>179</v>
      </c>
      <c r="I175" s="4">
        <f>_xlfn.XLOOKUP(D175, Products!$A$2:$A$21, Products!$F$2:$F$21,0)</f>
        <v>95</v>
      </c>
      <c r="J175" t="str">
        <f>_xlfn.XLOOKUP(C175, Stores!$A$2:$A$7, Stores!$D$2:$D$7)</f>
        <v>Sydney North</v>
      </c>
      <c r="K175" s="4">
        <f t="shared" si="4"/>
        <v>179</v>
      </c>
      <c r="L175" s="4">
        <f t="shared" si="5"/>
        <v>84</v>
      </c>
      <c r="M175" s="10">
        <f>IF(Table1[[#This Row],[Revenue]]=0, "", Table1[[#This Row],[Profit]]/Table1[[#This Row],[Revenue]])</f>
        <v>0.46927374301675978</v>
      </c>
      <c r="N175" s="4" t="str">
        <f>IF(Table1[[#This Row],[Margin]]="", "check", IF(Table1[[#This Row],[Margin]]&lt;0.2, "Low", "OK"))</f>
        <v>OK</v>
      </c>
      <c r="O175" s="4" t="str" cm="1">
        <f t="array" ref="O175">_xlfn.IFS(Table1[[#This Row],[Revenue]]=0, "Check", Table1[[#This Row],[Revenue]]&gt;=1000, "Large", Table1[[#This Row],[Revenue]]&gt;=200, "Medium", TRUE, "Small")</f>
        <v>Small</v>
      </c>
      <c r="P175" s="4" t="str">
        <f>IF(AND(Table1[[#This Row],[Margin Flag]]="Low", Table1[[#This Row],[Revenue]]&gt;1000), "Review", "")</f>
        <v/>
      </c>
      <c r="Q175" s="4" t="str">
        <f>IF(OR(Table1[[#This Row],[Qty]]&gt;=5,Table1[[#This Row],[Order Size]] = "Large" ), "Bulk", "")</f>
        <v/>
      </c>
      <c r="R175" s="10">
        <f>_xlfn.XLOOKUP(G175, Lookup!$A$2:$A$7, Lookup!$B$2:$B$7, "")</f>
        <v>0.25</v>
      </c>
      <c r="S175" s="4" t="str">
        <f>IF(Table1[[#This Row],[Margin]]&lt;Table1[[#This Row],[Target Margin]], "Yes", "")</f>
        <v/>
      </c>
    </row>
    <row r="176" spans="1:19">
      <c r="A176" t="s">
        <v>220</v>
      </c>
      <c r="B176" s="2">
        <v>46227</v>
      </c>
      <c r="C176" t="s">
        <v>29</v>
      </c>
      <c r="D176" t="s">
        <v>152</v>
      </c>
      <c r="E176">
        <v>1</v>
      </c>
      <c r="F176" t="str">
        <f>_xlfn.XLOOKUP(D176, Products!$A$2:$A$21, Products!$B$2:$B$21, "Not Found")</f>
        <v>Game Console</v>
      </c>
      <c r="G176" t="str">
        <f>_xlfn.XLOOKUP(D176, Products!$A$2:$A$21, Products!$C$2:$C$21,"not found")</f>
        <v>Gaming</v>
      </c>
      <c r="H176" s="4">
        <f>_xlfn.XLOOKUP(D176, Products!$A$2:$A$21, Products!$E$2:$E$21, 0)</f>
        <v>499</v>
      </c>
      <c r="I176" s="4">
        <f>_xlfn.XLOOKUP(D176, Products!$A$2:$A$21, Products!$F$2:$F$21,0)</f>
        <v>420</v>
      </c>
      <c r="J176" t="str">
        <f>_xlfn.XLOOKUP(C176, Stores!$A$2:$A$7, Stores!$D$2:$D$7)</f>
        <v>Sydney West</v>
      </c>
      <c r="K176" s="4">
        <f t="shared" si="4"/>
        <v>499</v>
      </c>
      <c r="L176" s="4">
        <f t="shared" si="5"/>
        <v>79</v>
      </c>
      <c r="M176" s="10">
        <f>IF(Table1[[#This Row],[Revenue]]=0, "", Table1[[#This Row],[Profit]]/Table1[[#This Row],[Revenue]])</f>
        <v>0.15831663326653306</v>
      </c>
      <c r="N176" s="4" t="str">
        <f>IF(Table1[[#This Row],[Margin]]="", "check", IF(Table1[[#This Row],[Margin]]&lt;0.2, "Low", "OK"))</f>
        <v>Low</v>
      </c>
      <c r="O176" s="4" t="str" cm="1">
        <f t="array" ref="O176">_xlfn.IFS(Table1[[#This Row],[Revenue]]=0, "Check", Table1[[#This Row],[Revenue]]&gt;=1000, "Large", Table1[[#This Row],[Revenue]]&gt;=200, "Medium", TRUE, "Small")</f>
        <v>Medium</v>
      </c>
      <c r="P176" s="4" t="str">
        <f>IF(AND(Table1[[#This Row],[Margin Flag]]="Low", Table1[[#This Row],[Revenue]]&gt;1000), "Review", "")</f>
        <v/>
      </c>
      <c r="Q176" s="4" t="str">
        <f>IF(OR(Table1[[#This Row],[Qty]]&gt;=5,Table1[[#This Row],[Order Size]] = "Large" ), "Bulk", "")</f>
        <v/>
      </c>
      <c r="R176" s="10">
        <f>_xlfn.XLOOKUP(G176, Lookup!$A$2:$A$7, Lookup!$B$2:$B$7, "")</f>
        <v>0.08</v>
      </c>
      <c r="S176" s="4" t="str">
        <f>IF(Table1[[#This Row],[Margin]]&lt;Table1[[#This Row],[Target Margin]], "Yes", "")</f>
        <v/>
      </c>
    </row>
    <row r="177" spans="1:19">
      <c r="A177" t="s">
        <v>221</v>
      </c>
      <c r="B177" s="2">
        <v>46227</v>
      </c>
      <c r="C177" t="s">
        <v>29</v>
      </c>
      <c r="D177" t="s">
        <v>35</v>
      </c>
      <c r="E177">
        <v>3</v>
      </c>
      <c r="F177" t="str">
        <f>_xlfn.XLOOKUP(D177, Products!$A$2:$A$21, Products!$B$2:$B$21, "Not Found")</f>
        <v>Phone Case</v>
      </c>
      <c r="G177" t="str">
        <f>_xlfn.XLOOKUP(D177, Products!$A$2:$A$21, Products!$C$2:$C$21,"not found")</f>
        <v>Accessories</v>
      </c>
      <c r="H177" s="4">
        <f>_xlfn.XLOOKUP(D177, Products!$A$2:$A$21, Products!$E$2:$E$21, 0)</f>
        <v>39</v>
      </c>
      <c r="I177" s="4">
        <f>_xlfn.XLOOKUP(D177, Products!$A$2:$A$21, Products!$F$2:$F$21,0)</f>
        <v>9</v>
      </c>
      <c r="J177" t="str">
        <f>_xlfn.XLOOKUP(C177, Stores!$A$2:$A$7, Stores!$D$2:$D$7)</f>
        <v>Sydney West</v>
      </c>
      <c r="K177" s="4">
        <f t="shared" si="4"/>
        <v>117</v>
      </c>
      <c r="L177" s="4">
        <f t="shared" si="5"/>
        <v>90</v>
      </c>
      <c r="M177" s="10">
        <f>IF(Table1[[#This Row],[Revenue]]=0, "", Table1[[#This Row],[Profit]]/Table1[[#This Row],[Revenue]])</f>
        <v>0.76923076923076927</v>
      </c>
      <c r="N177" s="4" t="str">
        <f>IF(Table1[[#This Row],[Margin]]="", "check", IF(Table1[[#This Row],[Margin]]&lt;0.2, "Low", "OK"))</f>
        <v>OK</v>
      </c>
      <c r="O177" s="4" t="str" cm="1">
        <f t="array" ref="O177">_xlfn.IFS(Table1[[#This Row],[Revenue]]=0, "Check", Table1[[#This Row],[Revenue]]&gt;=1000, "Large", Table1[[#This Row],[Revenue]]&gt;=200, "Medium", TRUE, "Small")</f>
        <v>Small</v>
      </c>
      <c r="P177" s="4" t="str">
        <f>IF(AND(Table1[[#This Row],[Margin Flag]]="Low", Table1[[#This Row],[Revenue]]&gt;1000), "Review", "")</f>
        <v/>
      </c>
      <c r="Q177" s="4" t="str">
        <f>IF(OR(Table1[[#This Row],[Qty]]&gt;=5,Table1[[#This Row],[Order Size]] = "Large" ), "Bulk", "")</f>
        <v/>
      </c>
      <c r="R177" s="10">
        <f>_xlfn.XLOOKUP(G177, Lookup!$A$2:$A$7, Lookup!$B$2:$B$7, "")</f>
        <v>0.25</v>
      </c>
      <c r="S177" s="4" t="str">
        <f>IF(Table1[[#This Row],[Margin]]&lt;Table1[[#This Row],[Target Margin]], "Yes", "")</f>
        <v/>
      </c>
    </row>
    <row r="178" spans="1:19">
      <c r="A178" t="s">
        <v>222</v>
      </c>
      <c r="B178" s="2">
        <v>46227</v>
      </c>
      <c r="C178" t="s">
        <v>26</v>
      </c>
      <c r="D178" t="s">
        <v>35</v>
      </c>
      <c r="E178">
        <v>2</v>
      </c>
      <c r="F178" t="str">
        <f>_xlfn.XLOOKUP(D178, Products!$A$2:$A$21, Products!$B$2:$B$21, "Not Found")</f>
        <v>Phone Case</v>
      </c>
      <c r="G178" t="str">
        <f>_xlfn.XLOOKUP(D178, Products!$A$2:$A$21, Products!$C$2:$C$21,"not found")</f>
        <v>Accessories</v>
      </c>
      <c r="H178" s="4">
        <f>_xlfn.XLOOKUP(D178, Products!$A$2:$A$21, Products!$E$2:$E$21, 0)</f>
        <v>39</v>
      </c>
      <c r="I178" s="4">
        <f>_xlfn.XLOOKUP(D178, Products!$A$2:$A$21, Products!$F$2:$F$21,0)</f>
        <v>9</v>
      </c>
      <c r="J178" t="str">
        <f>_xlfn.XLOOKUP(C178, Stores!$A$2:$A$7, Stores!$D$2:$D$7)</f>
        <v>Sydney North</v>
      </c>
      <c r="K178" s="4">
        <f t="shared" si="4"/>
        <v>78</v>
      </c>
      <c r="L178" s="4">
        <f t="shared" si="5"/>
        <v>60</v>
      </c>
      <c r="M178" s="10">
        <f>IF(Table1[[#This Row],[Revenue]]=0, "", Table1[[#This Row],[Profit]]/Table1[[#This Row],[Revenue]])</f>
        <v>0.76923076923076927</v>
      </c>
      <c r="N178" s="4" t="str">
        <f>IF(Table1[[#This Row],[Margin]]="", "check", IF(Table1[[#This Row],[Margin]]&lt;0.2, "Low", "OK"))</f>
        <v>OK</v>
      </c>
      <c r="O178" s="4" t="str" cm="1">
        <f t="array" ref="O178">_xlfn.IFS(Table1[[#This Row],[Revenue]]=0, "Check", Table1[[#This Row],[Revenue]]&gt;=1000, "Large", Table1[[#This Row],[Revenue]]&gt;=200, "Medium", TRUE, "Small")</f>
        <v>Small</v>
      </c>
      <c r="P178" s="4" t="str">
        <f>IF(AND(Table1[[#This Row],[Margin Flag]]="Low", Table1[[#This Row],[Revenue]]&gt;1000), "Review", "")</f>
        <v/>
      </c>
      <c r="Q178" s="4" t="str">
        <f>IF(OR(Table1[[#This Row],[Qty]]&gt;=5,Table1[[#This Row],[Order Size]] = "Large" ), "Bulk", "")</f>
        <v/>
      </c>
      <c r="R178" s="10">
        <f>_xlfn.XLOOKUP(G178, Lookup!$A$2:$A$7, Lookup!$B$2:$B$7, "")</f>
        <v>0.25</v>
      </c>
      <c r="S178" s="4" t="str">
        <f>IF(Table1[[#This Row],[Margin]]&lt;Table1[[#This Row],[Target Margin]], "Yes", "")</f>
        <v/>
      </c>
    </row>
    <row r="179" spans="1:19">
      <c r="A179" t="s">
        <v>223</v>
      </c>
      <c r="B179" s="2">
        <v>46227</v>
      </c>
      <c r="C179" t="s">
        <v>32</v>
      </c>
      <c r="D179" t="s">
        <v>35</v>
      </c>
      <c r="E179">
        <v>1</v>
      </c>
      <c r="F179" t="str">
        <f>_xlfn.XLOOKUP(D179, Products!$A$2:$A$21, Products!$B$2:$B$21, "Not Found")</f>
        <v>Phone Case</v>
      </c>
      <c r="G179" t="str">
        <f>_xlfn.XLOOKUP(D179, Products!$A$2:$A$21, Products!$C$2:$C$21,"not found")</f>
        <v>Accessories</v>
      </c>
      <c r="H179" s="4">
        <f>_xlfn.XLOOKUP(D179, Products!$A$2:$A$21, Products!$E$2:$E$21, 0)</f>
        <v>39</v>
      </c>
      <c r="I179" s="4">
        <f>_xlfn.XLOOKUP(D179, Products!$A$2:$A$21, Products!$F$2:$F$21,0)</f>
        <v>9</v>
      </c>
      <c r="J179" t="str">
        <f>_xlfn.XLOOKUP(C179, Stores!$A$2:$A$7, Stores!$D$2:$D$7)</f>
        <v>Sydney South</v>
      </c>
      <c r="K179" s="4">
        <f t="shared" si="4"/>
        <v>39</v>
      </c>
      <c r="L179" s="4">
        <f t="shared" si="5"/>
        <v>30</v>
      </c>
      <c r="M179" s="10">
        <f>IF(Table1[[#This Row],[Revenue]]=0, "", Table1[[#This Row],[Profit]]/Table1[[#This Row],[Revenue]])</f>
        <v>0.76923076923076927</v>
      </c>
      <c r="N179" s="4" t="str">
        <f>IF(Table1[[#This Row],[Margin]]="", "check", IF(Table1[[#This Row],[Margin]]&lt;0.2, "Low", "OK"))</f>
        <v>OK</v>
      </c>
      <c r="O179" s="4" t="str" cm="1">
        <f t="array" ref="O179">_xlfn.IFS(Table1[[#This Row],[Revenue]]=0, "Check", Table1[[#This Row],[Revenue]]&gt;=1000, "Large", Table1[[#This Row],[Revenue]]&gt;=200, "Medium", TRUE, "Small")</f>
        <v>Small</v>
      </c>
      <c r="P179" s="4" t="str">
        <f>IF(AND(Table1[[#This Row],[Margin Flag]]="Low", Table1[[#This Row],[Revenue]]&gt;1000), "Review", "")</f>
        <v/>
      </c>
      <c r="Q179" s="4" t="str">
        <f>IF(OR(Table1[[#This Row],[Qty]]&gt;=5,Table1[[#This Row],[Order Size]] = "Large" ), "Bulk", "")</f>
        <v/>
      </c>
      <c r="R179" s="10">
        <f>_xlfn.XLOOKUP(G179, Lookup!$A$2:$A$7, Lookup!$B$2:$B$7, "")</f>
        <v>0.25</v>
      </c>
      <c r="S179" s="4" t="str">
        <f>IF(Table1[[#This Row],[Margin]]&lt;Table1[[#This Row],[Target Margin]], "Yes", "")</f>
        <v/>
      </c>
    </row>
    <row r="180" spans="1:19">
      <c r="A180" t="s">
        <v>224</v>
      </c>
      <c r="B180" s="2">
        <v>46227</v>
      </c>
      <c r="C180" t="s">
        <v>57</v>
      </c>
      <c r="D180" t="s">
        <v>50</v>
      </c>
      <c r="E180">
        <v>1</v>
      </c>
      <c r="F180" t="str">
        <f>_xlfn.XLOOKUP(D180, Products!$A$2:$A$21, Products!$B$2:$B$21, "Not Found")</f>
        <v>Smartphone 128GB</v>
      </c>
      <c r="G180" t="str">
        <f>_xlfn.XLOOKUP(D180, Products!$A$2:$A$21, Products!$C$2:$C$21,"not found")</f>
        <v>Phones</v>
      </c>
      <c r="H180" s="4">
        <f>_xlfn.XLOOKUP(D180, Products!$A$2:$A$21, Products!$E$2:$E$21, 0)</f>
        <v>1099</v>
      </c>
      <c r="I180" s="4">
        <f>_xlfn.XLOOKUP(D180, Products!$A$2:$A$21, Products!$F$2:$F$21,0)</f>
        <v>860</v>
      </c>
      <c r="J180" t="str">
        <f>_xlfn.XLOOKUP(C180, Stores!$A$2:$A$7, Stores!$D$2:$D$7)</f>
        <v>Sydney South</v>
      </c>
      <c r="K180" s="4">
        <f t="shared" si="4"/>
        <v>1099</v>
      </c>
      <c r="L180" s="4">
        <f t="shared" si="5"/>
        <v>239</v>
      </c>
      <c r="M180" s="10">
        <f>IF(Table1[[#This Row],[Revenue]]=0, "", Table1[[#This Row],[Profit]]/Table1[[#This Row],[Revenue]])</f>
        <v>0.21747042766151045</v>
      </c>
      <c r="N180" s="4" t="str">
        <f>IF(Table1[[#This Row],[Margin]]="", "check", IF(Table1[[#This Row],[Margin]]&lt;0.2, "Low", "OK"))</f>
        <v>OK</v>
      </c>
      <c r="O180" s="4" t="str" cm="1">
        <f t="array" ref="O180">_xlfn.IFS(Table1[[#This Row],[Revenue]]=0, "Check", Table1[[#This Row],[Revenue]]&gt;=1000, "Large", Table1[[#This Row],[Revenue]]&gt;=200, "Medium", TRUE, "Small")</f>
        <v>Large</v>
      </c>
      <c r="P180" s="4" t="str">
        <f>IF(AND(Table1[[#This Row],[Margin Flag]]="Low", Table1[[#This Row],[Revenue]]&gt;1000), "Review", "")</f>
        <v/>
      </c>
      <c r="Q180" s="4" t="str">
        <f>IF(OR(Table1[[#This Row],[Qty]]&gt;=5,Table1[[#This Row],[Order Size]] = "Large" ), "Bulk", "")</f>
        <v>Bulk</v>
      </c>
      <c r="R180" s="10">
        <f>_xlfn.XLOOKUP(G180, Lookup!$A$2:$A$7, Lookup!$B$2:$B$7, "")</f>
        <v>0.25</v>
      </c>
      <c r="S180" s="4" t="str">
        <f>IF(Table1[[#This Row],[Margin]]&lt;Table1[[#This Row],[Target Margin]], "Yes", "")</f>
        <v>Yes</v>
      </c>
    </row>
    <row r="181" spans="1:19">
      <c r="A181" t="s">
        <v>225</v>
      </c>
      <c r="B181" s="2">
        <v>46227</v>
      </c>
      <c r="C181" t="s">
        <v>57</v>
      </c>
      <c r="D181" t="s">
        <v>54</v>
      </c>
      <c r="E181">
        <v>1</v>
      </c>
      <c r="F181" t="str">
        <f>_xlfn.XLOOKUP(D181, Products!$A$2:$A$21, Products!$B$2:$B$21, "Not Found")</f>
        <v>Tablet 11in</v>
      </c>
      <c r="G181" t="str">
        <f>_xlfn.XLOOKUP(D181, Products!$A$2:$A$21, Products!$C$2:$C$21,"not found")</f>
        <v>Computers</v>
      </c>
      <c r="H181" s="4">
        <f>_xlfn.XLOOKUP(D181, Products!$A$2:$A$21, Products!$E$2:$E$21, 0)</f>
        <v>899</v>
      </c>
      <c r="I181" s="4">
        <f>_xlfn.XLOOKUP(D181, Products!$A$2:$A$21, Products!$F$2:$F$21,0)</f>
        <v>690</v>
      </c>
      <c r="J181" t="str">
        <f>_xlfn.XLOOKUP(C181, Stores!$A$2:$A$7, Stores!$D$2:$D$7)</f>
        <v>Sydney South</v>
      </c>
      <c r="K181" s="4">
        <f t="shared" si="4"/>
        <v>899</v>
      </c>
      <c r="L181" s="4">
        <f t="shared" si="5"/>
        <v>209</v>
      </c>
      <c r="M181" s="10">
        <f>IF(Table1[[#This Row],[Revenue]]=0, "", Table1[[#This Row],[Profit]]/Table1[[#This Row],[Revenue]])</f>
        <v>0.2324805339265851</v>
      </c>
      <c r="N181" s="4" t="str">
        <f>IF(Table1[[#This Row],[Margin]]="", "check", IF(Table1[[#This Row],[Margin]]&lt;0.2, "Low", "OK"))</f>
        <v>OK</v>
      </c>
      <c r="O181" s="4" t="str" cm="1">
        <f t="array" ref="O181">_xlfn.IFS(Table1[[#This Row],[Revenue]]=0, "Check", Table1[[#This Row],[Revenue]]&gt;=1000, "Large", Table1[[#This Row],[Revenue]]&gt;=200, "Medium", TRUE, "Small")</f>
        <v>Medium</v>
      </c>
      <c r="P181" s="4" t="str">
        <f>IF(AND(Table1[[#This Row],[Margin Flag]]="Low", Table1[[#This Row],[Revenue]]&gt;1000), "Review", "")</f>
        <v/>
      </c>
      <c r="Q181" s="4" t="str">
        <f>IF(OR(Table1[[#This Row],[Qty]]&gt;=5,Table1[[#This Row],[Order Size]] = "Large" ), "Bulk", "")</f>
        <v/>
      </c>
      <c r="R181" s="10">
        <f>_xlfn.XLOOKUP(G181, Lookup!$A$2:$A$7, Lookup!$B$2:$B$7, "")</f>
        <v>0.25</v>
      </c>
      <c r="S181" s="4" t="str">
        <f>IF(Table1[[#This Row],[Margin]]&lt;Table1[[#This Row],[Target Margin]], "Yes", "")</f>
        <v>Yes</v>
      </c>
    </row>
    <row r="182" spans="1:19">
      <c r="A182" t="s">
        <v>226</v>
      </c>
      <c r="B182" s="2">
        <v>46228</v>
      </c>
      <c r="C182" t="s">
        <v>20</v>
      </c>
      <c r="D182" t="s">
        <v>43</v>
      </c>
      <c r="E182">
        <v>1</v>
      </c>
      <c r="F182" t="str">
        <f>_xlfn.XLOOKUP(D182, Products!$A$2:$A$21, Products!$B$2:$B$21, "Not Found")</f>
        <v>Console Controller</v>
      </c>
      <c r="G182" t="str">
        <f>_xlfn.XLOOKUP(D182, Products!$A$2:$A$21, Products!$C$2:$C$21,"not found")</f>
        <v>Gaming</v>
      </c>
      <c r="H182" s="4">
        <f>_xlfn.XLOOKUP(D182, Products!$A$2:$A$21, Products!$E$2:$E$21, 0)</f>
        <v>99</v>
      </c>
      <c r="I182" s="4">
        <f>_xlfn.XLOOKUP(D182, Products!$A$2:$A$21, Products!$F$2:$F$21,0)</f>
        <v>58</v>
      </c>
      <c r="J182" t="str">
        <f>_xlfn.XLOOKUP(C182, Stores!$A$2:$A$7, Stores!$D$2:$D$7)</f>
        <v>Sydney West</v>
      </c>
      <c r="K182" s="4">
        <f t="shared" si="4"/>
        <v>99</v>
      </c>
      <c r="L182" s="4">
        <f t="shared" si="5"/>
        <v>41</v>
      </c>
      <c r="M182" s="10">
        <f>IF(Table1[[#This Row],[Revenue]]=0, "", Table1[[#This Row],[Profit]]/Table1[[#This Row],[Revenue]])</f>
        <v>0.41414141414141414</v>
      </c>
      <c r="N182" s="4" t="str">
        <f>IF(Table1[[#This Row],[Margin]]="", "check", IF(Table1[[#This Row],[Margin]]&lt;0.2, "Low", "OK"))</f>
        <v>OK</v>
      </c>
      <c r="O182" s="4" t="str" cm="1">
        <f t="array" ref="O182">_xlfn.IFS(Table1[[#This Row],[Revenue]]=0, "Check", Table1[[#This Row],[Revenue]]&gt;=1000, "Large", Table1[[#This Row],[Revenue]]&gt;=200, "Medium", TRUE, "Small")</f>
        <v>Small</v>
      </c>
      <c r="P182" s="4" t="str">
        <f>IF(AND(Table1[[#This Row],[Margin Flag]]="Low", Table1[[#This Row],[Revenue]]&gt;1000), "Review", "")</f>
        <v/>
      </c>
      <c r="Q182" s="4" t="str">
        <f>IF(OR(Table1[[#This Row],[Qty]]&gt;=5,Table1[[#This Row],[Order Size]] = "Large" ), "Bulk", "")</f>
        <v/>
      </c>
      <c r="R182" s="10">
        <f>_xlfn.XLOOKUP(G182, Lookup!$A$2:$A$7, Lookup!$B$2:$B$7, "")</f>
        <v>0.08</v>
      </c>
      <c r="S182" s="4" t="str">
        <f>IF(Table1[[#This Row],[Margin]]&lt;Table1[[#This Row],[Target Margin]], "Yes", "")</f>
        <v/>
      </c>
    </row>
    <row r="183" spans="1:19">
      <c r="A183" t="s">
        <v>227</v>
      </c>
      <c r="B183" s="2">
        <v>46228</v>
      </c>
      <c r="C183" t="s">
        <v>29</v>
      </c>
      <c r="D183" t="s">
        <v>38</v>
      </c>
      <c r="E183">
        <v>1</v>
      </c>
      <c r="F183" t="str">
        <f>_xlfn.XLOOKUP(D183, Products!$A$2:$A$21, Products!$B$2:$B$21, "Not Found")</f>
        <v>USB-C Charger</v>
      </c>
      <c r="G183" t="str">
        <f>_xlfn.XLOOKUP(D183, Products!$A$2:$A$21, Products!$C$2:$C$21,"not found")</f>
        <v>Accessories</v>
      </c>
      <c r="H183" s="4">
        <f>_xlfn.XLOOKUP(D183, Products!$A$2:$A$21, Products!$E$2:$E$21, 0)</f>
        <v>49</v>
      </c>
      <c r="I183" s="4">
        <f>_xlfn.XLOOKUP(D183, Products!$A$2:$A$21, Products!$F$2:$F$21,0)</f>
        <v>14</v>
      </c>
      <c r="J183" t="str">
        <f>_xlfn.XLOOKUP(C183, Stores!$A$2:$A$7, Stores!$D$2:$D$7)</f>
        <v>Sydney West</v>
      </c>
      <c r="K183" s="4">
        <f t="shared" si="4"/>
        <v>49</v>
      </c>
      <c r="L183" s="4">
        <f t="shared" si="5"/>
        <v>35</v>
      </c>
      <c r="M183" s="10">
        <f>IF(Table1[[#This Row],[Revenue]]=0, "", Table1[[#This Row],[Profit]]/Table1[[#This Row],[Revenue]])</f>
        <v>0.7142857142857143</v>
      </c>
      <c r="N183" s="4" t="str">
        <f>IF(Table1[[#This Row],[Margin]]="", "check", IF(Table1[[#This Row],[Margin]]&lt;0.2, "Low", "OK"))</f>
        <v>OK</v>
      </c>
      <c r="O183" s="4" t="str" cm="1">
        <f t="array" ref="O183">_xlfn.IFS(Table1[[#This Row],[Revenue]]=0, "Check", Table1[[#This Row],[Revenue]]&gt;=1000, "Large", Table1[[#This Row],[Revenue]]&gt;=200, "Medium", TRUE, "Small")</f>
        <v>Small</v>
      </c>
      <c r="P183" s="4" t="str">
        <f>IF(AND(Table1[[#This Row],[Margin Flag]]="Low", Table1[[#This Row],[Revenue]]&gt;1000), "Review", "")</f>
        <v/>
      </c>
      <c r="Q183" s="4" t="str">
        <f>IF(OR(Table1[[#This Row],[Qty]]&gt;=5,Table1[[#This Row],[Order Size]] = "Large" ), "Bulk", "")</f>
        <v/>
      </c>
      <c r="R183" s="10">
        <f>_xlfn.XLOOKUP(G183, Lookup!$A$2:$A$7, Lookup!$B$2:$B$7, "")</f>
        <v>0.25</v>
      </c>
      <c r="S183" s="4" t="str">
        <f>IF(Table1[[#This Row],[Margin]]&lt;Table1[[#This Row],[Target Margin]], "Yes", "")</f>
        <v/>
      </c>
    </row>
    <row r="184" spans="1:19">
      <c r="A184" t="s">
        <v>228</v>
      </c>
      <c r="B184" s="2">
        <v>46228</v>
      </c>
      <c r="C184" t="s">
        <v>23</v>
      </c>
      <c r="D184" t="s">
        <v>54</v>
      </c>
      <c r="E184">
        <v>1</v>
      </c>
      <c r="F184" t="str">
        <f>_xlfn.XLOOKUP(D184, Products!$A$2:$A$21, Products!$B$2:$B$21, "Not Found")</f>
        <v>Tablet 11in</v>
      </c>
      <c r="G184" t="str">
        <f>_xlfn.XLOOKUP(D184, Products!$A$2:$A$21, Products!$C$2:$C$21,"not found")</f>
        <v>Computers</v>
      </c>
      <c r="H184" s="4">
        <f>_xlfn.XLOOKUP(D184, Products!$A$2:$A$21, Products!$E$2:$E$21, 0)</f>
        <v>899</v>
      </c>
      <c r="I184" s="4">
        <f>_xlfn.XLOOKUP(D184, Products!$A$2:$A$21, Products!$F$2:$F$21,0)</f>
        <v>690</v>
      </c>
      <c r="J184" t="str">
        <f>_xlfn.XLOOKUP(C184, Stores!$A$2:$A$7, Stores!$D$2:$D$7)</f>
        <v>Sydney East</v>
      </c>
      <c r="K184" s="4">
        <f t="shared" si="4"/>
        <v>899</v>
      </c>
      <c r="L184" s="4">
        <f t="shared" si="5"/>
        <v>209</v>
      </c>
      <c r="M184" s="10">
        <f>IF(Table1[[#This Row],[Revenue]]=0, "", Table1[[#This Row],[Profit]]/Table1[[#This Row],[Revenue]])</f>
        <v>0.2324805339265851</v>
      </c>
      <c r="N184" s="4" t="str">
        <f>IF(Table1[[#This Row],[Margin]]="", "check", IF(Table1[[#This Row],[Margin]]&lt;0.2, "Low", "OK"))</f>
        <v>OK</v>
      </c>
      <c r="O184" s="4" t="str" cm="1">
        <f t="array" ref="O184">_xlfn.IFS(Table1[[#This Row],[Revenue]]=0, "Check", Table1[[#This Row],[Revenue]]&gt;=1000, "Large", Table1[[#This Row],[Revenue]]&gt;=200, "Medium", TRUE, "Small")</f>
        <v>Medium</v>
      </c>
      <c r="P184" s="4" t="str">
        <f>IF(AND(Table1[[#This Row],[Margin Flag]]="Low", Table1[[#This Row],[Revenue]]&gt;1000), "Review", "")</f>
        <v/>
      </c>
      <c r="Q184" s="4" t="str">
        <f>IF(OR(Table1[[#This Row],[Qty]]&gt;=5,Table1[[#This Row],[Order Size]] = "Large" ), "Bulk", "")</f>
        <v/>
      </c>
      <c r="R184" s="10">
        <f>_xlfn.XLOOKUP(G184, Lookup!$A$2:$A$7, Lookup!$B$2:$B$7, "")</f>
        <v>0.25</v>
      </c>
      <c r="S184" s="4" t="str">
        <f>IF(Table1[[#This Row],[Margin]]&lt;Table1[[#This Row],[Target Margin]], "Yes", "")</f>
        <v>Yes</v>
      </c>
    </row>
    <row r="185" spans="1:19" hidden="1">
      <c r="A185" t="s">
        <v>229</v>
      </c>
      <c r="B185" s="2">
        <v>46228</v>
      </c>
      <c r="C185" t="s">
        <v>20</v>
      </c>
      <c r="D185" t="s">
        <v>230</v>
      </c>
      <c r="E185">
        <v>2</v>
      </c>
      <c r="F185" t="str">
        <f>_xlfn.XLOOKUP(D185, Products!$A$2:$A$21, Products!$B$2:$B$21, "Not Found")</f>
        <v>Not Found</v>
      </c>
      <c r="G185" t="str">
        <f>_xlfn.XLOOKUP(D185, Products!$A$2:$A$21, Products!$C$2:$C$21,"not found")</f>
        <v>not found</v>
      </c>
      <c r="H185" s="4">
        <f>_xlfn.XLOOKUP(D185, Products!$A$2:$A$21, Products!$E$2:$E$21, 0)</f>
        <v>0</v>
      </c>
      <c r="I185" s="4">
        <f>_xlfn.XLOOKUP(D185, Products!$A$2:$A$21, Products!$F$2:$F$21,0)</f>
        <v>0</v>
      </c>
      <c r="J185" t="str">
        <f>_xlfn.XLOOKUP(C185, Stores!$A$2:$A$7, Stores!$D$2:$D$7)</f>
        <v>Sydney West</v>
      </c>
      <c r="K185" s="4">
        <f t="shared" si="4"/>
        <v>0</v>
      </c>
      <c r="L185" s="4">
        <f t="shared" si="5"/>
        <v>0</v>
      </c>
      <c r="M185" t="str">
        <f>IF(Table1[[#This Row],[Revenue]]=0, "", Table1[[#This Row],[Profit]]/Table1[[#This Row],[Revenue]])</f>
        <v/>
      </c>
      <c r="N185" s="4" t="str">
        <f>IF(Table1[[#This Row],[Margin]]="", "check", IF(Table1[[#This Row],[Margin]]&lt;0.2, "Low", "OK"))</f>
        <v>check</v>
      </c>
      <c r="O185" s="4" t="str" cm="1">
        <f t="array" ref="O185">_xlfn.IFS(Table1[[#This Row],[Revenue]]=0, "Check", Table1[[#This Row],[Revenue]]&gt;=1000, "Large", Table1[[#This Row],[Revenue]]&gt;=200, "Medium", TRUE, "Small")</f>
        <v>Check</v>
      </c>
      <c r="P185" s="4" t="str">
        <f>IF(AND(Table1[[#This Row],[Margin Flag]]="Low", Table1[[#This Row],[Revenue]]&gt;1000), "Review", "")</f>
        <v/>
      </c>
      <c r="Q185" s="4" t="str">
        <f>IF(OR(Table1[[#This Row],[Qty]]&gt;=5,Table1[[#This Row],[Order Size]] = "Large" ), "Bulk", "")</f>
        <v/>
      </c>
      <c r="R185" s="4" t="str">
        <f>_xlfn.XLOOKUP(G185, Lookup!$A$2:$A$7, Lookup!$B$2:$B$7, "")</f>
        <v/>
      </c>
      <c r="S185" s="4" t="str">
        <f>IF(Table1[[#This Row],[Margin]]&lt;Table1[[#This Row],[Target Margin]], "Yes", "")</f>
        <v/>
      </c>
    </row>
    <row r="186" spans="1:19">
      <c r="A186" t="s">
        <v>231</v>
      </c>
      <c r="B186" s="2">
        <v>46228</v>
      </c>
      <c r="C186" t="s">
        <v>20</v>
      </c>
      <c r="D186" t="s">
        <v>35</v>
      </c>
      <c r="E186">
        <v>2</v>
      </c>
      <c r="F186" t="str">
        <f>_xlfn.XLOOKUP(D186, Products!$A$2:$A$21, Products!$B$2:$B$21, "Not Found")</f>
        <v>Phone Case</v>
      </c>
      <c r="G186" t="str">
        <f>_xlfn.XLOOKUP(D186, Products!$A$2:$A$21, Products!$C$2:$C$21,"not found")</f>
        <v>Accessories</v>
      </c>
      <c r="H186" s="4">
        <f>_xlfn.XLOOKUP(D186, Products!$A$2:$A$21, Products!$E$2:$E$21, 0)</f>
        <v>39</v>
      </c>
      <c r="I186" s="4">
        <f>_xlfn.XLOOKUP(D186, Products!$A$2:$A$21, Products!$F$2:$F$21,0)</f>
        <v>9</v>
      </c>
      <c r="J186" t="str">
        <f>_xlfn.XLOOKUP(C186, Stores!$A$2:$A$7, Stores!$D$2:$D$7)</f>
        <v>Sydney West</v>
      </c>
      <c r="K186" s="4">
        <f t="shared" si="4"/>
        <v>78</v>
      </c>
      <c r="L186" s="4">
        <f t="shared" si="5"/>
        <v>60</v>
      </c>
      <c r="M186" s="10">
        <f>IF(Table1[[#This Row],[Revenue]]=0, "", Table1[[#This Row],[Profit]]/Table1[[#This Row],[Revenue]])</f>
        <v>0.76923076923076927</v>
      </c>
      <c r="N186" s="4" t="str">
        <f>IF(Table1[[#This Row],[Margin]]="", "check", IF(Table1[[#This Row],[Margin]]&lt;0.2, "Low", "OK"))</f>
        <v>OK</v>
      </c>
      <c r="O186" s="4" t="str" cm="1">
        <f t="array" ref="O186">_xlfn.IFS(Table1[[#This Row],[Revenue]]=0, "Check", Table1[[#This Row],[Revenue]]&gt;=1000, "Large", Table1[[#This Row],[Revenue]]&gt;=200, "Medium", TRUE, "Small")</f>
        <v>Small</v>
      </c>
      <c r="P186" s="4" t="str">
        <f>IF(AND(Table1[[#This Row],[Margin Flag]]="Low", Table1[[#This Row],[Revenue]]&gt;1000), "Review", "")</f>
        <v/>
      </c>
      <c r="Q186" s="4" t="str">
        <f>IF(OR(Table1[[#This Row],[Qty]]&gt;=5,Table1[[#This Row],[Order Size]] = "Large" ), "Bulk", "")</f>
        <v/>
      </c>
      <c r="R186" s="10">
        <f>_xlfn.XLOOKUP(G186, Lookup!$A$2:$A$7, Lookup!$B$2:$B$7, "")</f>
        <v>0.25</v>
      </c>
      <c r="S186" s="4" t="str">
        <f>IF(Table1[[#This Row],[Margin]]&lt;Table1[[#This Row],[Target Margin]], "Yes", "")</f>
        <v/>
      </c>
    </row>
    <row r="187" spans="1:19">
      <c r="A187" t="s">
        <v>232</v>
      </c>
      <c r="B187" s="2">
        <v>46228</v>
      </c>
      <c r="C187" t="s">
        <v>32</v>
      </c>
      <c r="D187" t="s">
        <v>54</v>
      </c>
      <c r="E187">
        <v>1</v>
      </c>
      <c r="F187" t="str">
        <f>_xlfn.XLOOKUP(D187, Products!$A$2:$A$21, Products!$B$2:$B$21, "Not Found")</f>
        <v>Tablet 11in</v>
      </c>
      <c r="G187" t="str">
        <f>_xlfn.XLOOKUP(D187, Products!$A$2:$A$21, Products!$C$2:$C$21,"not found")</f>
        <v>Computers</v>
      </c>
      <c r="H187" s="4">
        <f>_xlfn.XLOOKUP(D187, Products!$A$2:$A$21, Products!$E$2:$E$21, 0)</f>
        <v>899</v>
      </c>
      <c r="I187" s="4">
        <f>_xlfn.XLOOKUP(D187, Products!$A$2:$A$21, Products!$F$2:$F$21,0)</f>
        <v>690</v>
      </c>
      <c r="J187" t="str">
        <f>_xlfn.XLOOKUP(C187, Stores!$A$2:$A$7, Stores!$D$2:$D$7)</f>
        <v>Sydney South</v>
      </c>
      <c r="K187" s="4">
        <f t="shared" si="4"/>
        <v>899</v>
      </c>
      <c r="L187" s="4">
        <f t="shared" si="5"/>
        <v>209</v>
      </c>
      <c r="M187" s="10">
        <f>IF(Table1[[#This Row],[Revenue]]=0, "", Table1[[#This Row],[Profit]]/Table1[[#This Row],[Revenue]])</f>
        <v>0.2324805339265851</v>
      </c>
      <c r="N187" s="4" t="str">
        <f>IF(Table1[[#This Row],[Margin]]="", "check", IF(Table1[[#This Row],[Margin]]&lt;0.2, "Low", "OK"))</f>
        <v>OK</v>
      </c>
      <c r="O187" s="4" t="str" cm="1">
        <f t="array" ref="O187">_xlfn.IFS(Table1[[#This Row],[Revenue]]=0, "Check", Table1[[#This Row],[Revenue]]&gt;=1000, "Large", Table1[[#This Row],[Revenue]]&gt;=200, "Medium", TRUE, "Small")</f>
        <v>Medium</v>
      </c>
      <c r="P187" s="4" t="str">
        <f>IF(AND(Table1[[#This Row],[Margin Flag]]="Low", Table1[[#This Row],[Revenue]]&gt;1000), "Review", "")</f>
        <v/>
      </c>
      <c r="Q187" s="4" t="str">
        <f>IF(OR(Table1[[#This Row],[Qty]]&gt;=5,Table1[[#This Row],[Order Size]] = "Large" ), "Bulk", "")</f>
        <v/>
      </c>
      <c r="R187" s="10">
        <f>_xlfn.XLOOKUP(G187, Lookup!$A$2:$A$7, Lookup!$B$2:$B$7, "")</f>
        <v>0.25</v>
      </c>
      <c r="S187" s="4" t="str">
        <f>IF(Table1[[#This Row],[Margin]]&lt;Table1[[#This Row],[Target Margin]], "Yes", "")</f>
        <v>Yes</v>
      </c>
    </row>
    <row r="188" spans="1:19">
      <c r="A188" t="s">
        <v>233</v>
      </c>
      <c r="B188" s="2">
        <v>46228</v>
      </c>
      <c r="C188" t="s">
        <v>57</v>
      </c>
      <c r="D188" t="s">
        <v>43</v>
      </c>
      <c r="E188">
        <v>2</v>
      </c>
      <c r="F188" t="str">
        <f>_xlfn.XLOOKUP(D188, Products!$A$2:$A$21, Products!$B$2:$B$21, "Not Found")</f>
        <v>Console Controller</v>
      </c>
      <c r="G188" t="str">
        <f>_xlfn.XLOOKUP(D188, Products!$A$2:$A$21, Products!$C$2:$C$21,"not found")</f>
        <v>Gaming</v>
      </c>
      <c r="H188" s="4">
        <f>_xlfn.XLOOKUP(D188, Products!$A$2:$A$21, Products!$E$2:$E$21, 0)</f>
        <v>99</v>
      </c>
      <c r="I188" s="4">
        <f>_xlfn.XLOOKUP(D188, Products!$A$2:$A$21, Products!$F$2:$F$21,0)</f>
        <v>58</v>
      </c>
      <c r="J188" t="str">
        <f>_xlfn.XLOOKUP(C188, Stores!$A$2:$A$7, Stores!$D$2:$D$7)</f>
        <v>Sydney South</v>
      </c>
      <c r="K188" s="4">
        <f t="shared" si="4"/>
        <v>198</v>
      </c>
      <c r="L188" s="4">
        <f t="shared" si="5"/>
        <v>82</v>
      </c>
      <c r="M188" s="10">
        <f>IF(Table1[[#This Row],[Revenue]]=0, "", Table1[[#This Row],[Profit]]/Table1[[#This Row],[Revenue]])</f>
        <v>0.41414141414141414</v>
      </c>
      <c r="N188" s="4" t="str">
        <f>IF(Table1[[#This Row],[Margin]]="", "check", IF(Table1[[#This Row],[Margin]]&lt;0.2, "Low", "OK"))</f>
        <v>OK</v>
      </c>
      <c r="O188" s="4" t="str" cm="1">
        <f t="array" ref="O188">_xlfn.IFS(Table1[[#This Row],[Revenue]]=0, "Check", Table1[[#This Row],[Revenue]]&gt;=1000, "Large", Table1[[#This Row],[Revenue]]&gt;=200, "Medium", TRUE, "Small")</f>
        <v>Small</v>
      </c>
      <c r="P188" s="4" t="str">
        <f>IF(AND(Table1[[#This Row],[Margin Flag]]="Low", Table1[[#This Row],[Revenue]]&gt;1000), "Review", "")</f>
        <v/>
      </c>
      <c r="Q188" s="4" t="str">
        <f>IF(OR(Table1[[#This Row],[Qty]]&gt;=5,Table1[[#This Row],[Order Size]] = "Large" ), "Bulk", "")</f>
        <v/>
      </c>
      <c r="R188" s="10">
        <f>_xlfn.XLOOKUP(G188, Lookup!$A$2:$A$7, Lookup!$B$2:$B$7, "")</f>
        <v>0.08</v>
      </c>
      <c r="S188" s="4" t="str">
        <f>IF(Table1[[#This Row],[Margin]]&lt;Table1[[#This Row],[Target Margin]], "Yes", "")</f>
        <v/>
      </c>
    </row>
    <row r="189" spans="1:19">
      <c r="A189" t="s">
        <v>234</v>
      </c>
      <c r="B189" s="2">
        <v>46229</v>
      </c>
      <c r="C189" t="s">
        <v>20</v>
      </c>
      <c r="D189" t="s">
        <v>27</v>
      </c>
      <c r="E189">
        <v>1</v>
      </c>
      <c r="F189" t="str">
        <f>_xlfn.XLOOKUP(D189, Products!$A$2:$A$21, Products!$B$2:$B$21, "Not Found")</f>
        <v>Bluetooth Speaker</v>
      </c>
      <c r="G189" t="str">
        <f>_xlfn.XLOOKUP(D189, Products!$A$2:$A$21, Products!$C$2:$C$21,"not found")</f>
        <v>Audio</v>
      </c>
      <c r="H189" s="4">
        <f>_xlfn.XLOOKUP(D189, Products!$A$2:$A$21, Products!$E$2:$E$21, 0)</f>
        <v>179</v>
      </c>
      <c r="I189" s="4">
        <f>_xlfn.XLOOKUP(D189, Products!$A$2:$A$21, Products!$F$2:$F$21,0)</f>
        <v>95</v>
      </c>
      <c r="J189" t="str">
        <f>_xlfn.XLOOKUP(C189, Stores!$A$2:$A$7, Stores!$D$2:$D$7)</f>
        <v>Sydney West</v>
      </c>
      <c r="K189" s="4">
        <f t="shared" si="4"/>
        <v>179</v>
      </c>
      <c r="L189" s="4">
        <f t="shared" si="5"/>
        <v>84</v>
      </c>
      <c r="M189" s="10">
        <f>IF(Table1[[#This Row],[Revenue]]=0, "", Table1[[#This Row],[Profit]]/Table1[[#This Row],[Revenue]])</f>
        <v>0.46927374301675978</v>
      </c>
      <c r="N189" s="4" t="str">
        <f>IF(Table1[[#This Row],[Margin]]="", "check", IF(Table1[[#This Row],[Margin]]&lt;0.2, "Low", "OK"))</f>
        <v>OK</v>
      </c>
      <c r="O189" s="4" t="str" cm="1">
        <f t="array" ref="O189">_xlfn.IFS(Table1[[#This Row],[Revenue]]=0, "Check", Table1[[#This Row],[Revenue]]&gt;=1000, "Large", Table1[[#This Row],[Revenue]]&gt;=200, "Medium", TRUE, "Small")</f>
        <v>Small</v>
      </c>
      <c r="P189" s="4" t="str">
        <f>IF(AND(Table1[[#This Row],[Margin Flag]]="Low", Table1[[#This Row],[Revenue]]&gt;1000), "Review", "")</f>
        <v/>
      </c>
      <c r="Q189" s="4" t="str">
        <f>IF(OR(Table1[[#This Row],[Qty]]&gt;=5,Table1[[#This Row],[Order Size]] = "Large" ), "Bulk", "")</f>
        <v/>
      </c>
      <c r="R189" s="10">
        <f>_xlfn.XLOOKUP(G189, Lookup!$A$2:$A$7, Lookup!$B$2:$B$7, "")</f>
        <v>0.25</v>
      </c>
      <c r="S189" s="4" t="str">
        <f>IF(Table1[[#This Row],[Margin]]&lt;Table1[[#This Row],[Target Margin]], "Yes", "")</f>
        <v/>
      </c>
    </row>
    <row r="190" spans="1:19">
      <c r="A190" t="s">
        <v>235</v>
      </c>
      <c r="B190" s="2">
        <v>46229</v>
      </c>
      <c r="C190" t="s">
        <v>23</v>
      </c>
      <c r="D190" t="s">
        <v>21</v>
      </c>
      <c r="E190">
        <v>1</v>
      </c>
      <c r="F190" t="str">
        <f>_xlfn.XLOOKUP(D190, Products!$A$2:$A$21, Products!$B$2:$B$21, "Not Found")</f>
        <v>Gaming Mouse</v>
      </c>
      <c r="G190" t="str">
        <f>_xlfn.XLOOKUP(D190, Products!$A$2:$A$21, Products!$C$2:$C$21,"not found")</f>
        <v>Accessories</v>
      </c>
      <c r="H190" s="4">
        <f>_xlfn.XLOOKUP(D190, Products!$A$2:$A$21, Products!$E$2:$E$21, 0)</f>
        <v>89</v>
      </c>
      <c r="I190" s="4">
        <f>_xlfn.XLOOKUP(D190, Products!$A$2:$A$21, Products!$F$2:$F$21,0)</f>
        <v>41</v>
      </c>
      <c r="J190" t="str">
        <f>_xlfn.XLOOKUP(C190, Stores!$A$2:$A$7, Stores!$D$2:$D$7)</f>
        <v>Sydney East</v>
      </c>
      <c r="K190" s="4">
        <f t="shared" si="4"/>
        <v>89</v>
      </c>
      <c r="L190" s="4">
        <f t="shared" si="5"/>
        <v>48</v>
      </c>
      <c r="M190" s="10">
        <f>IF(Table1[[#This Row],[Revenue]]=0, "", Table1[[#This Row],[Profit]]/Table1[[#This Row],[Revenue]])</f>
        <v>0.5393258426966292</v>
      </c>
      <c r="N190" s="4" t="str">
        <f>IF(Table1[[#This Row],[Margin]]="", "check", IF(Table1[[#This Row],[Margin]]&lt;0.2, "Low", "OK"))</f>
        <v>OK</v>
      </c>
      <c r="O190" s="4" t="str" cm="1">
        <f t="array" ref="O190">_xlfn.IFS(Table1[[#This Row],[Revenue]]=0, "Check", Table1[[#This Row],[Revenue]]&gt;=1000, "Large", Table1[[#This Row],[Revenue]]&gt;=200, "Medium", TRUE, "Small")</f>
        <v>Small</v>
      </c>
      <c r="P190" s="4" t="str">
        <f>IF(AND(Table1[[#This Row],[Margin Flag]]="Low", Table1[[#This Row],[Revenue]]&gt;1000), "Review", "")</f>
        <v/>
      </c>
      <c r="Q190" s="4" t="str">
        <f>IF(OR(Table1[[#This Row],[Qty]]&gt;=5,Table1[[#This Row],[Order Size]] = "Large" ), "Bulk", "")</f>
        <v/>
      </c>
      <c r="R190" s="10">
        <f>_xlfn.XLOOKUP(G190, Lookup!$A$2:$A$7, Lookup!$B$2:$B$7, "")</f>
        <v>0.25</v>
      </c>
      <c r="S190" s="4" t="str">
        <f>IF(Table1[[#This Row],[Margin]]&lt;Table1[[#This Row],[Target Margin]], "Yes", "")</f>
        <v/>
      </c>
    </row>
    <row r="191" spans="1:19">
      <c r="A191" t="s">
        <v>236</v>
      </c>
      <c r="B191" s="2">
        <v>46229</v>
      </c>
      <c r="C191" t="s">
        <v>20</v>
      </c>
      <c r="D191" t="s">
        <v>43</v>
      </c>
      <c r="E191">
        <v>1</v>
      </c>
      <c r="F191" t="str">
        <f>_xlfn.XLOOKUP(D191, Products!$A$2:$A$21, Products!$B$2:$B$21, "Not Found")</f>
        <v>Console Controller</v>
      </c>
      <c r="G191" t="str">
        <f>_xlfn.XLOOKUP(D191, Products!$A$2:$A$21, Products!$C$2:$C$21,"not found")</f>
        <v>Gaming</v>
      </c>
      <c r="H191" s="4">
        <f>_xlfn.XLOOKUP(D191, Products!$A$2:$A$21, Products!$E$2:$E$21, 0)</f>
        <v>99</v>
      </c>
      <c r="I191" s="4">
        <f>_xlfn.XLOOKUP(D191, Products!$A$2:$A$21, Products!$F$2:$F$21,0)</f>
        <v>58</v>
      </c>
      <c r="J191" t="str">
        <f>_xlfn.XLOOKUP(C191, Stores!$A$2:$A$7, Stores!$D$2:$D$7)</f>
        <v>Sydney West</v>
      </c>
      <c r="K191" s="4">
        <f t="shared" si="4"/>
        <v>99</v>
      </c>
      <c r="L191" s="4">
        <f t="shared" si="5"/>
        <v>41</v>
      </c>
      <c r="M191" s="10">
        <f>IF(Table1[[#This Row],[Revenue]]=0, "", Table1[[#This Row],[Profit]]/Table1[[#This Row],[Revenue]])</f>
        <v>0.41414141414141414</v>
      </c>
      <c r="N191" s="4" t="str">
        <f>IF(Table1[[#This Row],[Margin]]="", "check", IF(Table1[[#This Row],[Margin]]&lt;0.2, "Low", "OK"))</f>
        <v>OK</v>
      </c>
      <c r="O191" s="4" t="str" cm="1">
        <f t="array" ref="O191">_xlfn.IFS(Table1[[#This Row],[Revenue]]=0, "Check", Table1[[#This Row],[Revenue]]&gt;=1000, "Large", Table1[[#This Row],[Revenue]]&gt;=200, "Medium", TRUE, "Small")</f>
        <v>Small</v>
      </c>
      <c r="P191" s="4" t="str">
        <f>IF(AND(Table1[[#This Row],[Margin Flag]]="Low", Table1[[#This Row],[Revenue]]&gt;1000), "Review", "")</f>
        <v/>
      </c>
      <c r="Q191" s="4" t="str">
        <f>IF(OR(Table1[[#This Row],[Qty]]&gt;=5,Table1[[#This Row],[Order Size]] = "Large" ), "Bulk", "")</f>
        <v/>
      </c>
      <c r="R191" s="10">
        <f>_xlfn.XLOOKUP(G191, Lookup!$A$2:$A$7, Lookup!$B$2:$B$7, "")</f>
        <v>0.08</v>
      </c>
      <c r="S191" s="4" t="str">
        <f>IF(Table1[[#This Row],[Margin]]&lt;Table1[[#This Row],[Target Margin]], "Yes", "")</f>
        <v/>
      </c>
    </row>
    <row r="192" spans="1:19">
      <c r="A192" t="s">
        <v>237</v>
      </c>
      <c r="B192" s="2">
        <v>46229</v>
      </c>
      <c r="C192" t="s">
        <v>23</v>
      </c>
      <c r="D192" t="s">
        <v>58</v>
      </c>
      <c r="E192">
        <v>1</v>
      </c>
      <c r="F192" t="str">
        <f>_xlfn.XLOOKUP(D192, Products!$A$2:$A$21, Products!$B$2:$B$21, "Not Found")</f>
        <v>Mech Keyboard</v>
      </c>
      <c r="G192" t="str">
        <f>_xlfn.XLOOKUP(D192, Products!$A$2:$A$21, Products!$C$2:$C$21,"not found")</f>
        <v>Accessories</v>
      </c>
      <c r="H192" s="4">
        <f>_xlfn.XLOOKUP(D192, Products!$A$2:$A$21, Products!$E$2:$E$21, 0)</f>
        <v>149</v>
      </c>
      <c r="I192" s="4">
        <f>_xlfn.XLOOKUP(D192, Products!$A$2:$A$21, Products!$F$2:$F$21,0)</f>
        <v>72</v>
      </c>
      <c r="J192" t="str">
        <f>_xlfn.XLOOKUP(C192, Stores!$A$2:$A$7, Stores!$D$2:$D$7)</f>
        <v>Sydney East</v>
      </c>
      <c r="K192" s="4">
        <f t="shared" si="4"/>
        <v>149</v>
      </c>
      <c r="L192" s="4">
        <f t="shared" si="5"/>
        <v>77</v>
      </c>
      <c r="M192" s="10">
        <f>IF(Table1[[#This Row],[Revenue]]=0, "", Table1[[#This Row],[Profit]]/Table1[[#This Row],[Revenue]])</f>
        <v>0.51677852348993292</v>
      </c>
      <c r="N192" s="4" t="str">
        <f>IF(Table1[[#This Row],[Margin]]="", "check", IF(Table1[[#This Row],[Margin]]&lt;0.2, "Low", "OK"))</f>
        <v>OK</v>
      </c>
      <c r="O192" s="4" t="str" cm="1">
        <f t="array" ref="O192">_xlfn.IFS(Table1[[#This Row],[Revenue]]=0, "Check", Table1[[#This Row],[Revenue]]&gt;=1000, "Large", Table1[[#This Row],[Revenue]]&gt;=200, "Medium", TRUE, "Small")</f>
        <v>Small</v>
      </c>
      <c r="P192" s="4" t="str">
        <f>IF(AND(Table1[[#This Row],[Margin Flag]]="Low", Table1[[#This Row],[Revenue]]&gt;1000), "Review", "")</f>
        <v/>
      </c>
      <c r="Q192" s="4" t="str">
        <f>IF(OR(Table1[[#This Row],[Qty]]&gt;=5,Table1[[#This Row],[Order Size]] = "Large" ), "Bulk", "")</f>
        <v/>
      </c>
      <c r="R192" s="10">
        <f>_xlfn.XLOOKUP(G192, Lookup!$A$2:$A$7, Lookup!$B$2:$B$7, "")</f>
        <v>0.25</v>
      </c>
      <c r="S192" s="4" t="str">
        <f>IF(Table1[[#This Row],[Margin]]&lt;Table1[[#This Row],[Target Margin]], "Yes", "")</f>
        <v/>
      </c>
    </row>
    <row r="193" spans="1:19">
      <c r="A193" t="s">
        <v>238</v>
      </c>
      <c r="B193" s="2">
        <v>46229</v>
      </c>
      <c r="C193" t="s">
        <v>20</v>
      </c>
      <c r="D193" t="s">
        <v>24</v>
      </c>
      <c r="E193">
        <v>1</v>
      </c>
      <c r="F193" t="str">
        <f>_xlfn.XLOOKUP(D193, Products!$A$2:$A$21, Products!$B$2:$B$21, "Not Found")</f>
        <v>Wireless Earbuds</v>
      </c>
      <c r="G193" t="str">
        <f>_xlfn.XLOOKUP(D193, Products!$A$2:$A$21, Products!$C$2:$C$21,"not found")</f>
        <v>Audio</v>
      </c>
      <c r="H193" s="4">
        <f>_xlfn.XLOOKUP(D193, Products!$A$2:$A$21, Products!$E$2:$E$21, 0)</f>
        <v>249</v>
      </c>
      <c r="I193" s="4">
        <f>_xlfn.XLOOKUP(D193, Products!$A$2:$A$21, Products!$F$2:$F$21,0)</f>
        <v>140</v>
      </c>
      <c r="J193" t="str">
        <f>_xlfn.XLOOKUP(C193, Stores!$A$2:$A$7, Stores!$D$2:$D$7)</f>
        <v>Sydney West</v>
      </c>
      <c r="K193" s="4">
        <f t="shared" si="4"/>
        <v>249</v>
      </c>
      <c r="L193" s="4">
        <f t="shared" si="5"/>
        <v>109</v>
      </c>
      <c r="M193" s="10">
        <f>IF(Table1[[#This Row],[Revenue]]=0, "", Table1[[#This Row],[Profit]]/Table1[[#This Row],[Revenue]])</f>
        <v>0.43775100401606426</v>
      </c>
      <c r="N193" s="4" t="str">
        <f>IF(Table1[[#This Row],[Margin]]="", "check", IF(Table1[[#This Row],[Margin]]&lt;0.2, "Low", "OK"))</f>
        <v>OK</v>
      </c>
      <c r="O193" s="4" t="str" cm="1">
        <f t="array" ref="O193">_xlfn.IFS(Table1[[#This Row],[Revenue]]=0, "Check", Table1[[#This Row],[Revenue]]&gt;=1000, "Large", Table1[[#This Row],[Revenue]]&gt;=200, "Medium", TRUE, "Small")</f>
        <v>Medium</v>
      </c>
      <c r="P193" s="4" t="str">
        <f>IF(AND(Table1[[#This Row],[Margin Flag]]="Low", Table1[[#This Row],[Revenue]]&gt;1000), "Review", "")</f>
        <v/>
      </c>
      <c r="Q193" s="4" t="str">
        <f>IF(OR(Table1[[#This Row],[Qty]]&gt;=5,Table1[[#This Row],[Order Size]] = "Large" ), "Bulk", "")</f>
        <v/>
      </c>
      <c r="R193" s="10">
        <f>_xlfn.XLOOKUP(G193, Lookup!$A$2:$A$7, Lookup!$B$2:$B$7, "")</f>
        <v>0.25</v>
      </c>
      <c r="S193" s="4" t="str">
        <f>IF(Table1[[#This Row],[Margin]]&lt;Table1[[#This Row],[Target Margin]], "Yes", "")</f>
        <v/>
      </c>
    </row>
    <row r="194" spans="1:19">
      <c r="A194" t="s">
        <v>239</v>
      </c>
      <c r="B194" s="2">
        <v>46229</v>
      </c>
      <c r="C194" t="s">
        <v>57</v>
      </c>
      <c r="D194" t="s">
        <v>35</v>
      </c>
      <c r="E194">
        <v>2</v>
      </c>
      <c r="F194" t="str">
        <f>_xlfn.XLOOKUP(D194, Products!$A$2:$A$21, Products!$B$2:$B$21, "Not Found")</f>
        <v>Phone Case</v>
      </c>
      <c r="G194" t="str">
        <f>_xlfn.XLOOKUP(D194, Products!$A$2:$A$21, Products!$C$2:$C$21,"not found")</f>
        <v>Accessories</v>
      </c>
      <c r="H194" s="4">
        <f>_xlfn.XLOOKUP(D194, Products!$A$2:$A$21, Products!$E$2:$E$21, 0)</f>
        <v>39</v>
      </c>
      <c r="I194" s="4">
        <f>_xlfn.XLOOKUP(D194, Products!$A$2:$A$21, Products!$F$2:$F$21,0)</f>
        <v>9</v>
      </c>
      <c r="J194" t="str">
        <f>_xlfn.XLOOKUP(C194, Stores!$A$2:$A$7, Stores!$D$2:$D$7)</f>
        <v>Sydney South</v>
      </c>
      <c r="K194" s="4">
        <f t="shared" si="4"/>
        <v>78</v>
      </c>
      <c r="L194" s="4">
        <f t="shared" si="5"/>
        <v>60</v>
      </c>
      <c r="M194" s="10">
        <f>IF(Table1[[#This Row],[Revenue]]=0, "", Table1[[#This Row],[Profit]]/Table1[[#This Row],[Revenue]])</f>
        <v>0.76923076923076927</v>
      </c>
      <c r="N194" s="4" t="str">
        <f>IF(Table1[[#This Row],[Margin]]="", "check", IF(Table1[[#This Row],[Margin]]&lt;0.2, "Low", "OK"))</f>
        <v>OK</v>
      </c>
      <c r="O194" s="4" t="str" cm="1">
        <f t="array" ref="O194">_xlfn.IFS(Table1[[#This Row],[Revenue]]=0, "Check", Table1[[#This Row],[Revenue]]&gt;=1000, "Large", Table1[[#This Row],[Revenue]]&gt;=200, "Medium", TRUE, "Small")</f>
        <v>Small</v>
      </c>
      <c r="P194" s="4" t="str">
        <f>IF(AND(Table1[[#This Row],[Margin Flag]]="Low", Table1[[#This Row],[Revenue]]&gt;1000), "Review", "")</f>
        <v/>
      </c>
      <c r="Q194" s="4" t="str">
        <f>IF(OR(Table1[[#This Row],[Qty]]&gt;=5,Table1[[#This Row],[Order Size]] = "Large" ), "Bulk", "")</f>
        <v/>
      </c>
      <c r="R194" s="10">
        <f>_xlfn.XLOOKUP(G194, Lookup!$A$2:$A$7, Lookup!$B$2:$B$7, "")</f>
        <v>0.25</v>
      </c>
      <c r="S194" s="4" t="str">
        <f>IF(Table1[[#This Row],[Margin]]&lt;Table1[[#This Row],[Target Margin]], "Yes", "")</f>
        <v/>
      </c>
    </row>
    <row r="195" spans="1:19">
      <c r="A195" t="s">
        <v>240</v>
      </c>
      <c r="B195" s="2">
        <v>46229</v>
      </c>
      <c r="C195" t="s">
        <v>57</v>
      </c>
      <c r="D195" t="s">
        <v>69</v>
      </c>
      <c r="E195">
        <v>1</v>
      </c>
      <c r="F195" t="str">
        <f>_xlfn.XLOOKUP(D195, Products!$A$2:$A$21, Products!$B$2:$B$21, "Not Found")</f>
        <v>27in Monitor</v>
      </c>
      <c r="G195" t="str">
        <f>_xlfn.XLOOKUP(D195, Products!$A$2:$A$21, Products!$C$2:$C$21,"not found")</f>
        <v>Computers</v>
      </c>
      <c r="H195" s="4">
        <f>_xlfn.XLOOKUP(D195, Products!$A$2:$A$21, Products!$E$2:$E$21, 0)</f>
        <v>399</v>
      </c>
      <c r="I195" s="4">
        <f>_xlfn.XLOOKUP(D195, Products!$A$2:$A$21, Products!$F$2:$F$21,0)</f>
        <v>290</v>
      </c>
      <c r="J195" t="str">
        <f>_xlfn.XLOOKUP(C195, Stores!$A$2:$A$7, Stores!$D$2:$D$7)</f>
        <v>Sydney South</v>
      </c>
      <c r="K195" s="4">
        <f t="shared" ref="K195:K258" si="6" xml:space="preserve"> E195*H195</f>
        <v>399</v>
      </c>
      <c r="L195" s="4">
        <f t="shared" ref="L195:L258" si="7" xml:space="preserve"> K195 - (E195 * I195)</f>
        <v>109</v>
      </c>
      <c r="M195" s="10">
        <f>IF(Table1[[#This Row],[Revenue]]=0, "", Table1[[#This Row],[Profit]]/Table1[[#This Row],[Revenue]])</f>
        <v>0.27318295739348369</v>
      </c>
      <c r="N195" s="4" t="str">
        <f>IF(Table1[[#This Row],[Margin]]="", "check", IF(Table1[[#This Row],[Margin]]&lt;0.2, "Low", "OK"))</f>
        <v>OK</v>
      </c>
      <c r="O195" s="4" t="str" cm="1">
        <f t="array" ref="O195">_xlfn.IFS(Table1[[#This Row],[Revenue]]=0, "Check", Table1[[#This Row],[Revenue]]&gt;=1000, "Large", Table1[[#This Row],[Revenue]]&gt;=200, "Medium", TRUE, "Small")</f>
        <v>Medium</v>
      </c>
      <c r="P195" s="4" t="str">
        <f>IF(AND(Table1[[#This Row],[Margin Flag]]="Low", Table1[[#This Row],[Revenue]]&gt;1000), "Review", "")</f>
        <v/>
      </c>
      <c r="Q195" s="4" t="str">
        <f>IF(OR(Table1[[#This Row],[Qty]]&gt;=5,Table1[[#This Row],[Order Size]] = "Large" ), "Bulk", "")</f>
        <v/>
      </c>
      <c r="R195" s="10">
        <f>_xlfn.XLOOKUP(G195, Lookup!$A$2:$A$7, Lookup!$B$2:$B$7, "")</f>
        <v>0.25</v>
      </c>
      <c r="S195" s="4" t="str">
        <f>IF(Table1[[#This Row],[Margin]]&lt;Table1[[#This Row],[Target Margin]], "Yes", "")</f>
        <v/>
      </c>
    </row>
    <row r="196" spans="1:19">
      <c r="A196" t="s">
        <v>241</v>
      </c>
      <c r="B196" s="2">
        <v>46230</v>
      </c>
      <c r="C196" t="s">
        <v>32</v>
      </c>
      <c r="D196" t="s">
        <v>30</v>
      </c>
      <c r="E196">
        <v>1</v>
      </c>
      <c r="F196" t="str">
        <f>_xlfn.XLOOKUP(D196, Products!$A$2:$A$21, Products!$B$2:$B$21, "Not Found")</f>
        <v>Video Game</v>
      </c>
      <c r="G196" t="str">
        <f>_xlfn.XLOOKUP(D196, Products!$A$2:$A$21, Products!$C$2:$C$21,"not found")</f>
        <v>Gaming</v>
      </c>
      <c r="H196" s="4">
        <f>_xlfn.XLOOKUP(D196, Products!$A$2:$A$21, Products!$E$2:$E$21, 0)</f>
        <v>79</v>
      </c>
      <c r="I196" s="4">
        <f>_xlfn.XLOOKUP(D196, Products!$A$2:$A$21, Products!$F$2:$F$21,0)</f>
        <v>52</v>
      </c>
      <c r="J196" t="str">
        <f>_xlfn.XLOOKUP(C196, Stores!$A$2:$A$7, Stores!$D$2:$D$7)</f>
        <v>Sydney South</v>
      </c>
      <c r="K196" s="4">
        <f t="shared" si="6"/>
        <v>79</v>
      </c>
      <c r="L196" s="4">
        <f t="shared" si="7"/>
        <v>27</v>
      </c>
      <c r="M196" s="10">
        <f>IF(Table1[[#This Row],[Revenue]]=0, "", Table1[[#This Row],[Profit]]/Table1[[#This Row],[Revenue]])</f>
        <v>0.34177215189873417</v>
      </c>
      <c r="N196" s="4" t="str">
        <f>IF(Table1[[#This Row],[Margin]]="", "check", IF(Table1[[#This Row],[Margin]]&lt;0.2, "Low", "OK"))</f>
        <v>OK</v>
      </c>
      <c r="O196" s="4" t="str" cm="1">
        <f t="array" ref="O196">_xlfn.IFS(Table1[[#This Row],[Revenue]]=0, "Check", Table1[[#This Row],[Revenue]]&gt;=1000, "Large", Table1[[#This Row],[Revenue]]&gt;=200, "Medium", TRUE, "Small")</f>
        <v>Small</v>
      </c>
      <c r="P196" s="4" t="str">
        <f>IF(AND(Table1[[#This Row],[Margin Flag]]="Low", Table1[[#This Row],[Revenue]]&gt;1000), "Review", "")</f>
        <v/>
      </c>
      <c r="Q196" s="4" t="str">
        <f>IF(OR(Table1[[#This Row],[Qty]]&gt;=5,Table1[[#This Row],[Order Size]] = "Large" ), "Bulk", "")</f>
        <v/>
      </c>
      <c r="R196" s="10">
        <f>_xlfn.XLOOKUP(G196, Lookup!$A$2:$A$7, Lookup!$B$2:$B$7, "")</f>
        <v>0.08</v>
      </c>
      <c r="S196" s="4" t="str">
        <f>IF(Table1[[#This Row],[Margin]]&lt;Table1[[#This Row],[Target Margin]], "Yes", "")</f>
        <v/>
      </c>
    </row>
    <row r="197" spans="1:19">
      <c r="A197" t="s">
        <v>242</v>
      </c>
      <c r="B197" s="2">
        <v>46230</v>
      </c>
      <c r="C197" t="s">
        <v>26</v>
      </c>
      <c r="D197" t="s">
        <v>35</v>
      </c>
      <c r="E197">
        <v>1</v>
      </c>
      <c r="F197" t="str">
        <f>_xlfn.XLOOKUP(D197, Products!$A$2:$A$21, Products!$B$2:$B$21, "Not Found")</f>
        <v>Phone Case</v>
      </c>
      <c r="G197" t="str">
        <f>_xlfn.XLOOKUP(D197, Products!$A$2:$A$21, Products!$C$2:$C$21,"not found")</f>
        <v>Accessories</v>
      </c>
      <c r="H197" s="4">
        <f>_xlfn.XLOOKUP(D197, Products!$A$2:$A$21, Products!$E$2:$E$21, 0)</f>
        <v>39</v>
      </c>
      <c r="I197" s="4">
        <f>_xlfn.XLOOKUP(D197, Products!$A$2:$A$21, Products!$F$2:$F$21,0)</f>
        <v>9</v>
      </c>
      <c r="J197" t="str">
        <f>_xlfn.XLOOKUP(C197, Stores!$A$2:$A$7, Stores!$D$2:$D$7)</f>
        <v>Sydney North</v>
      </c>
      <c r="K197" s="4">
        <f t="shared" si="6"/>
        <v>39</v>
      </c>
      <c r="L197" s="4">
        <f t="shared" si="7"/>
        <v>30</v>
      </c>
      <c r="M197" s="10">
        <f>IF(Table1[[#This Row],[Revenue]]=0, "", Table1[[#This Row],[Profit]]/Table1[[#This Row],[Revenue]])</f>
        <v>0.76923076923076927</v>
      </c>
      <c r="N197" s="4" t="str">
        <f>IF(Table1[[#This Row],[Margin]]="", "check", IF(Table1[[#This Row],[Margin]]&lt;0.2, "Low", "OK"))</f>
        <v>OK</v>
      </c>
      <c r="O197" s="4" t="str" cm="1">
        <f t="array" ref="O197">_xlfn.IFS(Table1[[#This Row],[Revenue]]=0, "Check", Table1[[#This Row],[Revenue]]&gt;=1000, "Large", Table1[[#This Row],[Revenue]]&gt;=200, "Medium", TRUE, "Small")</f>
        <v>Small</v>
      </c>
      <c r="P197" s="4" t="str">
        <f>IF(AND(Table1[[#This Row],[Margin Flag]]="Low", Table1[[#This Row],[Revenue]]&gt;1000), "Review", "")</f>
        <v/>
      </c>
      <c r="Q197" s="4" t="str">
        <f>IF(OR(Table1[[#This Row],[Qty]]&gt;=5,Table1[[#This Row],[Order Size]] = "Large" ), "Bulk", "")</f>
        <v/>
      </c>
      <c r="R197" s="10">
        <f>_xlfn.XLOOKUP(G197, Lookup!$A$2:$A$7, Lookup!$B$2:$B$7, "")</f>
        <v>0.25</v>
      </c>
      <c r="S197" s="4" t="str">
        <f>IF(Table1[[#This Row],[Margin]]&lt;Table1[[#This Row],[Target Margin]], "Yes", "")</f>
        <v/>
      </c>
    </row>
    <row r="198" spans="1:19">
      <c r="A198" t="s">
        <v>243</v>
      </c>
      <c r="B198" s="2">
        <v>46230</v>
      </c>
      <c r="C198" t="s">
        <v>32</v>
      </c>
      <c r="D198" t="s">
        <v>69</v>
      </c>
      <c r="E198">
        <v>2</v>
      </c>
      <c r="F198" t="str">
        <f>_xlfn.XLOOKUP(D198, Products!$A$2:$A$21, Products!$B$2:$B$21, "Not Found")</f>
        <v>27in Monitor</v>
      </c>
      <c r="G198" t="str">
        <f>_xlfn.XLOOKUP(D198, Products!$A$2:$A$21, Products!$C$2:$C$21,"not found")</f>
        <v>Computers</v>
      </c>
      <c r="H198" s="4">
        <f>_xlfn.XLOOKUP(D198, Products!$A$2:$A$21, Products!$E$2:$E$21, 0)</f>
        <v>399</v>
      </c>
      <c r="I198" s="4">
        <f>_xlfn.XLOOKUP(D198, Products!$A$2:$A$21, Products!$F$2:$F$21,0)</f>
        <v>290</v>
      </c>
      <c r="J198" t="str">
        <f>_xlfn.XLOOKUP(C198, Stores!$A$2:$A$7, Stores!$D$2:$D$7)</f>
        <v>Sydney South</v>
      </c>
      <c r="K198" s="4">
        <f t="shared" si="6"/>
        <v>798</v>
      </c>
      <c r="L198" s="4">
        <f t="shared" si="7"/>
        <v>218</v>
      </c>
      <c r="M198" s="10">
        <f>IF(Table1[[#This Row],[Revenue]]=0, "", Table1[[#This Row],[Profit]]/Table1[[#This Row],[Revenue]])</f>
        <v>0.27318295739348369</v>
      </c>
      <c r="N198" s="4" t="str">
        <f>IF(Table1[[#This Row],[Margin]]="", "check", IF(Table1[[#This Row],[Margin]]&lt;0.2, "Low", "OK"))</f>
        <v>OK</v>
      </c>
      <c r="O198" s="4" t="str" cm="1">
        <f t="array" ref="O198">_xlfn.IFS(Table1[[#This Row],[Revenue]]=0, "Check", Table1[[#This Row],[Revenue]]&gt;=1000, "Large", Table1[[#This Row],[Revenue]]&gt;=200, "Medium", TRUE, "Small")</f>
        <v>Medium</v>
      </c>
      <c r="P198" s="4" t="str">
        <f>IF(AND(Table1[[#This Row],[Margin Flag]]="Low", Table1[[#This Row],[Revenue]]&gt;1000), "Review", "")</f>
        <v/>
      </c>
      <c r="Q198" s="4" t="str">
        <f>IF(OR(Table1[[#This Row],[Qty]]&gt;=5,Table1[[#This Row],[Order Size]] = "Large" ), "Bulk", "")</f>
        <v/>
      </c>
      <c r="R198" s="10">
        <f>_xlfn.XLOOKUP(G198, Lookup!$A$2:$A$7, Lookup!$B$2:$B$7, "")</f>
        <v>0.25</v>
      </c>
      <c r="S198" s="4" t="str">
        <f>IF(Table1[[#This Row],[Margin]]&lt;Table1[[#This Row],[Target Margin]], "Yes", "")</f>
        <v/>
      </c>
    </row>
    <row r="199" spans="1:19">
      <c r="A199" t="s">
        <v>244</v>
      </c>
      <c r="B199" s="2">
        <v>46230</v>
      </c>
      <c r="C199" t="s">
        <v>57</v>
      </c>
      <c r="D199" t="s">
        <v>27</v>
      </c>
      <c r="E199">
        <v>3</v>
      </c>
      <c r="F199" t="str">
        <f>_xlfn.XLOOKUP(D199, Products!$A$2:$A$21, Products!$B$2:$B$21, "Not Found")</f>
        <v>Bluetooth Speaker</v>
      </c>
      <c r="G199" t="str">
        <f>_xlfn.XLOOKUP(D199, Products!$A$2:$A$21, Products!$C$2:$C$21,"not found")</f>
        <v>Audio</v>
      </c>
      <c r="H199" s="4">
        <f>_xlfn.XLOOKUP(D199, Products!$A$2:$A$21, Products!$E$2:$E$21, 0)</f>
        <v>179</v>
      </c>
      <c r="I199" s="4">
        <f>_xlfn.XLOOKUP(D199, Products!$A$2:$A$21, Products!$F$2:$F$21,0)</f>
        <v>95</v>
      </c>
      <c r="J199" t="str">
        <f>_xlfn.XLOOKUP(C199, Stores!$A$2:$A$7, Stores!$D$2:$D$7)</f>
        <v>Sydney South</v>
      </c>
      <c r="K199" s="4">
        <f t="shared" si="6"/>
        <v>537</v>
      </c>
      <c r="L199" s="4">
        <f t="shared" si="7"/>
        <v>252</v>
      </c>
      <c r="M199" s="10">
        <f>IF(Table1[[#This Row],[Revenue]]=0, "", Table1[[#This Row],[Profit]]/Table1[[#This Row],[Revenue]])</f>
        <v>0.46927374301675978</v>
      </c>
      <c r="N199" s="4" t="str">
        <f>IF(Table1[[#This Row],[Margin]]="", "check", IF(Table1[[#This Row],[Margin]]&lt;0.2, "Low", "OK"))</f>
        <v>OK</v>
      </c>
      <c r="O199" s="4" t="str" cm="1">
        <f t="array" ref="O199">_xlfn.IFS(Table1[[#This Row],[Revenue]]=0, "Check", Table1[[#This Row],[Revenue]]&gt;=1000, "Large", Table1[[#This Row],[Revenue]]&gt;=200, "Medium", TRUE, "Small")</f>
        <v>Medium</v>
      </c>
      <c r="P199" s="4" t="str">
        <f>IF(AND(Table1[[#This Row],[Margin Flag]]="Low", Table1[[#This Row],[Revenue]]&gt;1000), "Review", "")</f>
        <v/>
      </c>
      <c r="Q199" s="4" t="str">
        <f>IF(OR(Table1[[#This Row],[Qty]]&gt;=5,Table1[[#This Row],[Order Size]] = "Large" ), "Bulk", "")</f>
        <v/>
      </c>
      <c r="R199" s="10">
        <f>_xlfn.XLOOKUP(G199, Lookup!$A$2:$A$7, Lookup!$B$2:$B$7, "")</f>
        <v>0.25</v>
      </c>
      <c r="S199" s="4" t="str">
        <f>IF(Table1[[#This Row],[Margin]]&lt;Table1[[#This Row],[Target Margin]], "Yes", "")</f>
        <v/>
      </c>
    </row>
    <row r="200" spans="1:19">
      <c r="A200" t="s">
        <v>245</v>
      </c>
      <c r="B200" s="2">
        <v>46230</v>
      </c>
      <c r="C200" t="s">
        <v>23</v>
      </c>
      <c r="D200" t="s">
        <v>38</v>
      </c>
      <c r="E200">
        <v>1</v>
      </c>
      <c r="F200" t="str">
        <f>_xlfn.XLOOKUP(D200, Products!$A$2:$A$21, Products!$B$2:$B$21, "Not Found")</f>
        <v>USB-C Charger</v>
      </c>
      <c r="G200" t="str">
        <f>_xlfn.XLOOKUP(D200, Products!$A$2:$A$21, Products!$C$2:$C$21,"not found")</f>
        <v>Accessories</v>
      </c>
      <c r="H200" s="4">
        <f>_xlfn.XLOOKUP(D200, Products!$A$2:$A$21, Products!$E$2:$E$21, 0)</f>
        <v>49</v>
      </c>
      <c r="I200" s="4">
        <f>_xlfn.XLOOKUP(D200, Products!$A$2:$A$21, Products!$F$2:$F$21,0)</f>
        <v>14</v>
      </c>
      <c r="J200" t="str">
        <f>_xlfn.XLOOKUP(C200, Stores!$A$2:$A$7, Stores!$D$2:$D$7)</f>
        <v>Sydney East</v>
      </c>
      <c r="K200" s="4">
        <f t="shared" si="6"/>
        <v>49</v>
      </c>
      <c r="L200" s="4">
        <f t="shared" si="7"/>
        <v>35</v>
      </c>
      <c r="M200" s="10">
        <f>IF(Table1[[#This Row],[Revenue]]=0, "", Table1[[#This Row],[Profit]]/Table1[[#This Row],[Revenue]])</f>
        <v>0.7142857142857143</v>
      </c>
      <c r="N200" s="4" t="str">
        <f>IF(Table1[[#This Row],[Margin]]="", "check", IF(Table1[[#This Row],[Margin]]&lt;0.2, "Low", "OK"))</f>
        <v>OK</v>
      </c>
      <c r="O200" s="4" t="str" cm="1">
        <f t="array" ref="O200">_xlfn.IFS(Table1[[#This Row],[Revenue]]=0, "Check", Table1[[#This Row],[Revenue]]&gt;=1000, "Large", Table1[[#This Row],[Revenue]]&gt;=200, "Medium", TRUE, "Small")</f>
        <v>Small</v>
      </c>
      <c r="P200" s="4" t="str">
        <f>IF(AND(Table1[[#This Row],[Margin Flag]]="Low", Table1[[#This Row],[Revenue]]&gt;1000), "Review", "")</f>
        <v/>
      </c>
      <c r="Q200" s="4" t="str">
        <f>IF(OR(Table1[[#This Row],[Qty]]&gt;=5,Table1[[#This Row],[Order Size]] = "Large" ), "Bulk", "")</f>
        <v/>
      </c>
      <c r="R200" s="10">
        <f>_xlfn.XLOOKUP(G200, Lookup!$A$2:$A$7, Lookup!$B$2:$B$7, "")</f>
        <v>0.25</v>
      </c>
      <c r="S200" s="4" t="str">
        <f>IF(Table1[[#This Row],[Margin]]&lt;Table1[[#This Row],[Target Margin]], "Yes", "")</f>
        <v/>
      </c>
    </row>
    <row r="201" spans="1:19">
      <c r="A201" t="s">
        <v>246</v>
      </c>
      <c r="B201" s="2">
        <v>46230</v>
      </c>
      <c r="C201" t="s">
        <v>20</v>
      </c>
      <c r="D201" t="s">
        <v>27</v>
      </c>
      <c r="E201">
        <v>1</v>
      </c>
      <c r="F201" t="str">
        <f>_xlfn.XLOOKUP(D201, Products!$A$2:$A$21, Products!$B$2:$B$21, "Not Found")</f>
        <v>Bluetooth Speaker</v>
      </c>
      <c r="G201" t="str">
        <f>_xlfn.XLOOKUP(D201, Products!$A$2:$A$21, Products!$C$2:$C$21,"not found")</f>
        <v>Audio</v>
      </c>
      <c r="H201" s="4">
        <f>_xlfn.XLOOKUP(D201, Products!$A$2:$A$21, Products!$E$2:$E$21, 0)</f>
        <v>179</v>
      </c>
      <c r="I201" s="4">
        <f>_xlfn.XLOOKUP(D201, Products!$A$2:$A$21, Products!$F$2:$F$21,0)</f>
        <v>95</v>
      </c>
      <c r="J201" t="str">
        <f>_xlfn.XLOOKUP(C201, Stores!$A$2:$A$7, Stores!$D$2:$D$7)</f>
        <v>Sydney West</v>
      </c>
      <c r="K201" s="4">
        <f t="shared" si="6"/>
        <v>179</v>
      </c>
      <c r="L201" s="4">
        <f t="shared" si="7"/>
        <v>84</v>
      </c>
      <c r="M201" s="10">
        <f>IF(Table1[[#This Row],[Revenue]]=0, "", Table1[[#This Row],[Profit]]/Table1[[#This Row],[Revenue]])</f>
        <v>0.46927374301675978</v>
      </c>
      <c r="N201" s="4" t="str">
        <f>IF(Table1[[#This Row],[Margin]]="", "check", IF(Table1[[#This Row],[Margin]]&lt;0.2, "Low", "OK"))</f>
        <v>OK</v>
      </c>
      <c r="O201" s="4" t="str" cm="1">
        <f t="array" ref="O201">_xlfn.IFS(Table1[[#This Row],[Revenue]]=0, "Check", Table1[[#This Row],[Revenue]]&gt;=1000, "Large", Table1[[#This Row],[Revenue]]&gt;=200, "Medium", TRUE, "Small")</f>
        <v>Small</v>
      </c>
      <c r="P201" s="4" t="str">
        <f>IF(AND(Table1[[#This Row],[Margin Flag]]="Low", Table1[[#This Row],[Revenue]]&gt;1000), "Review", "")</f>
        <v/>
      </c>
      <c r="Q201" s="4" t="str">
        <f>IF(OR(Table1[[#This Row],[Qty]]&gt;=5,Table1[[#This Row],[Order Size]] = "Large" ), "Bulk", "")</f>
        <v/>
      </c>
      <c r="R201" s="10">
        <f>_xlfn.XLOOKUP(G201, Lookup!$A$2:$A$7, Lookup!$B$2:$B$7, "")</f>
        <v>0.25</v>
      </c>
      <c r="S201" s="4" t="str">
        <f>IF(Table1[[#This Row],[Margin]]&lt;Table1[[#This Row],[Target Margin]], "Yes", "")</f>
        <v/>
      </c>
    </row>
    <row r="202" spans="1:19">
      <c r="A202" t="s">
        <v>247</v>
      </c>
      <c r="B202" s="2">
        <v>46231</v>
      </c>
      <c r="C202" t="s">
        <v>29</v>
      </c>
      <c r="D202" t="s">
        <v>35</v>
      </c>
      <c r="E202">
        <v>1</v>
      </c>
      <c r="F202" t="str">
        <f>_xlfn.XLOOKUP(D202, Products!$A$2:$A$21, Products!$B$2:$B$21, "Not Found")</f>
        <v>Phone Case</v>
      </c>
      <c r="G202" t="str">
        <f>_xlfn.XLOOKUP(D202, Products!$A$2:$A$21, Products!$C$2:$C$21,"not found")</f>
        <v>Accessories</v>
      </c>
      <c r="H202" s="4">
        <f>_xlfn.XLOOKUP(D202, Products!$A$2:$A$21, Products!$E$2:$E$21, 0)</f>
        <v>39</v>
      </c>
      <c r="I202" s="4">
        <f>_xlfn.XLOOKUP(D202, Products!$A$2:$A$21, Products!$F$2:$F$21,0)</f>
        <v>9</v>
      </c>
      <c r="J202" t="str">
        <f>_xlfn.XLOOKUP(C202, Stores!$A$2:$A$7, Stores!$D$2:$D$7)</f>
        <v>Sydney West</v>
      </c>
      <c r="K202" s="4">
        <f t="shared" si="6"/>
        <v>39</v>
      </c>
      <c r="L202" s="4">
        <f t="shared" si="7"/>
        <v>30</v>
      </c>
      <c r="M202" s="10">
        <f>IF(Table1[[#This Row],[Revenue]]=0, "", Table1[[#This Row],[Profit]]/Table1[[#This Row],[Revenue]])</f>
        <v>0.76923076923076927</v>
      </c>
      <c r="N202" s="4" t="str">
        <f>IF(Table1[[#This Row],[Margin]]="", "check", IF(Table1[[#This Row],[Margin]]&lt;0.2, "Low", "OK"))</f>
        <v>OK</v>
      </c>
      <c r="O202" s="4" t="str" cm="1">
        <f t="array" ref="O202">_xlfn.IFS(Table1[[#This Row],[Revenue]]=0, "Check", Table1[[#This Row],[Revenue]]&gt;=1000, "Large", Table1[[#This Row],[Revenue]]&gt;=200, "Medium", TRUE, "Small")</f>
        <v>Small</v>
      </c>
      <c r="P202" s="4" t="str">
        <f>IF(AND(Table1[[#This Row],[Margin Flag]]="Low", Table1[[#This Row],[Revenue]]&gt;1000), "Review", "")</f>
        <v/>
      </c>
      <c r="Q202" s="4" t="str">
        <f>IF(OR(Table1[[#This Row],[Qty]]&gt;=5,Table1[[#This Row],[Order Size]] = "Large" ), "Bulk", "")</f>
        <v/>
      </c>
      <c r="R202" s="10">
        <f>_xlfn.XLOOKUP(G202, Lookup!$A$2:$A$7, Lookup!$B$2:$B$7, "")</f>
        <v>0.25</v>
      </c>
      <c r="S202" s="4" t="str">
        <f>IF(Table1[[#This Row],[Margin]]&lt;Table1[[#This Row],[Target Margin]], "Yes", "")</f>
        <v/>
      </c>
    </row>
    <row r="203" spans="1:19">
      <c r="A203" t="s">
        <v>248</v>
      </c>
      <c r="B203" s="2">
        <v>46231</v>
      </c>
      <c r="C203" t="s">
        <v>29</v>
      </c>
      <c r="D203" t="s">
        <v>30</v>
      </c>
      <c r="E203">
        <v>1</v>
      </c>
      <c r="F203" t="str">
        <f>_xlfn.XLOOKUP(D203, Products!$A$2:$A$21, Products!$B$2:$B$21, "Not Found")</f>
        <v>Video Game</v>
      </c>
      <c r="G203" t="str">
        <f>_xlfn.XLOOKUP(D203, Products!$A$2:$A$21, Products!$C$2:$C$21,"not found")</f>
        <v>Gaming</v>
      </c>
      <c r="H203" s="4">
        <f>_xlfn.XLOOKUP(D203, Products!$A$2:$A$21, Products!$E$2:$E$21, 0)</f>
        <v>79</v>
      </c>
      <c r="I203" s="4">
        <f>_xlfn.XLOOKUP(D203, Products!$A$2:$A$21, Products!$F$2:$F$21,0)</f>
        <v>52</v>
      </c>
      <c r="J203" t="str">
        <f>_xlfn.XLOOKUP(C203, Stores!$A$2:$A$7, Stores!$D$2:$D$7)</f>
        <v>Sydney West</v>
      </c>
      <c r="K203" s="4">
        <f t="shared" si="6"/>
        <v>79</v>
      </c>
      <c r="L203" s="4">
        <f t="shared" si="7"/>
        <v>27</v>
      </c>
      <c r="M203" s="10">
        <f>IF(Table1[[#This Row],[Revenue]]=0, "", Table1[[#This Row],[Profit]]/Table1[[#This Row],[Revenue]])</f>
        <v>0.34177215189873417</v>
      </c>
      <c r="N203" s="4" t="str">
        <f>IF(Table1[[#This Row],[Margin]]="", "check", IF(Table1[[#This Row],[Margin]]&lt;0.2, "Low", "OK"))</f>
        <v>OK</v>
      </c>
      <c r="O203" s="4" t="str" cm="1">
        <f t="array" ref="O203">_xlfn.IFS(Table1[[#This Row],[Revenue]]=0, "Check", Table1[[#This Row],[Revenue]]&gt;=1000, "Large", Table1[[#This Row],[Revenue]]&gt;=200, "Medium", TRUE, "Small")</f>
        <v>Small</v>
      </c>
      <c r="P203" s="4" t="str">
        <f>IF(AND(Table1[[#This Row],[Margin Flag]]="Low", Table1[[#This Row],[Revenue]]&gt;1000), "Review", "")</f>
        <v/>
      </c>
      <c r="Q203" s="4" t="str">
        <f>IF(OR(Table1[[#This Row],[Qty]]&gt;=5,Table1[[#This Row],[Order Size]] = "Large" ), "Bulk", "")</f>
        <v/>
      </c>
      <c r="R203" s="10">
        <f>_xlfn.XLOOKUP(G203, Lookup!$A$2:$A$7, Lookup!$B$2:$B$7, "")</f>
        <v>0.08</v>
      </c>
      <c r="S203" s="4" t="str">
        <f>IF(Table1[[#This Row],[Margin]]&lt;Table1[[#This Row],[Target Margin]], "Yes", "")</f>
        <v/>
      </c>
    </row>
    <row r="204" spans="1:19">
      <c r="A204" t="s">
        <v>249</v>
      </c>
      <c r="B204" s="2">
        <v>46231</v>
      </c>
      <c r="C204" t="s">
        <v>32</v>
      </c>
      <c r="D204" t="s">
        <v>27</v>
      </c>
      <c r="E204">
        <v>1</v>
      </c>
      <c r="F204" t="str">
        <f>_xlfn.XLOOKUP(D204, Products!$A$2:$A$21, Products!$B$2:$B$21, "Not Found")</f>
        <v>Bluetooth Speaker</v>
      </c>
      <c r="G204" t="str">
        <f>_xlfn.XLOOKUP(D204, Products!$A$2:$A$21, Products!$C$2:$C$21,"not found")</f>
        <v>Audio</v>
      </c>
      <c r="H204" s="4">
        <f>_xlfn.XLOOKUP(D204, Products!$A$2:$A$21, Products!$E$2:$E$21, 0)</f>
        <v>179</v>
      </c>
      <c r="I204" s="4">
        <f>_xlfn.XLOOKUP(D204, Products!$A$2:$A$21, Products!$F$2:$F$21,0)</f>
        <v>95</v>
      </c>
      <c r="J204" t="str">
        <f>_xlfn.XLOOKUP(C204, Stores!$A$2:$A$7, Stores!$D$2:$D$7)</f>
        <v>Sydney South</v>
      </c>
      <c r="K204" s="4">
        <f t="shared" si="6"/>
        <v>179</v>
      </c>
      <c r="L204" s="4">
        <f t="shared" si="7"/>
        <v>84</v>
      </c>
      <c r="M204" s="10">
        <f>IF(Table1[[#This Row],[Revenue]]=0, "", Table1[[#This Row],[Profit]]/Table1[[#This Row],[Revenue]])</f>
        <v>0.46927374301675978</v>
      </c>
      <c r="N204" s="4" t="str">
        <f>IF(Table1[[#This Row],[Margin]]="", "check", IF(Table1[[#This Row],[Margin]]&lt;0.2, "Low", "OK"))</f>
        <v>OK</v>
      </c>
      <c r="O204" s="4" t="str" cm="1">
        <f t="array" ref="O204">_xlfn.IFS(Table1[[#This Row],[Revenue]]=0, "Check", Table1[[#This Row],[Revenue]]&gt;=1000, "Large", Table1[[#This Row],[Revenue]]&gt;=200, "Medium", TRUE, "Small")</f>
        <v>Small</v>
      </c>
      <c r="P204" s="4" t="str">
        <f>IF(AND(Table1[[#This Row],[Margin Flag]]="Low", Table1[[#This Row],[Revenue]]&gt;1000), "Review", "")</f>
        <v/>
      </c>
      <c r="Q204" s="4" t="str">
        <f>IF(OR(Table1[[#This Row],[Qty]]&gt;=5,Table1[[#This Row],[Order Size]] = "Large" ), "Bulk", "")</f>
        <v/>
      </c>
      <c r="R204" s="10">
        <f>_xlfn.XLOOKUP(G204, Lookup!$A$2:$A$7, Lookup!$B$2:$B$7, "")</f>
        <v>0.25</v>
      </c>
      <c r="S204" s="4" t="str">
        <f>IF(Table1[[#This Row],[Margin]]&lt;Table1[[#This Row],[Target Margin]], "Yes", "")</f>
        <v/>
      </c>
    </row>
    <row r="205" spans="1:19">
      <c r="A205" t="s">
        <v>250</v>
      </c>
      <c r="B205" s="2">
        <v>46231</v>
      </c>
      <c r="C205" t="s">
        <v>32</v>
      </c>
      <c r="D205" t="s">
        <v>58</v>
      </c>
      <c r="E205">
        <v>1</v>
      </c>
      <c r="F205" t="str">
        <f>_xlfn.XLOOKUP(D205, Products!$A$2:$A$21, Products!$B$2:$B$21, "Not Found")</f>
        <v>Mech Keyboard</v>
      </c>
      <c r="G205" t="str">
        <f>_xlfn.XLOOKUP(D205, Products!$A$2:$A$21, Products!$C$2:$C$21,"not found")</f>
        <v>Accessories</v>
      </c>
      <c r="H205" s="4">
        <f>_xlfn.XLOOKUP(D205, Products!$A$2:$A$21, Products!$E$2:$E$21, 0)</f>
        <v>149</v>
      </c>
      <c r="I205" s="4">
        <f>_xlfn.XLOOKUP(D205, Products!$A$2:$A$21, Products!$F$2:$F$21,0)</f>
        <v>72</v>
      </c>
      <c r="J205" t="str">
        <f>_xlfn.XLOOKUP(C205, Stores!$A$2:$A$7, Stores!$D$2:$D$7)</f>
        <v>Sydney South</v>
      </c>
      <c r="K205" s="4">
        <f t="shared" si="6"/>
        <v>149</v>
      </c>
      <c r="L205" s="4">
        <f t="shared" si="7"/>
        <v>77</v>
      </c>
      <c r="M205" s="10">
        <f>IF(Table1[[#This Row],[Revenue]]=0, "", Table1[[#This Row],[Profit]]/Table1[[#This Row],[Revenue]])</f>
        <v>0.51677852348993292</v>
      </c>
      <c r="N205" s="4" t="str">
        <f>IF(Table1[[#This Row],[Margin]]="", "check", IF(Table1[[#This Row],[Margin]]&lt;0.2, "Low", "OK"))</f>
        <v>OK</v>
      </c>
      <c r="O205" s="4" t="str" cm="1">
        <f t="array" ref="O205">_xlfn.IFS(Table1[[#This Row],[Revenue]]=0, "Check", Table1[[#This Row],[Revenue]]&gt;=1000, "Large", Table1[[#This Row],[Revenue]]&gt;=200, "Medium", TRUE, "Small")</f>
        <v>Small</v>
      </c>
      <c r="P205" s="4" t="str">
        <f>IF(AND(Table1[[#This Row],[Margin Flag]]="Low", Table1[[#This Row],[Revenue]]&gt;1000), "Review", "")</f>
        <v/>
      </c>
      <c r="Q205" s="4" t="str">
        <f>IF(OR(Table1[[#This Row],[Qty]]&gt;=5,Table1[[#This Row],[Order Size]] = "Large" ), "Bulk", "")</f>
        <v/>
      </c>
      <c r="R205" s="10">
        <f>_xlfn.XLOOKUP(G205, Lookup!$A$2:$A$7, Lookup!$B$2:$B$7, "")</f>
        <v>0.25</v>
      </c>
      <c r="S205" s="4" t="str">
        <f>IF(Table1[[#This Row],[Margin]]&lt;Table1[[#This Row],[Target Margin]], "Yes", "")</f>
        <v/>
      </c>
    </row>
    <row r="206" spans="1:19">
      <c r="A206" t="s">
        <v>251</v>
      </c>
      <c r="B206" s="2">
        <v>46231</v>
      </c>
      <c r="C206" t="s">
        <v>32</v>
      </c>
      <c r="D206" t="s">
        <v>99</v>
      </c>
      <c r="E206">
        <v>3</v>
      </c>
      <c r="F206" t="str">
        <f>_xlfn.XLOOKUP(D206, Products!$A$2:$A$21, Products!$B$2:$B$21, "Not Found")</f>
        <v>Smartphone 256GB</v>
      </c>
      <c r="G206" t="str">
        <f>_xlfn.XLOOKUP(D206, Products!$A$2:$A$21, Products!$C$2:$C$21,"not found")</f>
        <v>Phones</v>
      </c>
      <c r="H206" s="4">
        <f>_xlfn.XLOOKUP(D206, Products!$A$2:$A$21, Products!$E$2:$E$21, 0)</f>
        <v>1499</v>
      </c>
      <c r="I206" s="4">
        <f>_xlfn.XLOOKUP(D206, Products!$A$2:$A$21, Products!$F$2:$F$21,0)</f>
        <v>1180</v>
      </c>
      <c r="J206" t="str">
        <f>_xlfn.XLOOKUP(C206, Stores!$A$2:$A$7, Stores!$D$2:$D$7)</f>
        <v>Sydney South</v>
      </c>
      <c r="K206" s="4">
        <f t="shared" si="6"/>
        <v>4497</v>
      </c>
      <c r="L206" s="4">
        <f t="shared" si="7"/>
        <v>957</v>
      </c>
      <c r="M206" s="10">
        <f>IF(Table1[[#This Row],[Revenue]]=0, "", Table1[[#This Row],[Profit]]/Table1[[#This Row],[Revenue]])</f>
        <v>0.21280853902601735</v>
      </c>
      <c r="N206" s="4" t="str">
        <f>IF(Table1[[#This Row],[Margin]]="", "check", IF(Table1[[#This Row],[Margin]]&lt;0.2, "Low", "OK"))</f>
        <v>OK</v>
      </c>
      <c r="O206" s="4" t="str" cm="1">
        <f t="array" ref="O206">_xlfn.IFS(Table1[[#This Row],[Revenue]]=0, "Check", Table1[[#This Row],[Revenue]]&gt;=1000, "Large", Table1[[#This Row],[Revenue]]&gt;=200, "Medium", TRUE, "Small")</f>
        <v>Large</v>
      </c>
      <c r="P206" s="4" t="str">
        <f>IF(AND(Table1[[#This Row],[Margin Flag]]="Low", Table1[[#This Row],[Revenue]]&gt;1000), "Review", "")</f>
        <v/>
      </c>
      <c r="Q206" s="4" t="str">
        <f>IF(OR(Table1[[#This Row],[Qty]]&gt;=5,Table1[[#This Row],[Order Size]] = "Large" ), "Bulk", "")</f>
        <v>Bulk</v>
      </c>
      <c r="R206" s="10">
        <f>_xlfn.XLOOKUP(G206, Lookup!$A$2:$A$7, Lookup!$B$2:$B$7, "")</f>
        <v>0.25</v>
      </c>
      <c r="S206" s="4" t="str">
        <f>IF(Table1[[#This Row],[Margin]]&lt;Table1[[#This Row],[Target Margin]], "Yes", "")</f>
        <v>Yes</v>
      </c>
    </row>
    <row r="207" spans="1:19">
      <c r="A207" t="s">
        <v>252</v>
      </c>
      <c r="B207" s="2">
        <v>46231</v>
      </c>
      <c r="C207" t="s">
        <v>29</v>
      </c>
      <c r="D207" t="s">
        <v>67</v>
      </c>
      <c r="E207">
        <v>1</v>
      </c>
      <c r="F207" t="str">
        <f>_xlfn.XLOOKUP(D207, Products!$A$2:$A$21, Products!$B$2:$B$21, "Not Found")</f>
        <v>Soundbar</v>
      </c>
      <c r="G207" t="str">
        <f>_xlfn.XLOOKUP(D207, Products!$A$2:$A$21, Products!$C$2:$C$21,"not found")</f>
        <v>Audio</v>
      </c>
      <c r="H207" s="4">
        <f>_xlfn.XLOOKUP(D207, Products!$A$2:$A$21, Products!$E$2:$E$21, 0)</f>
        <v>699</v>
      </c>
      <c r="I207" s="4">
        <f>_xlfn.XLOOKUP(D207, Products!$A$2:$A$21, Products!$F$2:$F$21,0)</f>
        <v>450</v>
      </c>
      <c r="J207" t="str">
        <f>_xlfn.XLOOKUP(C207, Stores!$A$2:$A$7, Stores!$D$2:$D$7)</f>
        <v>Sydney West</v>
      </c>
      <c r="K207" s="4">
        <f t="shared" si="6"/>
        <v>699</v>
      </c>
      <c r="L207" s="4">
        <f t="shared" si="7"/>
        <v>249</v>
      </c>
      <c r="M207" s="10">
        <f>IF(Table1[[#This Row],[Revenue]]=0, "", Table1[[#This Row],[Profit]]/Table1[[#This Row],[Revenue]])</f>
        <v>0.35622317596566522</v>
      </c>
      <c r="N207" s="4" t="str">
        <f>IF(Table1[[#This Row],[Margin]]="", "check", IF(Table1[[#This Row],[Margin]]&lt;0.2, "Low", "OK"))</f>
        <v>OK</v>
      </c>
      <c r="O207" s="4" t="str" cm="1">
        <f t="array" ref="O207">_xlfn.IFS(Table1[[#This Row],[Revenue]]=0, "Check", Table1[[#This Row],[Revenue]]&gt;=1000, "Large", Table1[[#This Row],[Revenue]]&gt;=200, "Medium", TRUE, "Small")</f>
        <v>Medium</v>
      </c>
      <c r="P207" s="4" t="str">
        <f>IF(AND(Table1[[#This Row],[Margin Flag]]="Low", Table1[[#This Row],[Revenue]]&gt;1000), "Review", "")</f>
        <v/>
      </c>
      <c r="Q207" s="4" t="str">
        <f>IF(OR(Table1[[#This Row],[Qty]]&gt;=5,Table1[[#This Row],[Order Size]] = "Large" ), "Bulk", "")</f>
        <v/>
      </c>
      <c r="R207" s="10">
        <f>_xlfn.XLOOKUP(G207, Lookup!$A$2:$A$7, Lookup!$B$2:$B$7, "")</f>
        <v>0.25</v>
      </c>
      <c r="S207" s="4" t="str">
        <f>IF(Table1[[#This Row],[Margin]]&lt;Table1[[#This Row],[Target Margin]], "Yes", "")</f>
        <v/>
      </c>
    </row>
    <row r="208" spans="1:19">
      <c r="A208" t="s">
        <v>253</v>
      </c>
      <c r="B208" s="2">
        <v>46232</v>
      </c>
      <c r="C208" t="s">
        <v>32</v>
      </c>
      <c r="D208" t="s">
        <v>152</v>
      </c>
      <c r="E208">
        <v>1</v>
      </c>
      <c r="F208" t="str">
        <f>_xlfn.XLOOKUP(D208, Products!$A$2:$A$21, Products!$B$2:$B$21, "Not Found")</f>
        <v>Game Console</v>
      </c>
      <c r="G208" t="str">
        <f>_xlfn.XLOOKUP(D208, Products!$A$2:$A$21, Products!$C$2:$C$21,"not found")</f>
        <v>Gaming</v>
      </c>
      <c r="H208" s="4">
        <f>_xlfn.XLOOKUP(D208, Products!$A$2:$A$21, Products!$E$2:$E$21, 0)</f>
        <v>499</v>
      </c>
      <c r="I208" s="4">
        <f>_xlfn.XLOOKUP(D208, Products!$A$2:$A$21, Products!$F$2:$F$21,0)</f>
        <v>420</v>
      </c>
      <c r="J208" t="str">
        <f>_xlfn.XLOOKUP(C208, Stores!$A$2:$A$7, Stores!$D$2:$D$7)</f>
        <v>Sydney South</v>
      </c>
      <c r="K208" s="4">
        <f t="shared" si="6"/>
        <v>499</v>
      </c>
      <c r="L208" s="4">
        <f t="shared" si="7"/>
        <v>79</v>
      </c>
      <c r="M208" s="10">
        <f>IF(Table1[[#This Row],[Revenue]]=0, "", Table1[[#This Row],[Profit]]/Table1[[#This Row],[Revenue]])</f>
        <v>0.15831663326653306</v>
      </c>
      <c r="N208" s="4" t="str">
        <f>IF(Table1[[#This Row],[Margin]]="", "check", IF(Table1[[#This Row],[Margin]]&lt;0.2, "Low", "OK"))</f>
        <v>Low</v>
      </c>
      <c r="O208" s="4" t="str" cm="1">
        <f t="array" ref="O208">_xlfn.IFS(Table1[[#This Row],[Revenue]]=0, "Check", Table1[[#This Row],[Revenue]]&gt;=1000, "Large", Table1[[#This Row],[Revenue]]&gt;=200, "Medium", TRUE, "Small")</f>
        <v>Medium</v>
      </c>
      <c r="P208" s="4" t="str">
        <f>IF(AND(Table1[[#This Row],[Margin Flag]]="Low", Table1[[#This Row],[Revenue]]&gt;1000), "Review", "")</f>
        <v/>
      </c>
      <c r="Q208" s="4" t="str">
        <f>IF(OR(Table1[[#This Row],[Qty]]&gt;=5,Table1[[#This Row],[Order Size]] = "Large" ), "Bulk", "")</f>
        <v/>
      </c>
      <c r="R208" s="10">
        <f>_xlfn.XLOOKUP(G208, Lookup!$A$2:$A$7, Lookup!$B$2:$B$7, "")</f>
        <v>0.08</v>
      </c>
      <c r="S208" s="4" t="str">
        <f>IF(Table1[[#This Row],[Margin]]&lt;Table1[[#This Row],[Target Margin]], "Yes", "")</f>
        <v/>
      </c>
    </row>
    <row r="209" spans="1:19">
      <c r="A209" t="s">
        <v>254</v>
      </c>
      <c r="B209" s="2">
        <v>46232</v>
      </c>
      <c r="C209" t="s">
        <v>20</v>
      </c>
      <c r="D209" t="s">
        <v>69</v>
      </c>
      <c r="E209">
        <v>1</v>
      </c>
      <c r="F209" t="str">
        <f>_xlfn.XLOOKUP(D209, Products!$A$2:$A$21, Products!$B$2:$B$21, "Not Found")</f>
        <v>27in Monitor</v>
      </c>
      <c r="G209" t="str">
        <f>_xlfn.XLOOKUP(D209, Products!$A$2:$A$21, Products!$C$2:$C$21,"not found")</f>
        <v>Computers</v>
      </c>
      <c r="H209" s="4">
        <f>_xlfn.XLOOKUP(D209, Products!$A$2:$A$21, Products!$E$2:$E$21, 0)</f>
        <v>399</v>
      </c>
      <c r="I209" s="4">
        <f>_xlfn.XLOOKUP(D209, Products!$A$2:$A$21, Products!$F$2:$F$21,0)</f>
        <v>290</v>
      </c>
      <c r="J209" t="str">
        <f>_xlfn.XLOOKUP(C209, Stores!$A$2:$A$7, Stores!$D$2:$D$7)</f>
        <v>Sydney West</v>
      </c>
      <c r="K209" s="4">
        <f t="shared" si="6"/>
        <v>399</v>
      </c>
      <c r="L209" s="4">
        <f t="shared" si="7"/>
        <v>109</v>
      </c>
      <c r="M209" s="10">
        <f>IF(Table1[[#This Row],[Revenue]]=0, "", Table1[[#This Row],[Profit]]/Table1[[#This Row],[Revenue]])</f>
        <v>0.27318295739348369</v>
      </c>
      <c r="N209" s="4" t="str">
        <f>IF(Table1[[#This Row],[Margin]]="", "check", IF(Table1[[#This Row],[Margin]]&lt;0.2, "Low", "OK"))</f>
        <v>OK</v>
      </c>
      <c r="O209" s="4" t="str" cm="1">
        <f t="array" ref="O209">_xlfn.IFS(Table1[[#This Row],[Revenue]]=0, "Check", Table1[[#This Row],[Revenue]]&gt;=1000, "Large", Table1[[#This Row],[Revenue]]&gt;=200, "Medium", TRUE, "Small")</f>
        <v>Medium</v>
      </c>
      <c r="P209" s="4" t="str">
        <f>IF(AND(Table1[[#This Row],[Margin Flag]]="Low", Table1[[#This Row],[Revenue]]&gt;1000), "Review", "")</f>
        <v/>
      </c>
      <c r="Q209" s="4" t="str">
        <f>IF(OR(Table1[[#This Row],[Qty]]&gt;=5,Table1[[#This Row],[Order Size]] = "Large" ), "Bulk", "")</f>
        <v/>
      </c>
      <c r="R209" s="10">
        <f>_xlfn.XLOOKUP(G209, Lookup!$A$2:$A$7, Lookup!$B$2:$B$7, "")</f>
        <v>0.25</v>
      </c>
      <c r="S209" s="4" t="str">
        <f>IF(Table1[[#This Row],[Margin]]&lt;Table1[[#This Row],[Target Margin]], "Yes", "")</f>
        <v/>
      </c>
    </row>
    <row r="210" spans="1:19">
      <c r="A210" t="s">
        <v>255</v>
      </c>
      <c r="B210" s="2">
        <v>46232</v>
      </c>
      <c r="C210" t="s">
        <v>57</v>
      </c>
      <c r="D210" t="s">
        <v>106</v>
      </c>
      <c r="E210">
        <v>3</v>
      </c>
      <c r="F210" t="str">
        <f>_xlfn.XLOOKUP(D210, Products!$A$2:$A$21, Products!$B$2:$B$21, "Not Found")</f>
        <v>Laptop 14in</v>
      </c>
      <c r="G210" t="str">
        <f>_xlfn.XLOOKUP(D210, Products!$A$2:$A$21, Products!$C$2:$C$21,"not found")</f>
        <v>Computers</v>
      </c>
      <c r="H210" s="4">
        <f>_xlfn.XLOOKUP(D210, Products!$A$2:$A$21, Products!$E$2:$E$21, 0)</f>
        <v>1199</v>
      </c>
      <c r="I210" s="4">
        <f>_xlfn.XLOOKUP(D210, Products!$A$2:$A$21, Products!$F$2:$F$21,0)</f>
        <v>930</v>
      </c>
      <c r="J210" t="str">
        <f>_xlfn.XLOOKUP(C210, Stores!$A$2:$A$7, Stores!$D$2:$D$7)</f>
        <v>Sydney South</v>
      </c>
      <c r="K210" s="4">
        <f t="shared" si="6"/>
        <v>3597</v>
      </c>
      <c r="L210" s="4">
        <f t="shared" si="7"/>
        <v>807</v>
      </c>
      <c r="M210" s="10">
        <f>IF(Table1[[#This Row],[Revenue]]=0, "", Table1[[#This Row],[Profit]]/Table1[[#This Row],[Revenue]])</f>
        <v>0.22435362802335279</v>
      </c>
      <c r="N210" s="4" t="str">
        <f>IF(Table1[[#This Row],[Margin]]="", "check", IF(Table1[[#This Row],[Margin]]&lt;0.2, "Low", "OK"))</f>
        <v>OK</v>
      </c>
      <c r="O210" s="4" t="str" cm="1">
        <f t="array" ref="O210">_xlfn.IFS(Table1[[#This Row],[Revenue]]=0, "Check", Table1[[#This Row],[Revenue]]&gt;=1000, "Large", Table1[[#This Row],[Revenue]]&gt;=200, "Medium", TRUE, "Small")</f>
        <v>Large</v>
      </c>
      <c r="P210" s="4" t="str">
        <f>IF(AND(Table1[[#This Row],[Margin Flag]]="Low", Table1[[#This Row],[Revenue]]&gt;1000), "Review", "")</f>
        <v/>
      </c>
      <c r="Q210" s="4" t="str">
        <f>IF(OR(Table1[[#This Row],[Qty]]&gt;=5,Table1[[#This Row],[Order Size]] = "Large" ), "Bulk", "")</f>
        <v>Bulk</v>
      </c>
      <c r="R210" s="10">
        <f>_xlfn.XLOOKUP(G210, Lookup!$A$2:$A$7, Lookup!$B$2:$B$7, "")</f>
        <v>0.25</v>
      </c>
      <c r="S210" s="4" t="str">
        <f>IF(Table1[[#This Row],[Margin]]&lt;Table1[[#This Row],[Target Margin]], "Yes", "")</f>
        <v>Yes</v>
      </c>
    </row>
    <row r="211" spans="1:19">
      <c r="A211" t="s">
        <v>256</v>
      </c>
      <c r="B211" s="2">
        <v>46233</v>
      </c>
      <c r="C211" t="s">
        <v>29</v>
      </c>
      <c r="D211" t="s">
        <v>58</v>
      </c>
      <c r="E211">
        <v>1</v>
      </c>
      <c r="F211" t="str">
        <f>_xlfn.XLOOKUP(D211, Products!$A$2:$A$21, Products!$B$2:$B$21, "Not Found")</f>
        <v>Mech Keyboard</v>
      </c>
      <c r="G211" t="str">
        <f>_xlfn.XLOOKUP(D211, Products!$A$2:$A$21, Products!$C$2:$C$21,"not found")</f>
        <v>Accessories</v>
      </c>
      <c r="H211" s="4">
        <f>_xlfn.XLOOKUP(D211, Products!$A$2:$A$21, Products!$E$2:$E$21, 0)</f>
        <v>149</v>
      </c>
      <c r="I211" s="4">
        <f>_xlfn.XLOOKUP(D211, Products!$A$2:$A$21, Products!$F$2:$F$21,0)</f>
        <v>72</v>
      </c>
      <c r="J211" t="str">
        <f>_xlfn.XLOOKUP(C211, Stores!$A$2:$A$7, Stores!$D$2:$D$7)</f>
        <v>Sydney West</v>
      </c>
      <c r="K211" s="4">
        <f t="shared" si="6"/>
        <v>149</v>
      </c>
      <c r="L211" s="4">
        <f t="shared" si="7"/>
        <v>77</v>
      </c>
      <c r="M211" s="10">
        <f>IF(Table1[[#This Row],[Revenue]]=0, "", Table1[[#This Row],[Profit]]/Table1[[#This Row],[Revenue]])</f>
        <v>0.51677852348993292</v>
      </c>
      <c r="N211" s="4" t="str">
        <f>IF(Table1[[#This Row],[Margin]]="", "check", IF(Table1[[#This Row],[Margin]]&lt;0.2, "Low", "OK"))</f>
        <v>OK</v>
      </c>
      <c r="O211" s="4" t="str" cm="1">
        <f t="array" ref="O211">_xlfn.IFS(Table1[[#This Row],[Revenue]]=0, "Check", Table1[[#This Row],[Revenue]]&gt;=1000, "Large", Table1[[#This Row],[Revenue]]&gt;=200, "Medium", TRUE, "Small")</f>
        <v>Small</v>
      </c>
      <c r="P211" s="4" t="str">
        <f>IF(AND(Table1[[#This Row],[Margin Flag]]="Low", Table1[[#This Row],[Revenue]]&gt;1000), "Review", "")</f>
        <v/>
      </c>
      <c r="Q211" s="4" t="str">
        <f>IF(OR(Table1[[#This Row],[Qty]]&gt;=5,Table1[[#This Row],[Order Size]] = "Large" ), "Bulk", "")</f>
        <v/>
      </c>
      <c r="R211" s="10">
        <f>_xlfn.XLOOKUP(G211, Lookup!$A$2:$A$7, Lookup!$B$2:$B$7, "")</f>
        <v>0.25</v>
      </c>
      <c r="S211" s="4" t="str">
        <f>IF(Table1[[#This Row],[Margin]]&lt;Table1[[#This Row],[Target Margin]], "Yes", "")</f>
        <v/>
      </c>
    </row>
    <row r="212" spans="1:19">
      <c r="A212" t="s">
        <v>257</v>
      </c>
      <c r="B212" s="2">
        <v>46233</v>
      </c>
      <c r="C212" t="s">
        <v>20</v>
      </c>
      <c r="D212" t="s">
        <v>38</v>
      </c>
      <c r="E212">
        <v>2</v>
      </c>
      <c r="F212" t="str">
        <f>_xlfn.XLOOKUP(D212, Products!$A$2:$A$21, Products!$B$2:$B$21, "Not Found")</f>
        <v>USB-C Charger</v>
      </c>
      <c r="G212" t="str">
        <f>_xlfn.XLOOKUP(D212, Products!$A$2:$A$21, Products!$C$2:$C$21,"not found")</f>
        <v>Accessories</v>
      </c>
      <c r="H212" s="4">
        <f>_xlfn.XLOOKUP(D212, Products!$A$2:$A$21, Products!$E$2:$E$21, 0)</f>
        <v>49</v>
      </c>
      <c r="I212" s="4">
        <f>_xlfn.XLOOKUP(D212, Products!$A$2:$A$21, Products!$F$2:$F$21,0)</f>
        <v>14</v>
      </c>
      <c r="J212" t="str">
        <f>_xlfn.XLOOKUP(C212, Stores!$A$2:$A$7, Stores!$D$2:$D$7)</f>
        <v>Sydney West</v>
      </c>
      <c r="K212" s="4">
        <f t="shared" si="6"/>
        <v>98</v>
      </c>
      <c r="L212" s="4">
        <f t="shared" si="7"/>
        <v>70</v>
      </c>
      <c r="M212" s="10">
        <f>IF(Table1[[#This Row],[Revenue]]=0, "", Table1[[#This Row],[Profit]]/Table1[[#This Row],[Revenue]])</f>
        <v>0.7142857142857143</v>
      </c>
      <c r="N212" s="4" t="str">
        <f>IF(Table1[[#This Row],[Margin]]="", "check", IF(Table1[[#This Row],[Margin]]&lt;0.2, "Low", "OK"))</f>
        <v>OK</v>
      </c>
      <c r="O212" s="4" t="str" cm="1">
        <f t="array" ref="O212">_xlfn.IFS(Table1[[#This Row],[Revenue]]=0, "Check", Table1[[#This Row],[Revenue]]&gt;=1000, "Large", Table1[[#This Row],[Revenue]]&gt;=200, "Medium", TRUE, "Small")</f>
        <v>Small</v>
      </c>
      <c r="P212" s="4" t="str">
        <f>IF(AND(Table1[[#This Row],[Margin Flag]]="Low", Table1[[#This Row],[Revenue]]&gt;1000), "Review", "")</f>
        <v/>
      </c>
      <c r="Q212" s="4" t="str">
        <f>IF(OR(Table1[[#This Row],[Qty]]&gt;=5,Table1[[#This Row],[Order Size]] = "Large" ), "Bulk", "")</f>
        <v/>
      </c>
      <c r="R212" s="10">
        <f>_xlfn.XLOOKUP(G212, Lookup!$A$2:$A$7, Lookup!$B$2:$B$7, "")</f>
        <v>0.25</v>
      </c>
      <c r="S212" s="4" t="str">
        <f>IF(Table1[[#This Row],[Margin]]&lt;Table1[[#This Row],[Target Margin]], "Yes", "")</f>
        <v/>
      </c>
    </row>
    <row r="213" spans="1:19">
      <c r="A213" t="s">
        <v>258</v>
      </c>
      <c r="B213" s="2">
        <v>46233</v>
      </c>
      <c r="C213" t="s">
        <v>23</v>
      </c>
      <c r="D213" t="s">
        <v>99</v>
      </c>
      <c r="E213">
        <v>1</v>
      </c>
      <c r="F213" t="str">
        <f>_xlfn.XLOOKUP(D213, Products!$A$2:$A$21, Products!$B$2:$B$21, "Not Found")</f>
        <v>Smartphone 256GB</v>
      </c>
      <c r="G213" t="str">
        <f>_xlfn.XLOOKUP(D213, Products!$A$2:$A$21, Products!$C$2:$C$21,"not found")</f>
        <v>Phones</v>
      </c>
      <c r="H213" s="4">
        <f>_xlfn.XLOOKUP(D213, Products!$A$2:$A$21, Products!$E$2:$E$21, 0)</f>
        <v>1499</v>
      </c>
      <c r="I213" s="4">
        <f>_xlfn.XLOOKUP(D213, Products!$A$2:$A$21, Products!$F$2:$F$21,0)</f>
        <v>1180</v>
      </c>
      <c r="J213" t="str">
        <f>_xlfn.XLOOKUP(C213, Stores!$A$2:$A$7, Stores!$D$2:$D$7)</f>
        <v>Sydney East</v>
      </c>
      <c r="K213" s="4">
        <f t="shared" si="6"/>
        <v>1499</v>
      </c>
      <c r="L213" s="4">
        <f t="shared" si="7"/>
        <v>319</v>
      </c>
      <c r="M213" s="10">
        <f>IF(Table1[[#This Row],[Revenue]]=0, "", Table1[[#This Row],[Profit]]/Table1[[#This Row],[Revenue]])</f>
        <v>0.21280853902601735</v>
      </c>
      <c r="N213" s="4" t="str">
        <f>IF(Table1[[#This Row],[Margin]]="", "check", IF(Table1[[#This Row],[Margin]]&lt;0.2, "Low", "OK"))</f>
        <v>OK</v>
      </c>
      <c r="O213" s="4" t="str" cm="1">
        <f t="array" ref="O213">_xlfn.IFS(Table1[[#This Row],[Revenue]]=0, "Check", Table1[[#This Row],[Revenue]]&gt;=1000, "Large", Table1[[#This Row],[Revenue]]&gt;=200, "Medium", TRUE, "Small")</f>
        <v>Large</v>
      </c>
      <c r="P213" s="4" t="str">
        <f>IF(AND(Table1[[#This Row],[Margin Flag]]="Low", Table1[[#This Row],[Revenue]]&gt;1000), "Review", "")</f>
        <v/>
      </c>
      <c r="Q213" s="4" t="str">
        <f>IF(OR(Table1[[#This Row],[Qty]]&gt;=5,Table1[[#This Row],[Order Size]] = "Large" ), "Bulk", "")</f>
        <v>Bulk</v>
      </c>
      <c r="R213" s="10">
        <f>_xlfn.XLOOKUP(G213, Lookup!$A$2:$A$7, Lookup!$B$2:$B$7, "")</f>
        <v>0.25</v>
      </c>
      <c r="S213" s="4" t="str">
        <f>IF(Table1[[#This Row],[Margin]]&lt;Table1[[#This Row],[Target Margin]], "Yes", "")</f>
        <v>Yes</v>
      </c>
    </row>
    <row r="214" spans="1:19">
      <c r="A214" t="s">
        <v>259</v>
      </c>
      <c r="B214" s="2">
        <v>46233</v>
      </c>
      <c r="C214" t="s">
        <v>32</v>
      </c>
      <c r="D214" t="s">
        <v>30</v>
      </c>
      <c r="E214">
        <v>1</v>
      </c>
      <c r="F214" t="str">
        <f>_xlfn.XLOOKUP(D214, Products!$A$2:$A$21, Products!$B$2:$B$21, "Not Found")</f>
        <v>Video Game</v>
      </c>
      <c r="G214" t="str">
        <f>_xlfn.XLOOKUP(D214, Products!$A$2:$A$21, Products!$C$2:$C$21,"not found")</f>
        <v>Gaming</v>
      </c>
      <c r="H214" s="4">
        <f>_xlfn.XLOOKUP(D214, Products!$A$2:$A$21, Products!$E$2:$E$21, 0)</f>
        <v>79</v>
      </c>
      <c r="I214" s="4">
        <f>_xlfn.XLOOKUP(D214, Products!$A$2:$A$21, Products!$F$2:$F$21,0)</f>
        <v>52</v>
      </c>
      <c r="J214" t="str">
        <f>_xlfn.XLOOKUP(C214, Stores!$A$2:$A$7, Stores!$D$2:$D$7)</f>
        <v>Sydney South</v>
      </c>
      <c r="K214" s="4">
        <f t="shared" si="6"/>
        <v>79</v>
      </c>
      <c r="L214" s="4">
        <f t="shared" si="7"/>
        <v>27</v>
      </c>
      <c r="M214" s="10">
        <f>IF(Table1[[#This Row],[Revenue]]=0, "", Table1[[#This Row],[Profit]]/Table1[[#This Row],[Revenue]])</f>
        <v>0.34177215189873417</v>
      </c>
      <c r="N214" s="4" t="str">
        <f>IF(Table1[[#This Row],[Margin]]="", "check", IF(Table1[[#This Row],[Margin]]&lt;0.2, "Low", "OK"))</f>
        <v>OK</v>
      </c>
      <c r="O214" s="4" t="str" cm="1">
        <f t="array" ref="O214">_xlfn.IFS(Table1[[#This Row],[Revenue]]=0, "Check", Table1[[#This Row],[Revenue]]&gt;=1000, "Large", Table1[[#This Row],[Revenue]]&gt;=200, "Medium", TRUE, "Small")</f>
        <v>Small</v>
      </c>
      <c r="P214" s="4" t="str">
        <f>IF(AND(Table1[[#This Row],[Margin Flag]]="Low", Table1[[#This Row],[Revenue]]&gt;1000), "Review", "")</f>
        <v/>
      </c>
      <c r="Q214" s="4" t="str">
        <f>IF(OR(Table1[[#This Row],[Qty]]&gt;=5,Table1[[#This Row],[Order Size]] = "Large" ), "Bulk", "")</f>
        <v/>
      </c>
      <c r="R214" s="10">
        <f>_xlfn.XLOOKUP(G214, Lookup!$A$2:$A$7, Lookup!$B$2:$B$7, "")</f>
        <v>0.08</v>
      </c>
      <c r="S214" s="4" t="str">
        <f>IF(Table1[[#This Row],[Margin]]&lt;Table1[[#This Row],[Target Margin]], "Yes", "")</f>
        <v/>
      </c>
    </row>
    <row r="215" spans="1:19">
      <c r="A215" t="s">
        <v>260</v>
      </c>
      <c r="B215" s="2">
        <v>46233</v>
      </c>
      <c r="C215" t="s">
        <v>23</v>
      </c>
      <c r="D215" t="s">
        <v>38</v>
      </c>
      <c r="E215">
        <v>1</v>
      </c>
      <c r="F215" t="str">
        <f>_xlfn.XLOOKUP(D215, Products!$A$2:$A$21, Products!$B$2:$B$21, "Not Found")</f>
        <v>USB-C Charger</v>
      </c>
      <c r="G215" t="str">
        <f>_xlfn.XLOOKUP(D215, Products!$A$2:$A$21, Products!$C$2:$C$21,"not found")</f>
        <v>Accessories</v>
      </c>
      <c r="H215" s="4">
        <f>_xlfn.XLOOKUP(D215, Products!$A$2:$A$21, Products!$E$2:$E$21, 0)</f>
        <v>49</v>
      </c>
      <c r="I215" s="4">
        <f>_xlfn.XLOOKUP(D215, Products!$A$2:$A$21, Products!$F$2:$F$21,0)</f>
        <v>14</v>
      </c>
      <c r="J215" t="str">
        <f>_xlfn.XLOOKUP(C215, Stores!$A$2:$A$7, Stores!$D$2:$D$7)</f>
        <v>Sydney East</v>
      </c>
      <c r="K215" s="4">
        <f t="shared" si="6"/>
        <v>49</v>
      </c>
      <c r="L215" s="4">
        <f t="shared" si="7"/>
        <v>35</v>
      </c>
      <c r="M215" s="10">
        <f>IF(Table1[[#This Row],[Revenue]]=0, "", Table1[[#This Row],[Profit]]/Table1[[#This Row],[Revenue]])</f>
        <v>0.7142857142857143</v>
      </c>
      <c r="N215" s="4" t="str">
        <f>IF(Table1[[#This Row],[Margin]]="", "check", IF(Table1[[#This Row],[Margin]]&lt;0.2, "Low", "OK"))</f>
        <v>OK</v>
      </c>
      <c r="O215" s="4" t="str" cm="1">
        <f t="array" ref="O215">_xlfn.IFS(Table1[[#This Row],[Revenue]]=0, "Check", Table1[[#This Row],[Revenue]]&gt;=1000, "Large", Table1[[#This Row],[Revenue]]&gt;=200, "Medium", TRUE, "Small")</f>
        <v>Small</v>
      </c>
      <c r="P215" s="4" t="str">
        <f>IF(AND(Table1[[#This Row],[Margin Flag]]="Low", Table1[[#This Row],[Revenue]]&gt;1000), "Review", "")</f>
        <v/>
      </c>
      <c r="Q215" s="4" t="str">
        <f>IF(OR(Table1[[#This Row],[Qty]]&gt;=5,Table1[[#This Row],[Order Size]] = "Large" ), "Bulk", "")</f>
        <v/>
      </c>
      <c r="R215" s="10">
        <f>_xlfn.XLOOKUP(G215, Lookup!$A$2:$A$7, Lookup!$B$2:$B$7, "")</f>
        <v>0.25</v>
      </c>
      <c r="S215" s="4" t="str">
        <f>IF(Table1[[#This Row],[Margin]]&lt;Table1[[#This Row],[Target Margin]], "Yes", "")</f>
        <v/>
      </c>
    </row>
    <row r="216" spans="1:19">
      <c r="A216" t="s">
        <v>261</v>
      </c>
      <c r="B216" s="2">
        <v>46234</v>
      </c>
      <c r="C216" t="s">
        <v>29</v>
      </c>
      <c r="D216" t="s">
        <v>38</v>
      </c>
      <c r="E216">
        <v>2</v>
      </c>
      <c r="F216" t="str">
        <f>_xlfn.XLOOKUP(D216, Products!$A$2:$A$21, Products!$B$2:$B$21, "Not Found")</f>
        <v>USB-C Charger</v>
      </c>
      <c r="G216" t="str">
        <f>_xlfn.XLOOKUP(D216, Products!$A$2:$A$21, Products!$C$2:$C$21,"not found")</f>
        <v>Accessories</v>
      </c>
      <c r="H216" s="4">
        <f>_xlfn.XLOOKUP(D216, Products!$A$2:$A$21, Products!$E$2:$E$21, 0)</f>
        <v>49</v>
      </c>
      <c r="I216" s="4">
        <f>_xlfn.XLOOKUP(D216, Products!$A$2:$A$21, Products!$F$2:$F$21,0)</f>
        <v>14</v>
      </c>
      <c r="J216" t="str">
        <f>_xlfn.XLOOKUP(C216, Stores!$A$2:$A$7, Stores!$D$2:$D$7)</f>
        <v>Sydney West</v>
      </c>
      <c r="K216" s="4">
        <f t="shared" si="6"/>
        <v>98</v>
      </c>
      <c r="L216" s="4">
        <f t="shared" si="7"/>
        <v>70</v>
      </c>
      <c r="M216" s="10">
        <f>IF(Table1[[#This Row],[Revenue]]=0, "", Table1[[#This Row],[Profit]]/Table1[[#This Row],[Revenue]])</f>
        <v>0.7142857142857143</v>
      </c>
      <c r="N216" s="4" t="str">
        <f>IF(Table1[[#This Row],[Margin]]="", "check", IF(Table1[[#This Row],[Margin]]&lt;0.2, "Low", "OK"))</f>
        <v>OK</v>
      </c>
      <c r="O216" s="4" t="str" cm="1">
        <f t="array" ref="O216">_xlfn.IFS(Table1[[#This Row],[Revenue]]=0, "Check", Table1[[#This Row],[Revenue]]&gt;=1000, "Large", Table1[[#This Row],[Revenue]]&gt;=200, "Medium", TRUE, "Small")</f>
        <v>Small</v>
      </c>
      <c r="P216" s="4" t="str">
        <f>IF(AND(Table1[[#This Row],[Margin Flag]]="Low", Table1[[#This Row],[Revenue]]&gt;1000), "Review", "")</f>
        <v/>
      </c>
      <c r="Q216" s="4" t="str">
        <f>IF(OR(Table1[[#This Row],[Qty]]&gt;=5,Table1[[#This Row],[Order Size]] = "Large" ), "Bulk", "")</f>
        <v/>
      </c>
      <c r="R216" s="10">
        <f>_xlfn.XLOOKUP(G216, Lookup!$A$2:$A$7, Lookup!$B$2:$B$7, "")</f>
        <v>0.25</v>
      </c>
      <c r="S216" s="4" t="str">
        <f>IF(Table1[[#This Row],[Margin]]&lt;Table1[[#This Row],[Target Margin]], "Yes", "")</f>
        <v/>
      </c>
    </row>
    <row r="217" spans="1:19">
      <c r="A217" t="s">
        <v>262</v>
      </c>
      <c r="B217" s="2">
        <v>46234</v>
      </c>
      <c r="C217" t="s">
        <v>23</v>
      </c>
      <c r="D217" t="s">
        <v>24</v>
      </c>
      <c r="E217">
        <v>1</v>
      </c>
      <c r="F217" t="str">
        <f>_xlfn.XLOOKUP(D217, Products!$A$2:$A$21, Products!$B$2:$B$21, "Not Found")</f>
        <v>Wireless Earbuds</v>
      </c>
      <c r="G217" t="str">
        <f>_xlfn.XLOOKUP(D217, Products!$A$2:$A$21, Products!$C$2:$C$21,"not found")</f>
        <v>Audio</v>
      </c>
      <c r="H217" s="4">
        <f>_xlfn.XLOOKUP(D217, Products!$A$2:$A$21, Products!$E$2:$E$21, 0)</f>
        <v>249</v>
      </c>
      <c r="I217" s="4">
        <f>_xlfn.XLOOKUP(D217, Products!$A$2:$A$21, Products!$F$2:$F$21,0)</f>
        <v>140</v>
      </c>
      <c r="J217" t="str">
        <f>_xlfn.XLOOKUP(C217, Stores!$A$2:$A$7, Stores!$D$2:$D$7)</f>
        <v>Sydney East</v>
      </c>
      <c r="K217" s="4">
        <f t="shared" si="6"/>
        <v>249</v>
      </c>
      <c r="L217" s="4">
        <f t="shared" si="7"/>
        <v>109</v>
      </c>
      <c r="M217" s="10">
        <f>IF(Table1[[#This Row],[Revenue]]=0, "", Table1[[#This Row],[Profit]]/Table1[[#This Row],[Revenue]])</f>
        <v>0.43775100401606426</v>
      </c>
      <c r="N217" s="4" t="str">
        <f>IF(Table1[[#This Row],[Margin]]="", "check", IF(Table1[[#This Row],[Margin]]&lt;0.2, "Low", "OK"))</f>
        <v>OK</v>
      </c>
      <c r="O217" s="4" t="str" cm="1">
        <f t="array" ref="O217">_xlfn.IFS(Table1[[#This Row],[Revenue]]=0, "Check", Table1[[#This Row],[Revenue]]&gt;=1000, "Large", Table1[[#This Row],[Revenue]]&gt;=200, "Medium", TRUE, "Small")</f>
        <v>Medium</v>
      </c>
      <c r="P217" s="4" t="str">
        <f>IF(AND(Table1[[#This Row],[Margin Flag]]="Low", Table1[[#This Row],[Revenue]]&gt;1000), "Review", "")</f>
        <v/>
      </c>
      <c r="Q217" s="4" t="str">
        <f>IF(OR(Table1[[#This Row],[Qty]]&gt;=5,Table1[[#This Row],[Order Size]] = "Large" ), "Bulk", "")</f>
        <v/>
      </c>
      <c r="R217" s="10">
        <f>_xlfn.XLOOKUP(G217, Lookup!$A$2:$A$7, Lookup!$B$2:$B$7, "")</f>
        <v>0.25</v>
      </c>
      <c r="S217" s="4" t="str">
        <f>IF(Table1[[#This Row],[Margin]]&lt;Table1[[#This Row],[Target Margin]], "Yes", "")</f>
        <v/>
      </c>
    </row>
    <row r="218" spans="1:19">
      <c r="A218" t="s">
        <v>263</v>
      </c>
      <c r="B218" s="2">
        <v>46234</v>
      </c>
      <c r="C218" t="s">
        <v>29</v>
      </c>
      <c r="D218" t="s">
        <v>27</v>
      </c>
      <c r="E218">
        <v>1</v>
      </c>
      <c r="F218" t="str">
        <f>_xlfn.XLOOKUP(D218, Products!$A$2:$A$21, Products!$B$2:$B$21, "Not Found")</f>
        <v>Bluetooth Speaker</v>
      </c>
      <c r="G218" t="str">
        <f>_xlfn.XLOOKUP(D218, Products!$A$2:$A$21, Products!$C$2:$C$21,"not found")</f>
        <v>Audio</v>
      </c>
      <c r="H218" s="4">
        <f>_xlfn.XLOOKUP(D218, Products!$A$2:$A$21, Products!$E$2:$E$21, 0)</f>
        <v>179</v>
      </c>
      <c r="I218" s="4">
        <f>_xlfn.XLOOKUP(D218, Products!$A$2:$A$21, Products!$F$2:$F$21,0)</f>
        <v>95</v>
      </c>
      <c r="J218" t="str">
        <f>_xlfn.XLOOKUP(C218, Stores!$A$2:$A$7, Stores!$D$2:$D$7)</f>
        <v>Sydney West</v>
      </c>
      <c r="K218" s="4">
        <f t="shared" si="6"/>
        <v>179</v>
      </c>
      <c r="L218" s="4">
        <f t="shared" si="7"/>
        <v>84</v>
      </c>
      <c r="M218" s="10">
        <f>IF(Table1[[#This Row],[Revenue]]=0, "", Table1[[#This Row],[Profit]]/Table1[[#This Row],[Revenue]])</f>
        <v>0.46927374301675978</v>
      </c>
      <c r="N218" s="4" t="str">
        <f>IF(Table1[[#This Row],[Margin]]="", "check", IF(Table1[[#This Row],[Margin]]&lt;0.2, "Low", "OK"))</f>
        <v>OK</v>
      </c>
      <c r="O218" s="4" t="str" cm="1">
        <f t="array" ref="O218">_xlfn.IFS(Table1[[#This Row],[Revenue]]=0, "Check", Table1[[#This Row],[Revenue]]&gt;=1000, "Large", Table1[[#This Row],[Revenue]]&gt;=200, "Medium", TRUE, "Small")</f>
        <v>Small</v>
      </c>
      <c r="P218" s="4" t="str">
        <f>IF(AND(Table1[[#This Row],[Margin Flag]]="Low", Table1[[#This Row],[Revenue]]&gt;1000), "Review", "")</f>
        <v/>
      </c>
      <c r="Q218" s="4" t="str">
        <f>IF(OR(Table1[[#This Row],[Qty]]&gt;=5,Table1[[#This Row],[Order Size]] = "Large" ), "Bulk", "")</f>
        <v/>
      </c>
      <c r="R218" s="10">
        <f>_xlfn.XLOOKUP(G218, Lookup!$A$2:$A$7, Lookup!$B$2:$B$7, "")</f>
        <v>0.25</v>
      </c>
      <c r="S218" s="4" t="str">
        <f>IF(Table1[[#This Row],[Margin]]&lt;Table1[[#This Row],[Target Margin]], "Yes", "")</f>
        <v/>
      </c>
    </row>
    <row r="219" spans="1:19">
      <c r="A219" t="s">
        <v>264</v>
      </c>
      <c r="B219" s="2">
        <v>46235</v>
      </c>
      <c r="C219" t="s">
        <v>29</v>
      </c>
      <c r="D219" t="s">
        <v>38</v>
      </c>
      <c r="E219">
        <v>1</v>
      </c>
      <c r="F219" t="str">
        <f>_xlfn.XLOOKUP(D219, Products!$A$2:$A$21, Products!$B$2:$B$21, "Not Found")</f>
        <v>USB-C Charger</v>
      </c>
      <c r="G219" t="str">
        <f>_xlfn.XLOOKUP(D219, Products!$A$2:$A$21, Products!$C$2:$C$21,"not found")</f>
        <v>Accessories</v>
      </c>
      <c r="H219" s="4">
        <f>_xlfn.XLOOKUP(D219, Products!$A$2:$A$21, Products!$E$2:$E$21, 0)</f>
        <v>49</v>
      </c>
      <c r="I219" s="4">
        <f>_xlfn.XLOOKUP(D219, Products!$A$2:$A$21, Products!$F$2:$F$21,0)</f>
        <v>14</v>
      </c>
      <c r="J219" t="str">
        <f>_xlfn.XLOOKUP(C219, Stores!$A$2:$A$7, Stores!$D$2:$D$7)</f>
        <v>Sydney West</v>
      </c>
      <c r="K219" s="4">
        <f t="shared" si="6"/>
        <v>49</v>
      </c>
      <c r="L219" s="4">
        <f t="shared" si="7"/>
        <v>35</v>
      </c>
      <c r="M219" s="10">
        <f>IF(Table1[[#This Row],[Revenue]]=0, "", Table1[[#This Row],[Profit]]/Table1[[#This Row],[Revenue]])</f>
        <v>0.7142857142857143</v>
      </c>
      <c r="N219" s="4" t="str">
        <f>IF(Table1[[#This Row],[Margin]]="", "check", IF(Table1[[#This Row],[Margin]]&lt;0.2, "Low", "OK"))</f>
        <v>OK</v>
      </c>
      <c r="O219" s="4" t="str" cm="1">
        <f t="array" ref="O219">_xlfn.IFS(Table1[[#This Row],[Revenue]]=0, "Check", Table1[[#This Row],[Revenue]]&gt;=1000, "Large", Table1[[#This Row],[Revenue]]&gt;=200, "Medium", TRUE, "Small")</f>
        <v>Small</v>
      </c>
      <c r="P219" s="4" t="str">
        <f>IF(AND(Table1[[#This Row],[Margin Flag]]="Low", Table1[[#This Row],[Revenue]]&gt;1000), "Review", "")</f>
        <v/>
      </c>
      <c r="Q219" s="4" t="str">
        <f>IF(OR(Table1[[#This Row],[Qty]]&gt;=5,Table1[[#This Row],[Order Size]] = "Large" ), "Bulk", "")</f>
        <v/>
      </c>
      <c r="R219" s="10">
        <f>_xlfn.XLOOKUP(G219, Lookup!$A$2:$A$7, Lookup!$B$2:$B$7, "")</f>
        <v>0.25</v>
      </c>
      <c r="S219" s="4" t="str">
        <f>IF(Table1[[#This Row],[Margin]]&lt;Table1[[#This Row],[Target Margin]], "Yes", "")</f>
        <v/>
      </c>
    </row>
    <row r="220" spans="1:19">
      <c r="A220" t="s">
        <v>265</v>
      </c>
      <c r="B220" s="2">
        <v>46235</v>
      </c>
      <c r="C220" t="s">
        <v>29</v>
      </c>
      <c r="D220" t="s">
        <v>35</v>
      </c>
      <c r="E220">
        <v>1</v>
      </c>
      <c r="F220" t="str">
        <f>_xlfn.XLOOKUP(D220, Products!$A$2:$A$21, Products!$B$2:$B$21, "Not Found")</f>
        <v>Phone Case</v>
      </c>
      <c r="G220" t="str">
        <f>_xlfn.XLOOKUP(D220, Products!$A$2:$A$21, Products!$C$2:$C$21,"not found")</f>
        <v>Accessories</v>
      </c>
      <c r="H220" s="4">
        <f>_xlfn.XLOOKUP(D220, Products!$A$2:$A$21, Products!$E$2:$E$21, 0)</f>
        <v>39</v>
      </c>
      <c r="I220" s="4">
        <f>_xlfn.XLOOKUP(D220, Products!$A$2:$A$21, Products!$F$2:$F$21,0)</f>
        <v>9</v>
      </c>
      <c r="J220" t="str">
        <f>_xlfn.XLOOKUP(C220, Stores!$A$2:$A$7, Stores!$D$2:$D$7)</f>
        <v>Sydney West</v>
      </c>
      <c r="K220" s="4">
        <f t="shared" si="6"/>
        <v>39</v>
      </c>
      <c r="L220" s="4">
        <f t="shared" si="7"/>
        <v>30</v>
      </c>
      <c r="M220" s="10">
        <f>IF(Table1[[#This Row],[Revenue]]=0, "", Table1[[#This Row],[Profit]]/Table1[[#This Row],[Revenue]])</f>
        <v>0.76923076923076927</v>
      </c>
      <c r="N220" s="4" t="str">
        <f>IF(Table1[[#This Row],[Margin]]="", "check", IF(Table1[[#This Row],[Margin]]&lt;0.2, "Low", "OK"))</f>
        <v>OK</v>
      </c>
      <c r="O220" s="4" t="str" cm="1">
        <f t="array" ref="O220">_xlfn.IFS(Table1[[#This Row],[Revenue]]=0, "Check", Table1[[#This Row],[Revenue]]&gt;=1000, "Large", Table1[[#This Row],[Revenue]]&gt;=200, "Medium", TRUE, "Small")</f>
        <v>Small</v>
      </c>
      <c r="P220" s="4" t="str">
        <f>IF(AND(Table1[[#This Row],[Margin Flag]]="Low", Table1[[#This Row],[Revenue]]&gt;1000), "Review", "")</f>
        <v/>
      </c>
      <c r="Q220" s="4" t="str">
        <f>IF(OR(Table1[[#This Row],[Qty]]&gt;=5,Table1[[#This Row],[Order Size]] = "Large" ), "Bulk", "")</f>
        <v/>
      </c>
      <c r="R220" s="10">
        <f>_xlfn.XLOOKUP(G220, Lookup!$A$2:$A$7, Lookup!$B$2:$B$7, "")</f>
        <v>0.25</v>
      </c>
      <c r="S220" s="4" t="str">
        <f>IF(Table1[[#This Row],[Margin]]&lt;Table1[[#This Row],[Target Margin]], "Yes", "")</f>
        <v/>
      </c>
    </row>
    <row r="221" spans="1:19">
      <c r="A221" t="s">
        <v>266</v>
      </c>
      <c r="B221" s="2">
        <v>46235</v>
      </c>
      <c r="C221" t="s">
        <v>26</v>
      </c>
      <c r="D221" t="s">
        <v>30</v>
      </c>
      <c r="E221">
        <v>1</v>
      </c>
      <c r="F221" t="str">
        <f>_xlfn.XLOOKUP(D221, Products!$A$2:$A$21, Products!$B$2:$B$21, "Not Found")</f>
        <v>Video Game</v>
      </c>
      <c r="G221" t="str">
        <f>_xlfn.XLOOKUP(D221, Products!$A$2:$A$21, Products!$C$2:$C$21,"not found")</f>
        <v>Gaming</v>
      </c>
      <c r="H221" s="4">
        <f>_xlfn.XLOOKUP(D221, Products!$A$2:$A$21, Products!$E$2:$E$21, 0)</f>
        <v>79</v>
      </c>
      <c r="I221" s="4">
        <f>_xlfn.XLOOKUP(D221, Products!$A$2:$A$21, Products!$F$2:$F$21,0)</f>
        <v>52</v>
      </c>
      <c r="J221" t="str">
        <f>_xlfn.XLOOKUP(C221, Stores!$A$2:$A$7, Stores!$D$2:$D$7)</f>
        <v>Sydney North</v>
      </c>
      <c r="K221" s="4">
        <f t="shared" si="6"/>
        <v>79</v>
      </c>
      <c r="L221" s="4">
        <f t="shared" si="7"/>
        <v>27</v>
      </c>
      <c r="M221" s="10">
        <f>IF(Table1[[#This Row],[Revenue]]=0, "", Table1[[#This Row],[Profit]]/Table1[[#This Row],[Revenue]])</f>
        <v>0.34177215189873417</v>
      </c>
      <c r="N221" s="4" t="str">
        <f>IF(Table1[[#This Row],[Margin]]="", "check", IF(Table1[[#This Row],[Margin]]&lt;0.2, "Low", "OK"))</f>
        <v>OK</v>
      </c>
      <c r="O221" s="4" t="str" cm="1">
        <f t="array" ref="O221">_xlfn.IFS(Table1[[#This Row],[Revenue]]=0, "Check", Table1[[#This Row],[Revenue]]&gt;=1000, "Large", Table1[[#This Row],[Revenue]]&gt;=200, "Medium", TRUE, "Small")</f>
        <v>Small</v>
      </c>
      <c r="P221" s="4" t="str">
        <f>IF(AND(Table1[[#This Row],[Margin Flag]]="Low", Table1[[#This Row],[Revenue]]&gt;1000), "Review", "")</f>
        <v/>
      </c>
      <c r="Q221" s="4" t="str">
        <f>IF(OR(Table1[[#This Row],[Qty]]&gt;=5,Table1[[#This Row],[Order Size]] = "Large" ), "Bulk", "")</f>
        <v/>
      </c>
      <c r="R221" s="10">
        <f>_xlfn.XLOOKUP(G221, Lookup!$A$2:$A$7, Lookup!$B$2:$B$7, "")</f>
        <v>0.08</v>
      </c>
      <c r="S221" s="4" t="str">
        <f>IF(Table1[[#This Row],[Margin]]&lt;Table1[[#This Row],[Target Margin]], "Yes", "")</f>
        <v/>
      </c>
    </row>
    <row r="222" spans="1:19">
      <c r="A222" t="s">
        <v>267</v>
      </c>
      <c r="B222" s="2">
        <v>46235</v>
      </c>
      <c r="C222" t="s">
        <v>57</v>
      </c>
      <c r="D222" t="s">
        <v>24</v>
      </c>
      <c r="E222">
        <v>1</v>
      </c>
      <c r="F222" t="str">
        <f>_xlfn.XLOOKUP(D222, Products!$A$2:$A$21, Products!$B$2:$B$21, "Not Found")</f>
        <v>Wireless Earbuds</v>
      </c>
      <c r="G222" t="str">
        <f>_xlfn.XLOOKUP(D222, Products!$A$2:$A$21, Products!$C$2:$C$21,"not found")</f>
        <v>Audio</v>
      </c>
      <c r="H222" s="4">
        <f>_xlfn.XLOOKUP(D222, Products!$A$2:$A$21, Products!$E$2:$E$21, 0)</f>
        <v>249</v>
      </c>
      <c r="I222" s="4">
        <f>_xlfn.XLOOKUP(D222, Products!$A$2:$A$21, Products!$F$2:$F$21,0)</f>
        <v>140</v>
      </c>
      <c r="J222" t="str">
        <f>_xlfn.XLOOKUP(C222, Stores!$A$2:$A$7, Stores!$D$2:$D$7)</f>
        <v>Sydney South</v>
      </c>
      <c r="K222" s="4">
        <f t="shared" si="6"/>
        <v>249</v>
      </c>
      <c r="L222" s="4">
        <f t="shared" si="7"/>
        <v>109</v>
      </c>
      <c r="M222" s="10">
        <f>IF(Table1[[#This Row],[Revenue]]=0, "", Table1[[#This Row],[Profit]]/Table1[[#This Row],[Revenue]])</f>
        <v>0.43775100401606426</v>
      </c>
      <c r="N222" s="4" t="str">
        <f>IF(Table1[[#This Row],[Margin]]="", "check", IF(Table1[[#This Row],[Margin]]&lt;0.2, "Low", "OK"))</f>
        <v>OK</v>
      </c>
      <c r="O222" s="4" t="str" cm="1">
        <f t="array" ref="O222">_xlfn.IFS(Table1[[#This Row],[Revenue]]=0, "Check", Table1[[#This Row],[Revenue]]&gt;=1000, "Large", Table1[[#This Row],[Revenue]]&gt;=200, "Medium", TRUE, "Small")</f>
        <v>Medium</v>
      </c>
      <c r="P222" s="4" t="str">
        <f>IF(AND(Table1[[#This Row],[Margin Flag]]="Low", Table1[[#This Row],[Revenue]]&gt;1000), "Review", "")</f>
        <v/>
      </c>
      <c r="Q222" s="4" t="str">
        <f>IF(OR(Table1[[#This Row],[Qty]]&gt;=5,Table1[[#This Row],[Order Size]] = "Large" ), "Bulk", "")</f>
        <v/>
      </c>
      <c r="R222" s="10">
        <f>_xlfn.XLOOKUP(G222, Lookup!$A$2:$A$7, Lookup!$B$2:$B$7, "")</f>
        <v>0.25</v>
      </c>
      <c r="S222" s="4" t="str">
        <f>IF(Table1[[#This Row],[Margin]]&lt;Table1[[#This Row],[Target Margin]], "Yes", "")</f>
        <v/>
      </c>
    </row>
    <row r="223" spans="1:19">
      <c r="A223" t="s">
        <v>268</v>
      </c>
      <c r="B223" s="2">
        <v>46235</v>
      </c>
      <c r="C223" t="s">
        <v>29</v>
      </c>
      <c r="D223" t="s">
        <v>24</v>
      </c>
      <c r="E223">
        <v>1</v>
      </c>
      <c r="F223" t="str">
        <f>_xlfn.XLOOKUP(D223, Products!$A$2:$A$21, Products!$B$2:$B$21, "Not Found")</f>
        <v>Wireless Earbuds</v>
      </c>
      <c r="G223" t="str">
        <f>_xlfn.XLOOKUP(D223, Products!$A$2:$A$21, Products!$C$2:$C$21,"not found")</f>
        <v>Audio</v>
      </c>
      <c r="H223" s="4">
        <f>_xlfn.XLOOKUP(D223, Products!$A$2:$A$21, Products!$E$2:$E$21, 0)</f>
        <v>249</v>
      </c>
      <c r="I223" s="4">
        <f>_xlfn.XLOOKUP(D223, Products!$A$2:$A$21, Products!$F$2:$F$21,0)</f>
        <v>140</v>
      </c>
      <c r="J223" t="str">
        <f>_xlfn.XLOOKUP(C223, Stores!$A$2:$A$7, Stores!$D$2:$D$7)</f>
        <v>Sydney West</v>
      </c>
      <c r="K223" s="4">
        <f t="shared" si="6"/>
        <v>249</v>
      </c>
      <c r="L223" s="4">
        <f t="shared" si="7"/>
        <v>109</v>
      </c>
      <c r="M223" s="10">
        <f>IF(Table1[[#This Row],[Revenue]]=0, "", Table1[[#This Row],[Profit]]/Table1[[#This Row],[Revenue]])</f>
        <v>0.43775100401606426</v>
      </c>
      <c r="N223" s="4" t="str">
        <f>IF(Table1[[#This Row],[Margin]]="", "check", IF(Table1[[#This Row],[Margin]]&lt;0.2, "Low", "OK"))</f>
        <v>OK</v>
      </c>
      <c r="O223" s="4" t="str" cm="1">
        <f t="array" ref="O223">_xlfn.IFS(Table1[[#This Row],[Revenue]]=0, "Check", Table1[[#This Row],[Revenue]]&gt;=1000, "Large", Table1[[#This Row],[Revenue]]&gt;=200, "Medium", TRUE, "Small")</f>
        <v>Medium</v>
      </c>
      <c r="P223" s="4" t="str">
        <f>IF(AND(Table1[[#This Row],[Margin Flag]]="Low", Table1[[#This Row],[Revenue]]&gt;1000), "Review", "")</f>
        <v/>
      </c>
      <c r="Q223" s="4" t="str">
        <f>IF(OR(Table1[[#This Row],[Qty]]&gt;=5,Table1[[#This Row],[Order Size]] = "Large" ), "Bulk", "")</f>
        <v/>
      </c>
      <c r="R223" s="10">
        <f>_xlfn.XLOOKUP(G223, Lookup!$A$2:$A$7, Lookup!$B$2:$B$7, "")</f>
        <v>0.25</v>
      </c>
      <c r="S223" s="4" t="str">
        <f>IF(Table1[[#This Row],[Margin]]&lt;Table1[[#This Row],[Target Margin]], "Yes", "")</f>
        <v/>
      </c>
    </row>
    <row r="224" spans="1:19">
      <c r="A224" t="s">
        <v>269</v>
      </c>
      <c r="B224" s="2">
        <v>46235</v>
      </c>
      <c r="C224" t="s">
        <v>26</v>
      </c>
      <c r="D224" t="s">
        <v>43</v>
      </c>
      <c r="E224">
        <v>1</v>
      </c>
      <c r="F224" t="str">
        <f>_xlfn.XLOOKUP(D224, Products!$A$2:$A$21, Products!$B$2:$B$21, "Not Found")</f>
        <v>Console Controller</v>
      </c>
      <c r="G224" t="str">
        <f>_xlfn.XLOOKUP(D224, Products!$A$2:$A$21, Products!$C$2:$C$21,"not found")</f>
        <v>Gaming</v>
      </c>
      <c r="H224" s="4">
        <f>_xlfn.XLOOKUP(D224, Products!$A$2:$A$21, Products!$E$2:$E$21, 0)</f>
        <v>99</v>
      </c>
      <c r="I224" s="4">
        <f>_xlfn.XLOOKUP(D224, Products!$A$2:$A$21, Products!$F$2:$F$21,0)</f>
        <v>58</v>
      </c>
      <c r="J224" t="str">
        <f>_xlfn.XLOOKUP(C224, Stores!$A$2:$A$7, Stores!$D$2:$D$7)</f>
        <v>Sydney North</v>
      </c>
      <c r="K224" s="4">
        <f t="shared" si="6"/>
        <v>99</v>
      </c>
      <c r="L224" s="4">
        <f t="shared" si="7"/>
        <v>41</v>
      </c>
      <c r="M224" s="10">
        <f>IF(Table1[[#This Row],[Revenue]]=0, "", Table1[[#This Row],[Profit]]/Table1[[#This Row],[Revenue]])</f>
        <v>0.41414141414141414</v>
      </c>
      <c r="N224" s="4" t="str">
        <f>IF(Table1[[#This Row],[Margin]]="", "check", IF(Table1[[#This Row],[Margin]]&lt;0.2, "Low", "OK"))</f>
        <v>OK</v>
      </c>
      <c r="O224" s="4" t="str" cm="1">
        <f t="array" ref="O224">_xlfn.IFS(Table1[[#This Row],[Revenue]]=0, "Check", Table1[[#This Row],[Revenue]]&gt;=1000, "Large", Table1[[#This Row],[Revenue]]&gt;=200, "Medium", TRUE, "Small")</f>
        <v>Small</v>
      </c>
      <c r="P224" s="4" t="str">
        <f>IF(AND(Table1[[#This Row],[Margin Flag]]="Low", Table1[[#This Row],[Revenue]]&gt;1000), "Review", "")</f>
        <v/>
      </c>
      <c r="Q224" s="4" t="str">
        <f>IF(OR(Table1[[#This Row],[Qty]]&gt;=5,Table1[[#This Row],[Order Size]] = "Large" ), "Bulk", "")</f>
        <v/>
      </c>
      <c r="R224" s="10">
        <f>_xlfn.XLOOKUP(G224, Lookup!$A$2:$A$7, Lookup!$B$2:$B$7, "")</f>
        <v>0.08</v>
      </c>
      <c r="S224" s="4" t="str">
        <f>IF(Table1[[#This Row],[Margin]]&lt;Table1[[#This Row],[Target Margin]], "Yes", "")</f>
        <v/>
      </c>
    </row>
    <row r="225" spans="1:19">
      <c r="A225" t="s">
        <v>270</v>
      </c>
      <c r="B225" s="2">
        <v>46235</v>
      </c>
      <c r="C225" t="s">
        <v>29</v>
      </c>
      <c r="D225" t="s">
        <v>58</v>
      </c>
      <c r="E225">
        <v>1</v>
      </c>
      <c r="F225" t="str">
        <f>_xlfn.XLOOKUP(D225, Products!$A$2:$A$21, Products!$B$2:$B$21, "Not Found")</f>
        <v>Mech Keyboard</v>
      </c>
      <c r="G225" t="str">
        <f>_xlfn.XLOOKUP(D225, Products!$A$2:$A$21, Products!$C$2:$C$21,"not found")</f>
        <v>Accessories</v>
      </c>
      <c r="H225" s="4">
        <f>_xlfn.XLOOKUP(D225, Products!$A$2:$A$21, Products!$E$2:$E$21, 0)</f>
        <v>149</v>
      </c>
      <c r="I225" s="4">
        <f>_xlfn.XLOOKUP(D225, Products!$A$2:$A$21, Products!$F$2:$F$21,0)</f>
        <v>72</v>
      </c>
      <c r="J225" t="str">
        <f>_xlfn.XLOOKUP(C225, Stores!$A$2:$A$7, Stores!$D$2:$D$7)</f>
        <v>Sydney West</v>
      </c>
      <c r="K225" s="4">
        <f t="shared" si="6"/>
        <v>149</v>
      </c>
      <c r="L225" s="4">
        <f t="shared" si="7"/>
        <v>77</v>
      </c>
      <c r="M225" s="10">
        <f>IF(Table1[[#This Row],[Revenue]]=0, "", Table1[[#This Row],[Profit]]/Table1[[#This Row],[Revenue]])</f>
        <v>0.51677852348993292</v>
      </c>
      <c r="N225" s="4" t="str">
        <f>IF(Table1[[#This Row],[Margin]]="", "check", IF(Table1[[#This Row],[Margin]]&lt;0.2, "Low", "OK"))</f>
        <v>OK</v>
      </c>
      <c r="O225" s="4" t="str" cm="1">
        <f t="array" ref="O225">_xlfn.IFS(Table1[[#This Row],[Revenue]]=0, "Check", Table1[[#This Row],[Revenue]]&gt;=1000, "Large", Table1[[#This Row],[Revenue]]&gt;=200, "Medium", TRUE, "Small")</f>
        <v>Small</v>
      </c>
      <c r="P225" s="4" t="str">
        <f>IF(AND(Table1[[#This Row],[Margin Flag]]="Low", Table1[[#This Row],[Revenue]]&gt;1000), "Review", "")</f>
        <v/>
      </c>
      <c r="Q225" s="4" t="str">
        <f>IF(OR(Table1[[#This Row],[Qty]]&gt;=5,Table1[[#This Row],[Order Size]] = "Large" ), "Bulk", "")</f>
        <v/>
      </c>
      <c r="R225" s="10">
        <f>_xlfn.XLOOKUP(G225, Lookup!$A$2:$A$7, Lookup!$B$2:$B$7, "")</f>
        <v>0.25</v>
      </c>
      <c r="S225" s="4" t="str">
        <f>IF(Table1[[#This Row],[Margin]]&lt;Table1[[#This Row],[Target Margin]], "Yes", "")</f>
        <v/>
      </c>
    </row>
    <row r="226" spans="1:19">
      <c r="A226" t="s">
        <v>271</v>
      </c>
      <c r="B226" s="2">
        <v>46235</v>
      </c>
      <c r="C226" t="s">
        <v>26</v>
      </c>
      <c r="D226" t="s">
        <v>35</v>
      </c>
      <c r="E226">
        <v>2</v>
      </c>
      <c r="F226" t="str">
        <f>_xlfn.XLOOKUP(D226, Products!$A$2:$A$21, Products!$B$2:$B$21, "Not Found")</f>
        <v>Phone Case</v>
      </c>
      <c r="G226" t="str">
        <f>_xlfn.XLOOKUP(D226, Products!$A$2:$A$21, Products!$C$2:$C$21,"not found")</f>
        <v>Accessories</v>
      </c>
      <c r="H226" s="4">
        <f>_xlfn.XLOOKUP(D226, Products!$A$2:$A$21, Products!$E$2:$E$21, 0)</f>
        <v>39</v>
      </c>
      <c r="I226" s="4">
        <f>_xlfn.XLOOKUP(D226, Products!$A$2:$A$21, Products!$F$2:$F$21,0)</f>
        <v>9</v>
      </c>
      <c r="J226" t="str">
        <f>_xlfn.XLOOKUP(C226, Stores!$A$2:$A$7, Stores!$D$2:$D$7)</f>
        <v>Sydney North</v>
      </c>
      <c r="K226" s="4">
        <f t="shared" si="6"/>
        <v>78</v>
      </c>
      <c r="L226" s="4">
        <f t="shared" si="7"/>
        <v>60</v>
      </c>
      <c r="M226" s="10">
        <f>IF(Table1[[#This Row],[Revenue]]=0, "", Table1[[#This Row],[Profit]]/Table1[[#This Row],[Revenue]])</f>
        <v>0.76923076923076927</v>
      </c>
      <c r="N226" s="4" t="str">
        <f>IF(Table1[[#This Row],[Margin]]="", "check", IF(Table1[[#This Row],[Margin]]&lt;0.2, "Low", "OK"))</f>
        <v>OK</v>
      </c>
      <c r="O226" s="4" t="str" cm="1">
        <f t="array" ref="O226">_xlfn.IFS(Table1[[#This Row],[Revenue]]=0, "Check", Table1[[#This Row],[Revenue]]&gt;=1000, "Large", Table1[[#This Row],[Revenue]]&gt;=200, "Medium", TRUE, "Small")</f>
        <v>Small</v>
      </c>
      <c r="P226" s="4" t="str">
        <f>IF(AND(Table1[[#This Row],[Margin Flag]]="Low", Table1[[#This Row],[Revenue]]&gt;1000), "Review", "")</f>
        <v/>
      </c>
      <c r="Q226" s="4" t="str">
        <f>IF(OR(Table1[[#This Row],[Qty]]&gt;=5,Table1[[#This Row],[Order Size]] = "Large" ), "Bulk", "")</f>
        <v/>
      </c>
      <c r="R226" s="10">
        <f>_xlfn.XLOOKUP(G226, Lookup!$A$2:$A$7, Lookup!$B$2:$B$7, "")</f>
        <v>0.25</v>
      </c>
      <c r="S226" s="4" t="str">
        <f>IF(Table1[[#This Row],[Margin]]&lt;Table1[[#This Row],[Target Margin]], "Yes", "")</f>
        <v/>
      </c>
    </row>
    <row r="227" spans="1:19">
      <c r="A227" t="s">
        <v>272</v>
      </c>
      <c r="B227" s="2">
        <v>46235</v>
      </c>
      <c r="C227" t="s">
        <v>26</v>
      </c>
      <c r="D227" t="s">
        <v>30</v>
      </c>
      <c r="E227">
        <v>3</v>
      </c>
      <c r="F227" t="str">
        <f>_xlfn.XLOOKUP(D227, Products!$A$2:$A$21, Products!$B$2:$B$21, "Not Found")</f>
        <v>Video Game</v>
      </c>
      <c r="G227" t="str">
        <f>_xlfn.XLOOKUP(D227, Products!$A$2:$A$21, Products!$C$2:$C$21,"not found")</f>
        <v>Gaming</v>
      </c>
      <c r="H227" s="4">
        <f>_xlfn.XLOOKUP(D227, Products!$A$2:$A$21, Products!$E$2:$E$21, 0)</f>
        <v>79</v>
      </c>
      <c r="I227" s="4">
        <f>_xlfn.XLOOKUP(D227, Products!$A$2:$A$21, Products!$F$2:$F$21,0)</f>
        <v>52</v>
      </c>
      <c r="J227" t="str">
        <f>_xlfn.XLOOKUP(C227, Stores!$A$2:$A$7, Stores!$D$2:$D$7)</f>
        <v>Sydney North</v>
      </c>
      <c r="K227" s="4">
        <f t="shared" si="6"/>
        <v>237</v>
      </c>
      <c r="L227" s="4">
        <f t="shared" si="7"/>
        <v>81</v>
      </c>
      <c r="M227" s="10">
        <f>IF(Table1[[#This Row],[Revenue]]=0, "", Table1[[#This Row],[Profit]]/Table1[[#This Row],[Revenue]])</f>
        <v>0.34177215189873417</v>
      </c>
      <c r="N227" s="4" t="str">
        <f>IF(Table1[[#This Row],[Margin]]="", "check", IF(Table1[[#This Row],[Margin]]&lt;0.2, "Low", "OK"))</f>
        <v>OK</v>
      </c>
      <c r="O227" s="4" t="str" cm="1">
        <f t="array" ref="O227">_xlfn.IFS(Table1[[#This Row],[Revenue]]=0, "Check", Table1[[#This Row],[Revenue]]&gt;=1000, "Large", Table1[[#This Row],[Revenue]]&gt;=200, "Medium", TRUE, "Small")</f>
        <v>Medium</v>
      </c>
      <c r="P227" s="4" t="str">
        <f>IF(AND(Table1[[#This Row],[Margin Flag]]="Low", Table1[[#This Row],[Revenue]]&gt;1000), "Review", "")</f>
        <v/>
      </c>
      <c r="Q227" s="4" t="str">
        <f>IF(OR(Table1[[#This Row],[Qty]]&gt;=5,Table1[[#This Row],[Order Size]] = "Large" ), "Bulk", "")</f>
        <v/>
      </c>
      <c r="R227" s="10">
        <f>_xlfn.XLOOKUP(G227, Lookup!$A$2:$A$7, Lookup!$B$2:$B$7, "")</f>
        <v>0.08</v>
      </c>
      <c r="S227" s="4" t="str">
        <f>IF(Table1[[#This Row],[Margin]]&lt;Table1[[#This Row],[Target Margin]], "Yes", "")</f>
        <v/>
      </c>
    </row>
    <row r="228" spans="1:19">
      <c r="A228" t="s">
        <v>273</v>
      </c>
      <c r="B228" s="2">
        <v>46236</v>
      </c>
      <c r="C228" t="s">
        <v>23</v>
      </c>
      <c r="D228" t="s">
        <v>43</v>
      </c>
      <c r="E228">
        <v>1</v>
      </c>
      <c r="F228" t="str">
        <f>_xlfn.XLOOKUP(D228, Products!$A$2:$A$21, Products!$B$2:$B$21, "Not Found")</f>
        <v>Console Controller</v>
      </c>
      <c r="G228" t="str">
        <f>_xlfn.XLOOKUP(D228, Products!$A$2:$A$21, Products!$C$2:$C$21,"not found")</f>
        <v>Gaming</v>
      </c>
      <c r="H228" s="4">
        <f>_xlfn.XLOOKUP(D228, Products!$A$2:$A$21, Products!$E$2:$E$21, 0)</f>
        <v>99</v>
      </c>
      <c r="I228" s="4">
        <f>_xlfn.XLOOKUP(D228, Products!$A$2:$A$21, Products!$F$2:$F$21,0)</f>
        <v>58</v>
      </c>
      <c r="J228" t="str">
        <f>_xlfn.XLOOKUP(C228, Stores!$A$2:$A$7, Stores!$D$2:$D$7)</f>
        <v>Sydney East</v>
      </c>
      <c r="K228" s="4">
        <f t="shared" si="6"/>
        <v>99</v>
      </c>
      <c r="L228" s="4">
        <f t="shared" si="7"/>
        <v>41</v>
      </c>
      <c r="M228" s="10">
        <f>IF(Table1[[#This Row],[Revenue]]=0, "", Table1[[#This Row],[Profit]]/Table1[[#This Row],[Revenue]])</f>
        <v>0.41414141414141414</v>
      </c>
      <c r="N228" s="4" t="str">
        <f>IF(Table1[[#This Row],[Margin]]="", "check", IF(Table1[[#This Row],[Margin]]&lt;0.2, "Low", "OK"))</f>
        <v>OK</v>
      </c>
      <c r="O228" s="4" t="str" cm="1">
        <f t="array" ref="O228">_xlfn.IFS(Table1[[#This Row],[Revenue]]=0, "Check", Table1[[#This Row],[Revenue]]&gt;=1000, "Large", Table1[[#This Row],[Revenue]]&gt;=200, "Medium", TRUE, "Small")</f>
        <v>Small</v>
      </c>
      <c r="P228" s="4" t="str">
        <f>IF(AND(Table1[[#This Row],[Margin Flag]]="Low", Table1[[#This Row],[Revenue]]&gt;1000), "Review", "")</f>
        <v/>
      </c>
      <c r="Q228" s="4" t="str">
        <f>IF(OR(Table1[[#This Row],[Qty]]&gt;=5,Table1[[#This Row],[Order Size]] = "Large" ), "Bulk", "")</f>
        <v/>
      </c>
      <c r="R228" s="10">
        <f>_xlfn.XLOOKUP(G228, Lookup!$A$2:$A$7, Lookup!$B$2:$B$7, "")</f>
        <v>0.08</v>
      </c>
      <c r="S228" s="4" t="str">
        <f>IF(Table1[[#This Row],[Margin]]&lt;Table1[[#This Row],[Target Margin]], "Yes", "")</f>
        <v/>
      </c>
    </row>
    <row r="229" spans="1:19">
      <c r="A229" t="s">
        <v>274</v>
      </c>
      <c r="B229" s="2">
        <v>46236</v>
      </c>
      <c r="C229" t="s">
        <v>20</v>
      </c>
      <c r="D229" t="s">
        <v>38</v>
      </c>
      <c r="E229">
        <v>1</v>
      </c>
      <c r="F229" t="str">
        <f>_xlfn.XLOOKUP(D229, Products!$A$2:$A$21, Products!$B$2:$B$21, "Not Found")</f>
        <v>USB-C Charger</v>
      </c>
      <c r="G229" t="str">
        <f>_xlfn.XLOOKUP(D229, Products!$A$2:$A$21, Products!$C$2:$C$21,"not found")</f>
        <v>Accessories</v>
      </c>
      <c r="H229" s="4">
        <f>_xlfn.XLOOKUP(D229, Products!$A$2:$A$21, Products!$E$2:$E$21, 0)</f>
        <v>49</v>
      </c>
      <c r="I229" s="4">
        <f>_xlfn.XLOOKUP(D229, Products!$A$2:$A$21, Products!$F$2:$F$21,0)</f>
        <v>14</v>
      </c>
      <c r="J229" t="str">
        <f>_xlfn.XLOOKUP(C229, Stores!$A$2:$A$7, Stores!$D$2:$D$7)</f>
        <v>Sydney West</v>
      </c>
      <c r="K229" s="4">
        <f t="shared" si="6"/>
        <v>49</v>
      </c>
      <c r="L229" s="4">
        <f t="shared" si="7"/>
        <v>35</v>
      </c>
      <c r="M229" s="10">
        <f>IF(Table1[[#This Row],[Revenue]]=0, "", Table1[[#This Row],[Profit]]/Table1[[#This Row],[Revenue]])</f>
        <v>0.7142857142857143</v>
      </c>
      <c r="N229" s="4" t="str">
        <f>IF(Table1[[#This Row],[Margin]]="", "check", IF(Table1[[#This Row],[Margin]]&lt;0.2, "Low", "OK"))</f>
        <v>OK</v>
      </c>
      <c r="O229" s="4" t="str" cm="1">
        <f t="array" ref="O229">_xlfn.IFS(Table1[[#This Row],[Revenue]]=0, "Check", Table1[[#This Row],[Revenue]]&gt;=1000, "Large", Table1[[#This Row],[Revenue]]&gt;=200, "Medium", TRUE, "Small")</f>
        <v>Small</v>
      </c>
      <c r="P229" s="4" t="str">
        <f>IF(AND(Table1[[#This Row],[Margin Flag]]="Low", Table1[[#This Row],[Revenue]]&gt;1000), "Review", "")</f>
        <v/>
      </c>
      <c r="Q229" s="4" t="str">
        <f>IF(OR(Table1[[#This Row],[Qty]]&gt;=5,Table1[[#This Row],[Order Size]] = "Large" ), "Bulk", "")</f>
        <v/>
      </c>
      <c r="R229" s="10">
        <f>_xlfn.XLOOKUP(G229, Lookup!$A$2:$A$7, Lookup!$B$2:$B$7, "")</f>
        <v>0.25</v>
      </c>
      <c r="S229" s="4" t="str">
        <f>IF(Table1[[#This Row],[Margin]]&lt;Table1[[#This Row],[Target Margin]], "Yes", "")</f>
        <v/>
      </c>
    </row>
    <row r="230" spans="1:19">
      <c r="A230" t="s">
        <v>275</v>
      </c>
      <c r="B230" s="2">
        <v>46236</v>
      </c>
      <c r="C230" t="s">
        <v>20</v>
      </c>
      <c r="D230" t="s">
        <v>43</v>
      </c>
      <c r="E230">
        <v>1</v>
      </c>
      <c r="F230" t="str">
        <f>_xlfn.XLOOKUP(D230, Products!$A$2:$A$21, Products!$B$2:$B$21, "Not Found")</f>
        <v>Console Controller</v>
      </c>
      <c r="G230" t="str">
        <f>_xlfn.XLOOKUP(D230, Products!$A$2:$A$21, Products!$C$2:$C$21,"not found")</f>
        <v>Gaming</v>
      </c>
      <c r="H230" s="4">
        <f>_xlfn.XLOOKUP(D230, Products!$A$2:$A$21, Products!$E$2:$E$21, 0)</f>
        <v>99</v>
      </c>
      <c r="I230" s="4">
        <f>_xlfn.XLOOKUP(D230, Products!$A$2:$A$21, Products!$F$2:$F$21,0)</f>
        <v>58</v>
      </c>
      <c r="J230" t="str">
        <f>_xlfn.XLOOKUP(C230, Stores!$A$2:$A$7, Stores!$D$2:$D$7)</f>
        <v>Sydney West</v>
      </c>
      <c r="K230" s="4">
        <f t="shared" si="6"/>
        <v>99</v>
      </c>
      <c r="L230" s="4">
        <f t="shared" si="7"/>
        <v>41</v>
      </c>
      <c r="M230" s="10">
        <f>IF(Table1[[#This Row],[Revenue]]=0, "", Table1[[#This Row],[Profit]]/Table1[[#This Row],[Revenue]])</f>
        <v>0.41414141414141414</v>
      </c>
      <c r="N230" s="4" t="str">
        <f>IF(Table1[[#This Row],[Margin]]="", "check", IF(Table1[[#This Row],[Margin]]&lt;0.2, "Low", "OK"))</f>
        <v>OK</v>
      </c>
      <c r="O230" s="4" t="str" cm="1">
        <f t="array" ref="O230">_xlfn.IFS(Table1[[#This Row],[Revenue]]=0, "Check", Table1[[#This Row],[Revenue]]&gt;=1000, "Large", Table1[[#This Row],[Revenue]]&gt;=200, "Medium", TRUE, "Small")</f>
        <v>Small</v>
      </c>
      <c r="P230" s="4" t="str">
        <f>IF(AND(Table1[[#This Row],[Margin Flag]]="Low", Table1[[#This Row],[Revenue]]&gt;1000), "Review", "")</f>
        <v/>
      </c>
      <c r="Q230" s="4" t="str">
        <f>IF(OR(Table1[[#This Row],[Qty]]&gt;=5,Table1[[#This Row],[Order Size]] = "Large" ), "Bulk", "")</f>
        <v/>
      </c>
      <c r="R230" s="10">
        <f>_xlfn.XLOOKUP(G230, Lookup!$A$2:$A$7, Lookup!$B$2:$B$7, "")</f>
        <v>0.08</v>
      </c>
      <c r="S230" s="4" t="str">
        <f>IF(Table1[[#This Row],[Margin]]&lt;Table1[[#This Row],[Target Margin]], "Yes", "")</f>
        <v/>
      </c>
    </row>
    <row r="231" spans="1:19">
      <c r="A231" t="s">
        <v>276</v>
      </c>
      <c r="B231" s="2">
        <v>46236</v>
      </c>
      <c r="C231" t="s">
        <v>26</v>
      </c>
      <c r="D231" t="s">
        <v>106</v>
      </c>
      <c r="E231">
        <v>1</v>
      </c>
      <c r="F231" t="str">
        <f>_xlfn.XLOOKUP(D231, Products!$A$2:$A$21, Products!$B$2:$B$21, "Not Found")</f>
        <v>Laptop 14in</v>
      </c>
      <c r="G231" t="str">
        <f>_xlfn.XLOOKUP(D231, Products!$A$2:$A$21, Products!$C$2:$C$21,"not found")</f>
        <v>Computers</v>
      </c>
      <c r="H231" s="4">
        <f>_xlfn.XLOOKUP(D231, Products!$A$2:$A$21, Products!$E$2:$E$21, 0)</f>
        <v>1199</v>
      </c>
      <c r="I231" s="4">
        <f>_xlfn.XLOOKUP(D231, Products!$A$2:$A$21, Products!$F$2:$F$21,0)</f>
        <v>930</v>
      </c>
      <c r="J231" t="str">
        <f>_xlfn.XLOOKUP(C231, Stores!$A$2:$A$7, Stores!$D$2:$D$7)</f>
        <v>Sydney North</v>
      </c>
      <c r="K231" s="4">
        <f t="shared" si="6"/>
        <v>1199</v>
      </c>
      <c r="L231" s="4">
        <f t="shared" si="7"/>
        <v>269</v>
      </c>
      <c r="M231" s="10">
        <f>IF(Table1[[#This Row],[Revenue]]=0, "", Table1[[#This Row],[Profit]]/Table1[[#This Row],[Revenue]])</f>
        <v>0.22435362802335279</v>
      </c>
      <c r="N231" s="4" t="str">
        <f>IF(Table1[[#This Row],[Margin]]="", "check", IF(Table1[[#This Row],[Margin]]&lt;0.2, "Low", "OK"))</f>
        <v>OK</v>
      </c>
      <c r="O231" s="4" t="str" cm="1">
        <f t="array" ref="O231">_xlfn.IFS(Table1[[#This Row],[Revenue]]=0, "Check", Table1[[#This Row],[Revenue]]&gt;=1000, "Large", Table1[[#This Row],[Revenue]]&gt;=200, "Medium", TRUE, "Small")</f>
        <v>Large</v>
      </c>
      <c r="P231" s="4" t="str">
        <f>IF(AND(Table1[[#This Row],[Margin Flag]]="Low", Table1[[#This Row],[Revenue]]&gt;1000), "Review", "")</f>
        <v/>
      </c>
      <c r="Q231" s="4" t="str">
        <f>IF(OR(Table1[[#This Row],[Qty]]&gt;=5,Table1[[#This Row],[Order Size]] = "Large" ), "Bulk", "")</f>
        <v>Bulk</v>
      </c>
      <c r="R231" s="10">
        <f>_xlfn.XLOOKUP(G231, Lookup!$A$2:$A$7, Lookup!$B$2:$B$7, "")</f>
        <v>0.25</v>
      </c>
      <c r="S231" s="4" t="str">
        <f>IF(Table1[[#This Row],[Margin]]&lt;Table1[[#This Row],[Target Margin]], "Yes", "")</f>
        <v>Yes</v>
      </c>
    </row>
    <row r="232" spans="1:19">
      <c r="A232" t="s">
        <v>277</v>
      </c>
      <c r="B232" s="2">
        <v>46236</v>
      </c>
      <c r="C232" t="s">
        <v>57</v>
      </c>
      <c r="D232" t="s">
        <v>99</v>
      </c>
      <c r="E232">
        <v>1</v>
      </c>
      <c r="F232" t="str">
        <f>_xlfn.XLOOKUP(D232, Products!$A$2:$A$21, Products!$B$2:$B$21, "Not Found")</f>
        <v>Smartphone 256GB</v>
      </c>
      <c r="G232" t="str">
        <f>_xlfn.XLOOKUP(D232, Products!$A$2:$A$21, Products!$C$2:$C$21,"not found")</f>
        <v>Phones</v>
      </c>
      <c r="H232" s="4">
        <f>_xlfn.XLOOKUP(D232, Products!$A$2:$A$21, Products!$E$2:$E$21, 0)</f>
        <v>1499</v>
      </c>
      <c r="I232" s="4">
        <f>_xlfn.XLOOKUP(D232, Products!$A$2:$A$21, Products!$F$2:$F$21,0)</f>
        <v>1180</v>
      </c>
      <c r="J232" t="str">
        <f>_xlfn.XLOOKUP(C232, Stores!$A$2:$A$7, Stores!$D$2:$D$7)</f>
        <v>Sydney South</v>
      </c>
      <c r="K232" s="4">
        <f t="shared" si="6"/>
        <v>1499</v>
      </c>
      <c r="L232" s="4">
        <f t="shared" si="7"/>
        <v>319</v>
      </c>
      <c r="M232" s="10">
        <f>IF(Table1[[#This Row],[Revenue]]=0, "", Table1[[#This Row],[Profit]]/Table1[[#This Row],[Revenue]])</f>
        <v>0.21280853902601735</v>
      </c>
      <c r="N232" s="4" t="str">
        <f>IF(Table1[[#This Row],[Margin]]="", "check", IF(Table1[[#This Row],[Margin]]&lt;0.2, "Low", "OK"))</f>
        <v>OK</v>
      </c>
      <c r="O232" s="4" t="str" cm="1">
        <f t="array" ref="O232">_xlfn.IFS(Table1[[#This Row],[Revenue]]=0, "Check", Table1[[#This Row],[Revenue]]&gt;=1000, "Large", Table1[[#This Row],[Revenue]]&gt;=200, "Medium", TRUE, "Small")</f>
        <v>Large</v>
      </c>
      <c r="P232" s="4" t="str">
        <f>IF(AND(Table1[[#This Row],[Margin Flag]]="Low", Table1[[#This Row],[Revenue]]&gt;1000), "Review", "")</f>
        <v/>
      </c>
      <c r="Q232" s="4" t="str">
        <f>IF(OR(Table1[[#This Row],[Qty]]&gt;=5,Table1[[#This Row],[Order Size]] = "Large" ), "Bulk", "")</f>
        <v>Bulk</v>
      </c>
      <c r="R232" s="10">
        <f>_xlfn.XLOOKUP(G232, Lookup!$A$2:$A$7, Lookup!$B$2:$B$7, "")</f>
        <v>0.25</v>
      </c>
      <c r="S232" s="4" t="str">
        <f>IF(Table1[[#This Row],[Margin]]&lt;Table1[[#This Row],[Target Margin]], "Yes", "")</f>
        <v>Yes</v>
      </c>
    </row>
    <row r="233" spans="1:19">
      <c r="A233" t="s">
        <v>278</v>
      </c>
      <c r="B233" s="2">
        <v>46236</v>
      </c>
      <c r="C233" t="s">
        <v>29</v>
      </c>
      <c r="D233" t="s">
        <v>50</v>
      </c>
      <c r="E233">
        <v>1</v>
      </c>
      <c r="F233" t="str">
        <f>_xlfn.XLOOKUP(D233, Products!$A$2:$A$21, Products!$B$2:$B$21, "Not Found")</f>
        <v>Smartphone 128GB</v>
      </c>
      <c r="G233" t="str">
        <f>_xlfn.XLOOKUP(D233, Products!$A$2:$A$21, Products!$C$2:$C$21,"not found")</f>
        <v>Phones</v>
      </c>
      <c r="H233" s="4">
        <f>_xlfn.XLOOKUP(D233, Products!$A$2:$A$21, Products!$E$2:$E$21, 0)</f>
        <v>1099</v>
      </c>
      <c r="I233" s="4">
        <f>_xlfn.XLOOKUP(D233, Products!$A$2:$A$21, Products!$F$2:$F$21,0)</f>
        <v>860</v>
      </c>
      <c r="J233" t="str">
        <f>_xlfn.XLOOKUP(C233, Stores!$A$2:$A$7, Stores!$D$2:$D$7)</f>
        <v>Sydney West</v>
      </c>
      <c r="K233" s="4">
        <f t="shared" si="6"/>
        <v>1099</v>
      </c>
      <c r="L233" s="4">
        <f t="shared" si="7"/>
        <v>239</v>
      </c>
      <c r="M233" s="10">
        <f>IF(Table1[[#This Row],[Revenue]]=0, "", Table1[[#This Row],[Profit]]/Table1[[#This Row],[Revenue]])</f>
        <v>0.21747042766151045</v>
      </c>
      <c r="N233" s="4" t="str">
        <f>IF(Table1[[#This Row],[Margin]]="", "check", IF(Table1[[#This Row],[Margin]]&lt;0.2, "Low", "OK"))</f>
        <v>OK</v>
      </c>
      <c r="O233" s="4" t="str" cm="1">
        <f t="array" ref="O233">_xlfn.IFS(Table1[[#This Row],[Revenue]]=0, "Check", Table1[[#This Row],[Revenue]]&gt;=1000, "Large", Table1[[#This Row],[Revenue]]&gt;=200, "Medium", TRUE, "Small")</f>
        <v>Large</v>
      </c>
      <c r="P233" s="4" t="str">
        <f>IF(AND(Table1[[#This Row],[Margin Flag]]="Low", Table1[[#This Row],[Revenue]]&gt;1000), "Review", "")</f>
        <v/>
      </c>
      <c r="Q233" s="4" t="str">
        <f>IF(OR(Table1[[#This Row],[Qty]]&gt;=5,Table1[[#This Row],[Order Size]] = "Large" ), "Bulk", "")</f>
        <v>Bulk</v>
      </c>
      <c r="R233" s="10">
        <f>_xlfn.XLOOKUP(G233, Lookup!$A$2:$A$7, Lookup!$B$2:$B$7, "")</f>
        <v>0.25</v>
      </c>
      <c r="S233" s="4" t="str">
        <f>IF(Table1[[#This Row],[Margin]]&lt;Table1[[#This Row],[Target Margin]], "Yes", "")</f>
        <v>Yes</v>
      </c>
    </row>
    <row r="234" spans="1:19">
      <c r="A234" t="s">
        <v>279</v>
      </c>
      <c r="B234" s="2">
        <v>46236</v>
      </c>
      <c r="C234" t="s">
        <v>26</v>
      </c>
      <c r="D234" t="s">
        <v>35</v>
      </c>
      <c r="E234">
        <v>1</v>
      </c>
      <c r="F234" t="str">
        <f>_xlfn.XLOOKUP(D234, Products!$A$2:$A$21, Products!$B$2:$B$21, "Not Found")</f>
        <v>Phone Case</v>
      </c>
      <c r="G234" t="str">
        <f>_xlfn.XLOOKUP(D234, Products!$A$2:$A$21, Products!$C$2:$C$21,"not found")</f>
        <v>Accessories</v>
      </c>
      <c r="H234" s="4">
        <f>_xlfn.XLOOKUP(D234, Products!$A$2:$A$21, Products!$E$2:$E$21, 0)</f>
        <v>39</v>
      </c>
      <c r="I234" s="4">
        <f>_xlfn.XLOOKUP(D234, Products!$A$2:$A$21, Products!$F$2:$F$21,0)</f>
        <v>9</v>
      </c>
      <c r="J234" t="str">
        <f>_xlfn.XLOOKUP(C234, Stores!$A$2:$A$7, Stores!$D$2:$D$7)</f>
        <v>Sydney North</v>
      </c>
      <c r="K234" s="4">
        <f t="shared" si="6"/>
        <v>39</v>
      </c>
      <c r="L234" s="4">
        <f t="shared" si="7"/>
        <v>30</v>
      </c>
      <c r="M234" s="10">
        <f>IF(Table1[[#This Row],[Revenue]]=0, "", Table1[[#This Row],[Profit]]/Table1[[#This Row],[Revenue]])</f>
        <v>0.76923076923076927</v>
      </c>
      <c r="N234" s="4" t="str">
        <f>IF(Table1[[#This Row],[Margin]]="", "check", IF(Table1[[#This Row],[Margin]]&lt;0.2, "Low", "OK"))</f>
        <v>OK</v>
      </c>
      <c r="O234" s="4" t="str" cm="1">
        <f t="array" ref="O234">_xlfn.IFS(Table1[[#This Row],[Revenue]]=0, "Check", Table1[[#This Row],[Revenue]]&gt;=1000, "Large", Table1[[#This Row],[Revenue]]&gt;=200, "Medium", TRUE, "Small")</f>
        <v>Small</v>
      </c>
      <c r="P234" s="4" t="str">
        <f>IF(AND(Table1[[#This Row],[Margin Flag]]="Low", Table1[[#This Row],[Revenue]]&gt;1000), "Review", "")</f>
        <v/>
      </c>
      <c r="Q234" s="4" t="str">
        <f>IF(OR(Table1[[#This Row],[Qty]]&gt;=5,Table1[[#This Row],[Order Size]] = "Large" ), "Bulk", "")</f>
        <v/>
      </c>
      <c r="R234" s="10">
        <f>_xlfn.XLOOKUP(G234, Lookup!$A$2:$A$7, Lookup!$B$2:$B$7, "")</f>
        <v>0.25</v>
      </c>
      <c r="S234" s="4" t="str">
        <f>IF(Table1[[#This Row],[Margin]]&lt;Table1[[#This Row],[Target Margin]], "Yes", "")</f>
        <v/>
      </c>
    </row>
    <row r="235" spans="1:19">
      <c r="A235" t="s">
        <v>280</v>
      </c>
      <c r="B235" s="2">
        <v>46236</v>
      </c>
      <c r="C235" t="s">
        <v>32</v>
      </c>
      <c r="D235" t="s">
        <v>35</v>
      </c>
      <c r="E235">
        <v>1</v>
      </c>
      <c r="F235" t="str">
        <f>_xlfn.XLOOKUP(D235, Products!$A$2:$A$21, Products!$B$2:$B$21, "Not Found")</f>
        <v>Phone Case</v>
      </c>
      <c r="G235" t="str">
        <f>_xlfn.XLOOKUP(D235, Products!$A$2:$A$21, Products!$C$2:$C$21,"not found")</f>
        <v>Accessories</v>
      </c>
      <c r="H235" s="4">
        <f>_xlfn.XLOOKUP(D235, Products!$A$2:$A$21, Products!$E$2:$E$21, 0)</f>
        <v>39</v>
      </c>
      <c r="I235" s="4">
        <f>_xlfn.XLOOKUP(D235, Products!$A$2:$A$21, Products!$F$2:$F$21,0)</f>
        <v>9</v>
      </c>
      <c r="J235" t="str">
        <f>_xlfn.XLOOKUP(C235, Stores!$A$2:$A$7, Stores!$D$2:$D$7)</f>
        <v>Sydney South</v>
      </c>
      <c r="K235" s="4">
        <f t="shared" si="6"/>
        <v>39</v>
      </c>
      <c r="L235" s="4">
        <f t="shared" si="7"/>
        <v>30</v>
      </c>
      <c r="M235" s="10">
        <f>IF(Table1[[#This Row],[Revenue]]=0, "", Table1[[#This Row],[Profit]]/Table1[[#This Row],[Revenue]])</f>
        <v>0.76923076923076927</v>
      </c>
      <c r="N235" s="4" t="str">
        <f>IF(Table1[[#This Row],[Margin]]="", "check", IF(Table1[[#This Row],[Margin]]&lt;0.2, "Low", "OK"))</f>
        <v>OK</v>
      </c>
      <c r="O235" s="4" t="str" cm="1">
        <f t="array" ref="O235">_xlfn.IFS(Table1[[#This Row],[Revenue]]=0, "Check", Table1[[#This Row],[Revenue]]&gt;=1000, "Large", Table1[[#This Row],[Revenue]]&gt;=200, "Medium", TRUE, "Small")</f>
        <v>Small</v>
      </c>
      <c r="P235" s="4" t="str">
        <f>IF(AND(Table1[[#This Row],[Margin Flag]]="Low", Table1[[#This Row],[Revenue]]&gt;1000), "Review", "")</f>
        <v/>
      </c>
      <c r="Q235" s="4" t="str">
        <f>IF(OR(Table1[[#This Row],[Qty]]&gt;=5,Table1[[#This Row],[Order Size]] = "Large" ), "Bulk", "")</f>
        <v/>
      </c>
      <c r="R235" s="10">
        <f>_xlfn.XLOOKUP(G235, Lookup!$A$2:$A$7, Lookup!$B$2:$B$7, "")</f>
        <v>0.25</v>
      </c>
      <c r="S235" s="4" t="str">
        <f>IF(Table1[[#This Row],[Margin]]&lt;Table1[[#This Row],[Target Margin]], "Yes", "")</f>
        <v/>
      </c>
    </row>
    <row r="236" spans="1:19">
      <c r="A236" t="s">
        <v>281</v>
      </c>
      <c r="B236" s="2">
        <v>46236</v>
      </c>
      <c r="C236" t="s">
        <v>57</v>
      </c>
      <c r="D236" t="s">
        <v>24</v>
      </c>
      <c r="E236">
        <v>2</v>
      </c>
      <c r="F236" t="str">
        <f>_xlfn.XLOOKUP(D236, Products!$A$2:$A$21, Products!$B$2:$B$21, "Not Found")</f>
        <v>Wireless Earbuds</v>
      </c>
      <c r="G236" t="str">
        <f>_xlfn.XLOOKUP(D236, Products!$A$2:$A$21, Products!$C$2:$C$21,"not found")</f>
        <v>Audio</v>
      </c>
      <c r="H236" s="4">
        <f>_xlfn.XLOOKUP(D236, Products!$A$2:$A$21, Products!$E$2:$E$21, 0)</f>
        <v>249</v>
      </c>
      <c r="I236" s="4">
        <f>_xlfn.XLOOKUP(D236, Products!$A$2:$A$21, Products!$F$2:$F$21,0)</f>
        <v>140</v>
      </c>
      <c r="J236" t="str">
        <f>_xlfn.XLOOKUP(C236, Stores!$A$2:$A$7, Stores!$D$2:$D$7)</f>
        <v>Sydney South</v>
      </c>
      <c r="K236" s="4">
        <f t="shared" si="6"/>
        <v>498</v>
      </c>
      <c r="L236" s="4">
        <f t="shared" si="7"/>
        <v>218</v>
      </c>
      <c r="M236" s="10">
        <f>IF(Table1[[#This Row],[Revenue]]=0, "", Table1[[#This Row],[Profit]]/Table1[[#This Row],[Revenue]])</f>
        <v>0.43775100401606426</v>
      </c>
      <c r="N236" s="4" t="str">
        <f>IF(Table1[[#This Row],[Margin]]="", "check", IF(Table1[[#This Row],[Margin]]&lt;0.2, "Low", "OK"))</f>
        <v>OK</v>
      </c>
      <c r="O236" s="4" t="str" cm="1">
        <f t="array" ref="O236">_xlfn.IFS(Table1[[#This Row],[Revenue]]=0, "Check", Table1[[#This Row],[Revenue]]&gt;=1000, "Large", Table1[[#This Row],[Revenue]]&gt;=200, "Medium", TRUE, "Small")</f>
        <v>Medium</v>
      </c>
      <c r="P236" s="4" t="str">
        <f>IF(AND(Table1[[#This Row],[Margin Flag]]="Low", Table1[[#This Row],[Revenue]]&gt;1000), "Review", "")</f>
        <v/>
      </c>
      <c r="Q236" s="4" t="str">
        <f>IF(OR(Table1[[#This Row],[Qty]]&gt;=5,Table1[[#This Row],[Order Size]] = "Large" ), "Bulk", "")</f>
        <v/>
      </c>
      <c r="R236" s="10">
        <f>_xlfn.XLOOKUP(G236, Lookup!$A$2:$A$7, Lookup!$B$2:$B$7, "")</f>
        <v>0.25</v>
      </c>
      <c r="S236" s="4" t="str">
        <f>IF(Table1[[#This Row],[Margin]]&lt;Table1[[#This Row],[Target Margin]], "Yes", "")</f>
        <v/>
      </c>
    </row>
    <row r="237" spans="1:19">
      <c r="A237" t="s">
        <v>282</v>
      </c>
      <c r="B237" s="2">
        <v>46236</v>
      </c>
      <c r="C237" t="s">
        <v>23</v>
      </c>
      <c r="D237" t="s">
        <v>69</v>
      </c>
      <c r="E237">
        <v>1</v>
      </c>
      <c r="F237" t="str">
        <f>_xlfn.XLOOKUP(D237, Products!$A$2:$A$21, Products!$B$2:$B$21, "Not Found")</f>
        <v>27in Monitor</v>
      </c>
      <c r="G237" t="str">
        <f>_xlfn.XLOOKUP(D237, Products!$A$2:$A$21, Products!$C$2:$C$21,"not found")</f>
        <v>Computers</v>
      </c>
      <c r="H237" s="4">
        <f>_xlfn.XLOOKUP(D237, Products!$A$2:$A$21, Products!$E$2:$E$21, 0)</f>
        <v>399</v>
      </c>
      <c r="I237" s="4">
        <f>_xlfn.XLOOKUP(D237, Products!$A$2:$A$21, Products!$F$2:$F$21,0)</f>
        <v>290</v>
      </c>
      <c r="J237" t="str">
        <f>_xlfn.XLOOKUP(C237, Stores!$A$2:$A$7, Stores!$D$2:$D$7)</f>
        <v>Sydney East</v>
      </c>
      <c r="K237" s="4">
        <f t="shared" si="6"/>
        <v>399</v>
      </c>
      <c r="L237" s="4">
        <f t="shared" si="7"/>
        <v>109</v>
      </c>
      <c r="M237" s="10">
        <f>IF(Table1[[#This Row],[Revenue]]=0, "", Table1[[#This Row],[Profit]]/Table1[[#This Row],[Revenue]])</f>
        <v>0.27318295739348369</v>
      </c>
      <c r="N237" s="4" t="str">
        <f>IF(Table1[[#This Row],[Margin]]="", "check", IF(Table1[[#This Row],[Margin]]&lt;0.2, "Low", "OK"))</f>
        <v>OK</v>
      </c>
      <c r="O237" s="4" t="str" cm="1">
        <f t="array" ref="O237">_xlfn.IFS(Table1[[#This Row],[Revenue]]=0, "Check", Table1[[#This Row],[Revenue]]&gt;=1000, "Large", Table1[[#This Row],[Revenue]]&gt;=200, "Medium", TRUE, "Small")</f>
        <v>Medium</v>
      </c>
      <c r="P237" s="4" t="str">
        <f>IF(AND(Table1[[#This Row],[Margin Flag]]="Low", Table1[[#This Row],[Revenue]]&gt;1000), "Review", "")</f>
        <v/>
      </c>
      <c r="Q237" s="4" t="str">
        <f>IF(OR(Table1[[#This Row],[Qty]]&gt;=5,Table1[[#This Row],[Order Size]] = "Large" ), "Bulk", "")</f>
        <v/>
      </c>
      <c r="R237" s="10">
        <f>_xlfn.XLOOKUP(G237, Lookup!$A$2:$A$7, Lookup!$B$2:$B$7, "")</f>
        <v>0.25</v>
      </c>
      <c r="S237" s="4" t="str">
        <f>IF(Table1[[#This Row],[Margin]]&lt;Table1[[#This Row],[Target Margin]], "Yes", "")</f>
        <v/>
      </c>
    </row>
    <row r="238" spans="1:19">
      <c r="A238" t="s">
        <v>283</v>
      </c>
      <c r="B238" s="2">
        <v>46236</v>
      </c>
      <c r="C238" t="s">
        <v>57</v>
      </c>
      <c r="D238" t="s">
        <v>58</v>
      </c>
      <c r="E238">
        <v>1</v>
      </c>
      <c r="F238" t="str">
        <f>_xlfn.XLOOKUP(D238, Products!$A$2:$A$21, Products!$B$2:$B$21, "Not Found")</f>
        <v>Mech Keyboard</v>
      </c>
      <c r="G238" t="str">
        <f>_xlfn.XLOOKUP(D238, Products!$A$2:$A$21, Products!$C$2:$C$21,"not found")</f>
        <v>Accessories</v>
      </c>
      <c r="H238" s="4">
        <f>_xlfn.XLOOKUP(D238, Products!$A$2:$A$21, Products!$E$2:$E$21, 0)</f>
        <v>149</v>
      </c>
      <c r="I238" s="4">
        <f>_xlfn.XLOOKUP(D238, Products!$A$2:$A$21, Products!$F$2:$F$21,0)</f>
        <v>72</v>
      </c>
      <c r="J238" t="str">
        <f>_xlfn.XLOOKUP(C238, Stores!$A$2:$A$7, Stores!$D$2:$D$7)</f>
        <v>Sydney South</v>
      </c>
      <c r="K238" s="4">
        <f t="shared" si="6"/>
        <v>149</v>
      </c>
      <c r="L238" s="4">
        <f t="shared" si="7"/>
        <v>77</v>
      </c>
      <c r="M238" s="10">
        <f>IF(Table1[[#This Row],[Revenue]]=0, "", Table1[[#This Row],[Profit]]/Table1[[#This Row],[Revenue]])</f>
        <v>0.51677852348993292</v>
      </c>
      <c r="N238" s="4" t="str">
        <f>IF(Table1[[#This Row],[Margin]]="", "check", IF(Table1[[#This Row],[Margin]]&lt;0.2, "Low", "OK"))</f>
        <v>OK</v>
      </c>
      <c r="O238" s="4" t="str" cm="1">
        <f t="array" ref="O238">_xlfn.IFS(Table1[[#This Row],[Revenue]]=0, "Check", Table1[[#This Row],[Revenue]]&gt;=1000, "Large", Table1[[#This Row],[Revenue]]&gt;=200, "Medium", TRUE, "Small")</f>
        <v>Small</v>
      </c>
      <c r="P238" s="4" t="str">
        <f>IF(AND(Table1[[#This Row],[Margin Flag]]="Low", Table1[[#This Row],[Revenue]]&gt;1000), "Review", "")</f>
        <v/>
      </c>
      <c r="Q238" s="4" t="str">
        <f>IF(OR(Table1[[#This Row],[Qty]]&gt;=5,Table1[[#This Row],[Order Size]] = "Large" ), "Bulk", "")</f>
        <v/>
      </c>
      <c r="R238" s="10">
        <f>_xlfn.XLOOKUP(G238, Lookup!$A$2:$A$7, Lookup!$B$2:$B$7, "")</f>
        <v>0.25</v>
      </c>
      <c r="S238" s="4" t="str">
        <f>IF(Table1[[#This Row],[Margin]]&lt;Table1[[#This Row],[Target Margin]], "Yes", "")</f>
        <v/>
      </c>
    </row>
    <row r="239" spans="1:19">
      <c r="A239" t="s">
        <v>284</v>
      </c>
      <c r="B239" s="2">
        <v>46237</v>
      </c>
      <c r="C239" t="s">
        <v>57</v>
      </c>
      <c r="D239" t="s">
        <v>60</v>
      </c>
      <c r="E239">
        <v>2</v>
      </c>
      <c r="F239" t="str">
        <f>_xlfn.XLOOKUP(D239, Products!$A$2:$A$21, Products!$B$2:$B$21, "Not Found")</f>
        <v>55in TV</v>
      </c>
      <c r="G239" t="str">
        <f>_xlfn.XLOOKUP(D239, Products!$A$2:$A$21, Products!$C$2:$C$21,"not found")</f>
        <v>TV</v>
      </c>
      <c r="H239" s="4">
        <f>_xlfn.XLOOKUP(D239, Products!$A$2:$A$21, Products!$E$2:$E$21, 0)</f>
        <v>1299</v>
      </c>
      <c r="I239" s="4">
        <f>_xlfn.XLOOKUP(D239, Products!$A$2:$A$21, Products!$F$2:$F$21,0)</f>
        <v>980</v>
      </c>
      <c r="J239" t="str">
        <f>_xlfn.XLOOKUP(C239, Stores!$A$2:$A$7, Stores!$D$2:$D$7)</f>
        <v>Sydney South</v>
      </c>
      <c r="K239" s="4">
        <f t="shared" si="6"/>
        <v>2598</v>
      </c>
      <c r="L239" s="4">
        <f t="shared" si="7"/>
        <v>638</v>
      </c>
      <c r="M239" s="10">
        <f>IF(Table1[[#This Row],[Revenue]]=0, "", Table1[[#This Row],[Profit]]/Table1[[#This Row],[Revenue]])</f>
        <v>0.2455735180908391</v>
      </c>
      <c r="N239" s="4" t="str">
        <f>IF(Table1[[#This Row],[Margin]]="", "check", IF(Table1[[#This Row],[Margin]]&lt;0.2, "Low", "OK"))</f>
        <v>OK</v>
      </c>
      <c r="O239" s="4" t="str" cm="1">
        <f t="array" ref="O239">_xlfn.IFS(Table1[[#This Row],[Revenue]]=0, "Check", Table1[[#This Row],[Revenue]]&gt;=1000, "Large", Table1[[#This Row],[Revenue]]&gt;=200, "Medium", TRUE, "Small")</f>
        <v>Large</v>
      </c>
      <c r="P239" s="4" t="str">
        <f>IF(AND(Table1[[#This Row],[Margin Flag]]="Low", Table1[[#This Row],[Revenue]]&gt;1000), "Review", "")</f>
        <v/>
      </c>
      <c r="Q239" s="4" t="str">
        <f>IF(OR(Table1[[#This Row],[Qty]]&gt;=5,Table1[[#This Row],[Order Size]] = "Large" ), "Bulk", "")</f>
        <v>Bulk</v>
      </c>
      <c r="R239" s="10">
        <f>_xlfn.XLOOKUP(G239, Lookup!$A$2:$A$7, Lookup!$B$2:$B$7, "")</f>
        <v>0.25</v>
      </c>
      <c r="S239" s="4" t="str">
        <f>IF(Table1[[#This Row],[Margin]]&lt;Table1[[#This Row],[Target Margin]], "Yes", "")</f>
        <v>Yes</v>
      </c>
    </row>
    <row r="240" spans="1:19">
      <c r="A240" t="s">
        <v>285</v>
      </c>
      <c r="B240" s="2">
        <v>46237</v>
      </c>
      <c r="C240" t="s">
        <v>32</v>
      </c>
      <c r="D240" t="s">
        <v>30</v>
      </c>
      <c r="E240">
        <v>1</v>
      </c>
      <c r="F240" t="str">
        <f>_xlfn.XLOOKUP(D240, Products!$A$2:$A$21, Products!$B$2:$B$21, "Not Found")</f>
        <v>Video Game</v>
      </c>
      <c r="G240" t="str">
        <f>_xlfn.XLOOKUP(D240, Products!$A$2:$A$21, Products!$C$2:$C$21,"not found")</f>
        <v>Gaming</v>
      </c>
      <c r="H240" s="4">
        <f>_xlfn.XLOOKUP(D240, Products!$A$2:$A$21, Products!$E$2:$E$21, 0)</f>
        <v>79</v>
      </c>
      <c r="I240" s="4">
        <f>_xlfn.XLOOKUP(D240, Products!$A$2:$A$21, Products!$F$2:$F$21,0)</f>
        <v>52</v>
      </c>
      <c r="J240" t="str">
        <f>_xlfn.XLOOKUP(C240, Stores!$A$2:$A$7, Stores!$D$2:$D$7)</f>
        <v>Sydney South</v>
      </c>
      <c r="K240" s="4">
        <f t="shared" si="6"/>
        <v>79</v>
      </c>
      <c r="L240" s="4">
        <f t="shared" si="7"/>
        <v>27</v>
      </c>
      <c r="M240" s="10">
        <f>IF(Table1[[#This Row],[Revenue]]=0, "", Table1[[#This Row],[Profit]]/Table1[[#This Row],[Revenue]])</f>
        <v>0.34177215189873417</v>
      </c>
      <c r="N240" s="4" t="str">
        <f>IF(Table1[[#This Row],[Margin]]="", "check", IF(Table1[[#This Row],[Margin]]&lt;0.2, "Low", "OK"))</f>
        <v>OK</v>
      </c>
      <c r="O240" s="4" t="str" cm="1">
        <f t="array" ref="O240">_xlfn.IFS(Table1[[#This Row],[Revenue]]=0, "Check", Table1[[#This Row],[Revenue]]&gt;=1000, "Large", Table1[[#This Row],[Revenue]]&gt;=200, "Medium", TRUE, "Small")</f>
        <v>Small</v>
      </c>
      <c r="P240" s="4" t="str">
        <f>IF(AND(Table1[[#This Row],[Margin Flag]]="Low", Table1[[#This Row],[Revenue]]&gt;1000), "Review", "")</f>
        <v/>
      </c>
      <c r="Q240" s="4" t="str">
        <f>IF(OR(Table1[[#This Row],[Qty]]&gt;=5,Table1[[#This Row],[Order Size]] = "Large" ), "Bulk", "")</f>
        <v/>
      </c>
      <c r="R240" s="10">
        <f>_xlfn.XLOOKUP(G240, Lookup!$A$2:$A$7, Lookup!$B$2:$B$7, "")</f>
        <v>0.08</v>
      </c>
      <c r="S240" s="4" t="str">
        <f>IF(Table1[[#This Row],[Margin]]&lt;Table1[[#This Row],[Target Margin]], "Yes", "")</f>
        <v/>
      </c>
    </row>
    <row r="241" spans="1:19">
      <c r="A241" t="s">
        <v>286</v>
      </c>
      <c r="B241" s="2">
        <v>46237</v>
      </c>
      <c r="C241" t="s">
        <v>32</v>
      </c>
      <c r="D241" t="s">
        <v>43</v>
      </c>
      <c r="E241">
        <v>1</v>
      </c>
      <c r="F241" t="str">
        <f>_xlfn.XLOOKUP(D241, Products!$A$2:$A$21, Products!$B$2:$B$21, "Not Found")</f>
        <v>Console Controller</v>
      </c>
      <c r="G241" t="str">
        <f>_xlfn.XLOOKUP(D241, Products!$A$2:$A$21, Products!$C$2:$C$21,"not found")</f>
        <v>Gaming</v>
      </c>
      <c r="H241" s="4">
        <f>_xlfn.XLOOKUP(D241, Products!$A$2:$A$21, Products!$E$2:$E$21, 0)</f>
        <v>99</v>
      </c>
      <c r="I241" s="4">
        <f>_xlfn.XLOOKUP(D241, Products!$A$2:$A$21, Products!$F$2:$F$21,0)</f>
        <v>58</v>
      </c>
      <c r="J241" t="str">
        <f>_xlfn.XLOOKUP(C241, Stores!$A$2:$A$7, Stores!$D$2:$D$7)</f>
        <v>Sydney South</v>
      </c>
      <c r="K241" s="4">
        <f t="shared" si="6"/>
        <v>99</v>
      </c>
      <c r="L241" s="4">
        <f t="shared" si="7"/>
        <v>41</v>
      </c>
      <c r="M241" s="10">
        <f>IF(Table1[[#This Row],[Revenue]]=0, "", Table1[[#This Row],[Profit]]/Table1[[#This Row],[Revenue]])</f>
        <v>0.41414141414141414</v>
      </c>
      <c r="N241" s="4" t="str">
        <f>IF(Table1[[#This Row],[Margin]]="", "check", IF(Table1[[#This Row],[Margin]]&lt;0.2, "Low", "OK"))</f>
        <v>OK</v>
      </c>
      <c r="O241" s="4" t="str" cm="1">
        <f t="array" ref="O241">_xlfn.IFS(Table1[[#This Row],[Revenue]]=0, "Check", Table1[[#This Row],[Revenue]]&gt;=1000, "Large", Table1[[#This Row],[Revenue]]&gt;=200, "Medium", TRUE, "Small")</f>
        <v>Small</v>
      </c>
      <c r="P241" s="4" t="str">
        <f>IF(AND(Table1[[#This Row],[Margin Flag]]="Low", Table1[[#This Row],[Revenue]]&gt;1000), "Review", "")</f>
        <v/>
      </c>
      <c r="Q241" s="4" t="str">
        <f>IF(OR(Table1[[#This Row],[Qty]]&gt;=5,Table1[[#This Row],[Order Size]] = "Large" ), "Bulk", "")</f>
        <v/>
      </c>
      <c r="R241" s="10">
        <f>_xlfn.XLOOKUP(G241, Lookup!$A$2:$A$7, Lookup!$B$2:$B$7, "")</f>
        <v>0.08</v>
      </c>
      <c r="S241" s="4" t="str">
        <f>IF(Table1[[#This Row],[Margin]]&lt;Table1[[#This Row],[Target Margin]], "Yes", "")</f>
        <v/>
      </c>
    </row>
    <row r="242" spans="1:19">
      <c r="A242" t="s">
        <v>287</v>
      </c>
      <c r="B242" s="2">
        <v>46237</v>
      </c>
      <c r="C242" t="s">
        <v>32</v>
      </c>
      <c r="D242" t="s">
        <v>60</v>
      </c>
      <c r="E242">
        <v>1</v>
      </c>
      <c r="F242" t="str">
        <f>_xlfn.XLOOKUP(D242, Products!$A$2:$A$21, Products!$B$2:$B$21, "Not Found")</f>
        <v>55in TV</v>
      </c>
      <c r="G242" t="str">
        <f>_xlfn.XLOOKUP(D242, Products!$A$2:$A$21, Products!$C$2:$C$21,"not found")</f>
        <v>TV</v>
      </c>
      <c r="H242" s="4">
        <f>_xlfn.XLOOKUP(D242, Products!$A$2:$A$21, Products!$E$2:$E$21, 0)</f>
        <v>1299</v>
      </c>
      <c r="I242" s="4">
        <f>_xlfn.XLOOKUP(D242, Products!$A$2:$A$21, Products!$F$2:$F$21,0)</f>
        <v>980</v>
      </c>
      <c r="J242" t="str">
        <f>_xlfn.XLOOKUP(C242, Stores!$A$2:$A$7, Stores!$D$2:$D$7)</f>
        <v>Sydney South</v>
      </c>
      <c r="K242" s="4">
        <f t="shared" si="6"/>
        <v>1299</v>
      </c>
      <c r="L242" s="4">
        <f t="shared" si="7"/>
        <v>319</v>
      </c>
      <c r="M242" s="10">
        <f>IF(Table1[[#This Row],[Revenue]]=0, "", Table1[[#This Row],[Profit]]/Table1[[#This Row],[Revenue]])</f>
        <v>0.2455735180908391</v>
      </c>
      <c r="N242" s="4" t="str">
        <f>IF(Table1[[#This Row],[Margin]]="", "check", IF(Table1[[#This Row],[Margin]]&lt;0.2, "Low", "OK"))</f>
        <v>OK</v>
      </c>
      <c r="O242" s="4" t="str" cm="1">
        <f t="array" ref="O242">_xlfn.IFS(Table1[[#This Row],[Revenue]]=0, "Check", Table1[[#This Row],[Revenue]]&gt;=1000, "Large", Table1[[#This Row],[Revenue]]&gt;=200, "Medium", TRUE, "Small")</f>
        <v>Large</v>
      </c>
      <c r="P242" s="4" t="str">
        <f>IF(AND(Table1[[#This Row],[Margin Flag]]="Low", Table1[[#This Row],[Revenue]]&gt;1000), "Review", "")</f>
        <v/>
      </c>
      <c r="Q242" s="4" t="str">
        <f>IF(OR(Table1[[#This Row],[Qty]]&gt;=5,Table1[[#This Row],[Order Size]] = "Large" ), "Bulk", "")</f>
        <v>Bulk</v>
      </c>
      <c r="R242" s="10">
        <f>_xlfn.XLOOKUP(G242, Lookup!$A$2:$A$7, Lookup!$B$2:$B$7, "")</f>
        <v>0.25</v>
      </c>
      <c r="S242" s="4" t="str">
        <f>IF(Table1[[#This Row],[Margin]]&lt;Table1[[#This Row],[Target Margin]], "Yes", "")</f>
        <v>Yes</v>
      </c>
    </row>
    <row r="243" spans="1:19">
      <c r="A243" t="s">
        <v>288</v>
      </c>
      <c r="B243" s="2">
        <v>46237</v>
      </c>
      <c r="C243" t="s">
        <v>26</v>
      </c>
      <c r="D243" t="s">
        <v>35</v>
      </c>
      <c r="E243">
        <v>4</v>
      </c>
      <c r="F243" t="str">
        <f>_xlfn.XLOOKUP(D243, Products!$A$2:$A$21, Products!$B$2:$B$21, "Not Found")</f>
        <v>Phone Case</v>
      </c>
      <c r="G243" t="str">
        <f>_xlfn.XLOOKUP(D243, Products!$A$2:$A$21, Products!$C$2:$C$21,"not found")</f>
        <v>Accessories</v>
      </c>
      <c r="H243" s="4">
        <f>_xlfn.XLOOKUP(D243, Products!$A$2:$A$21, Products!$E$2:$E$21, 0)</f>
        <v>39</v>
      </c>
      <c r="I243" s="4">
        <f>_xlfn.XLOOKUP(D243, Products!$A$2:$A$21, Products!$F$2:$F$21,0)</f>
        <v>9</v>
      </c>
      <c r="J243" t="str">
        <f>_xlfn.XLOOKUP(C243, Stores!$A$2:$A$7, Stores!$D$2:$D$7)</f>
        <v>Sydney North</v>
      </c>
      <c r="K243" s="4">
        <f t="shared" si="6"/>
        <v>156</v>
      </c>
      <c r="L243" s="4">
        <f t="shared" si="7"/>
        <v>120</v>
      </c>
      <c r="M243" s="10">
        <f>IF(Table1[[#This Row],[Revenue]]=0, "", Table1[[#This Row],[Profit]]/Table1[[#This Row],[Revenue]])</f>
        <v>0.76923076923076927</v>
      </c>
      <c r="N243" s="4" t="str">
        <f>IF(Table1[[#This Row],[Margin]]="", "check", IF(Table1[[#This Row],[Margin]]&lt;0.2, "Low", "OK"))</f>
        <v>OK</v>
      </c>
      <c r="O243" s="4" t="str" cm="1">
        <f t="array" ref="O243">_xlfn.IFS(Table1[[#This Row],[Revenue]]=0, "Check", Table1[[#This Row],[Revenue]]&gt;=1000, "Large", Table1[[#This Row],[Revenue]]&gt;=200, "Medium", TRUE, "Small")</f>
        <v>Small</v>
      </c>
      <c r="P243" s="4" t="str">
        <f>IF(AND(Table1[[#This Row],[Margin Flag]]="Low", Table1[[#This Row],[Revenue]]&gt;1000), "Review", "")</f>
        <v/>
      </c>
      <c r="Q243" s="4" t="str">
        <f>IF(OR(Table1[[#This Row],[Qty]]&gt;=5,Table1[[#This Row],[Order Size]] = "Large" ), "Bulk", "")</f>
        <v/>
      </c>
      <c r="R243" s="10">
        <f>_xlfn.XLOOKUP(G243, Lookup!$A$2:$A$7, Lookup!$B$2:$B$7, "")</f>
        <v>0.25</v>
      </c>
      <c r="S243" s="4" t="str">
        <f>IF(Table1[[#This Row],[Margin]]&lt;Table1[[#This Row],[Target Margin]], "Yes", "")</f>
        <v/>
      </c>
    </row>
    <row r="244" spans="1:19">
      <c r="A244" t="s">
        <v>289</v>
      </c>
      <c r="B244" s="2">
        <v>46237</v>
      </c>
      <c r="C244" t="s">
        <v>20</v>
      </c>
      <c r="D244" t="s">
        <v>58</v>
      </c>
      <c r="E244">
        <v>4</v>
      </c>
      <c r="F244" t="str">
        <f>_xlfn.XLOOKUP(D244, Products!$A$2:$A$21, Products!$B$2:$B$21, "Not Found")</f>
        <v>Mech Keyboard</v>
      </c>
      <c r="G244" t="str">
        <f>_xlfn.XLOOKUP(D244, Products!$A$2:$A$21, Products!$C$2:$C$21,"not found")</f>
        <v>Accessories</v>
      </c>
      <c r="H244" s="4">
        <f>_xlfn.XLOOKUP(D244, Products!$A$2:$A$21, Products!$E$2:$E$21, 0)</f>
        <v>149</v>
      </c>
      <c r="I244" s="4">
        <f>_xlfn.XLOOKUP(D244, Products!$A$2:$A$21, Products!$F$2:$F$21,0)</f>
        <v>72</v>
      </c>
      <c r="J244" t="str">
        <f>_xlfn.XLOOKUP(C244, Stores!$A$2:$A$7, Stores!$D$2:$D$7)</f>
        <v>Sydney West</v>
      </c>
      <c r="K244" s="4">
        <f t="shared" si="6"/>
        <v>596</v>
      </c>
      <c r="L244" s="4">
        <f t="shared" si="7"/>
        <v>308</v>
      </c>
      <c r="M244" s="10">
        <f>IF(Table1[[#This Row],[Revenue]]=0, "", Table1[[#This Row],[Profit]]/Table1[[#This Row],[Revenue]])</f>
        <v>0.51677852348993292</v>
      </c>
      <c r="N244" s="4" t="str">
        <f>IF(Table1[[#This Row],[Margin]]="", "check", IF(Table1[[#This Row],[Margin]]&lt;0.2, "Low", "OK"))</f>
        <v>OK</v>
      </c>
      <c r="O244" s="4" t="str" cm="1">
        <f t="array" ref="O244">_xlfn.IFS(Table1[[#This Row],[Revenue]]=0, "Check", Table1[[#This Row],[Revenue]]&gt;=1000, "Large", Table1[[#This Row],[Revenue]]&gt;=200, "Medium", TRUE, "Small")</f>
        <v>Medium</v>
      </c>
      <c r="P244" s="4" t="str">
        <f>IF(AND(Table1[[#This Row],[Margin Flag]]="Low", Table1[[#This Row],[Revenue]]&gt;1000), "Review", "")</f>
        <v/>
      </c>
      <c r="Q244" s="4" t="str">
        <f>IF(OR(Table1[[#This Row],[Qty]]&gt;=5,Table1[[#This Row],[Order Size]] = "Large" ), "Bulk", "")</f>
        <v/>
      </c>
      <c r="R244" s="10">
        <f>_xlfn.XLOOKUP(G244, Lookup!$A$2:$A$7, Lookup!$B$2:$B$7, "")</f>
        <v>0.25</v>
      </c>
      <c r="S244" s="4" t="str">
        <f>IF(Table1[[#This Row],[Margin]]&lt;Table1[[#This Row],[Target Margin]], "Yes", "")</f>
        <v/>
      </c>
    </row>
    <row r="245" spans="1:19">
      <c r="A245" t="s">
        <v>290</v>
      </c>
      <c r="B245" s="2">
        <v>46237</v>
      </c>
      <c r="C245" t="s">
        <v>20</v>
      </c>
      <c r="D245" t="s">
        <v>54</v>
      </c>
      <c r="E245">
        <v>1</v>
      </c>
      <c r="F245" t="str">
        <f>_xlfn.XLOOKUP(D245, Products!$A$2:$A$21, Products!$B$2:$B$21, "Not Found")</f>
        <v>Tablet 11in</v>
      </c>
      <c r="G245" t="str">
        <f>_xlfn.XLOOKUP(D245, Products!$A$2:$A$21, Products!$C$2:$C$21,"not found")</f>
        <v>Computers</v>
      </c>
      <c r="H245" s="4">
        <f>_xlfn.XLOOKUP(D245, Products!$A$2:$A$21, Products!$E$2:$E$21, 0)</f>
        <v>899</v>
      </c>
      <c r="I245" s="4">
        <f>_xlfn.XLOOKUP(D245, Products!$A$2:$A$21, Products!$F$2:$F$21,0)</f>
        <v>690</v>
      </c>
      <c r="J245" t="str">
        <f>_xlfn.XLOOKUP(C245, Stores!$A$2:$A$7, Stores!$D$2:$D$7)</f>
        <v>Sydney West</v>
      </c>
      <c r="K245" s="4">
        <f t="shared" si="6"/>
        <v>899</v>
      </c>
      <c r="L245" s="4">
        <f t="shared" si="7"/>
        <v>209</v>
      </c>
      <c r="M245" s="10">
        <f>IF(Table1[[#This Row],[Revenue]]=0, "", Table1[[#This Row],[Profit]]/Table1[[#This Row],[Revenue]])</f>
        <v>0.2324805339265851</v>
      </c>
      <c r="N245" s="4" t="str">
        <f>IF(Table1[[#This Row],[Margin]]="", "check", IF(Table1[[#This Row],[Margin]]&lt;0.2, "Low", "OK"))</f>
        <v>OK</v>
      </c>
      <c r="O245" s="4" t="str" cm="1">
        <f t="array" ref="O245">_xlfn.IFS(Table1[[#This Row],[Revenue]]=0, "Check", Table1[[#This Row],[Revenue]]&gt;=1000, "Large", Table1[[#This Row],[Revenue]]&gt;=200, "Medium", TRUE, "Small")</f>
        <v>Medium</v>
      </c>
      <c r="P245" s="4" t="str">
        <f>IF(AND(Table1[[#This Row],[Margin Flag]]="Low", Table1[[#This Row],[Revenue]]&gt;1000), "Review", "")</f>
        <v/>
      </c>
      <c r="Q245" s="4" t="str">
        <f>IF(OR(Table1[[#This Row],[Qty]]&gt;=5,Table1[[#This Row],[Order Size]] = "Large" ), "Bulk", "")</f>
        <v/>
      </c>
      <c r="R245" s="10">
        <f>_xlfn.XLOOKUP(G245, Lookup!$A$2:$A$7, Lookup!$B$2:$B$7, "")</f>
        <v>0.25</v>
      </c>
      <c r="S245" s="4" t="str">
        <f>IF(Table1[[#This Row],[Margin]]&lt;Table1[[#This Row],[Target Margin]], "Yes", "")</f>
        <v>Yes</v>
      </c>
    </row>
    <row r="246" spans="1:19">
      <c r="A246" t="s">
        <v>291</v>
      </c>
      <c r="B246" s="2">
        <v>46237</v>
      </c>
      <c r="C246" t="s">
        <v>32</v>
      </c>
      <c r="D246" t="s">
        <v>99</v>
      </c>
      <c r="E246">
        <v>1</v>
      </c>
      <c r="F246" t="str">
        <f>_xlfn.XLOOKUP(D246, Products!$A$2:$A$21, Products!$B$2:$B$21, "Not Found")</f>
        <v>Smartphone 256GB</v>
      </c>
      <c r="G246" t="str">
        <f>_xlfn.XLOOKUP(D246, Products!$A$2:$A$21, Products!$C$2:$C$21,"not found")</f>
        <v>Phones</v>
      </c>
      <c r="H246" s="4">
        <f>_xlfn.XLOOKUP(D246, Products!$A$2:$A$21, Products!$E$2:$E$21, 0)</f>
        <v>1499</v>
      </c>
      <c r="I246" s="4">
        <f>_xlfn.XLOOKUP(D246, Products!$A$2:$A$21, Products!$F$2:$F$21,0)</f>
        <v>1180</v>
      </c>
      <c r="J246" t="str">
        <f>_xlfn.XLOOKUP(C246, Stores!$A$2:$A$7, Stores!$D$2:$D$7)</f>
        <v>Sydney South</v>
      </c>
      <c r="K246" s="4">
        <f t="shared" si="6"/>
        <v>1499</v>
      </c>
      <c r="L246" s="4">
        <f t="shared" si="7"/>
        <v>319</v>
      </c>
      <c r="M246" s="10">
        <f>IF(Table1[[#This Row],[Revenue]]=0, "", Table1[[#This Row],[Profit]]/Table1[[#This Row],[Revenue]])</f>
        <v>0.21280853902601735</v>
      </c>
      <c r="N246" s="4" t="str">
        <f>IF(Table1[[#This Row],[Margin]]="", "check", IF(Table1[[#This Row],[Margin]]&lt;0.2, "Low", "OK"))</f>
        <v>OK</v>
      </c>
      <c r="O246" s="4" t="str" cm="1">
        <f t="array" ref="O246">_xlfn.IFS(Table1[[#This Row],[Revenue]]=0, "Check", Table1[[#This Row],[Revenue]]&gt;=1000, "Large", Table1[[#This Row],[Revenue]]&gt;=200, "Medium", TRUE, "Small")</f>
        <v>Large</v>
      </c>
      <c r="P246" s="4" t="str">
        <f>IF(AND(Table1[[#This Row],[Margin Flag]]="Low", Table1[[#This Row],[Revenue]]&gt;1000), "Review", "")</f>
        <v/>
      </c>
      <c r="Q246" s="4" t="str">
        <f>IF(OR(Table1[[#This Row],[Qty]]&gt;=5,Table1[[#This Row],[Order Size]] = "Large" ), "Bulk", "")</f>
        <v>Bulk</v>
      </c>
      <c r="R246" s="10">
        <f>_xlfn.XLOOKUP(G246, Lookup!$A$2:$A$7, Lookup!$B$2:$B$7, "")</f>
        <v>0.25</v>
      </c>
      <c r="S246" s="4" t="str">
        <f>IF(Table1[[#This Row],[Margin]]&lt;Table1[[#This Row],[Target Margin]], "Yes", "")</f>
        <v>Yes</v>
      </c>
    </row>
    <row r="247" spans="1:19">
      <c r="A247" t="s">
        <v>292</v>
      </c>
      <c r="B247" s="2">
        <v>46237</v>
      </c>
      <c r="C247" t="s">
        <v>26</v>
      </c>
      <c r="D247" t="s">
        <v>106</v>
      </c>
      <c r="E247">
        <v>1</v>
      </c>
      <c r="F247" t="str">
        <f>_xlfn.XLOOKUP(D247, Products!$A$2:$A$21, Products!$B$2:$B$21, "Not Found")</f>
        <v>Laptop 14in</v>
      </c>
      <c r="G247" t="str">
        <f>_xlfn.XLOOKUP(D247, Products!$A$2:$A$21, Products!$C$2:$C$21,"not found")</f>
        <v>Computers</v>
      </c>
      <c r="H247" s="4">
        <f>_xlfn.XLOOKUP(D247, Products!$A$2:$A$21, Products!$E$2:$E$21, 0)</f>
        <v>1199</v>
      </c>
      <c r="I247" s="4">
        <f>_xlfn.XLOOKUP(D247, Products!$A$2:$A$21, Products!$F$2:$F$21,0)</f>
        <v>930</v>
      </c>
      <c r="J247" t="str">
        <f>_xlfn.XLOOKUP(C247, Stores!$A$2:$A$7, Stores!$D$2:$D$7)</f>
        <v>Sydney North</v>
      </c>
      <c r="K247" s="4">
        <f t="shared" si="6"/>
        <v>1199</v>
      </c>
      <c r="L247" s="4">
        <f t="shared" si="7"/>
        <v>269</v>
      </c>
      <c r="M247" s="10">
        <f>IF(Table1[[#This Row],[Revenue]]=0, "", Table1[[#This Row],[Profit]]/Table1[[#This Row],[Revenue]])</f>
        <v>0.22435362802335279</v>
      </c>
      <c r="N247" s="4" t="str">
        <f>IF(Table1[[#This Row],[Margin]]="", "check", IF(Table1[[#This Row],[Margin]]&lt;0.2, "Low", "OK"))</f>
        <v>OK</v>
      </c>
      <c r="O247" s="4" t="str" cm="1">
        <f t="array" ref="O247">_xlfn.IFS(Table1[[#This Row],[Revenue]]=0, "Check", Table1[[#This Row],[Revenue]]&gt;=1000, "Large", Table1[[#This Row],[Revenue]]&gt;=200, "Medium", TRUE, "Small")</f>
        <v>Large</v>
      </c>
      <c r="P247" s="4" t="str">
        <f>IF(AND(Table1[[#This Row],[Margin Flag]]="Low", Table1[[#This Row],[Revenue]]&gt;1000), "Review", "")</f>
        <v/>
      </c>
      <c r="Q247" s="4" t="str">
        <f>IF(OR(Table1[[#This Row],[Qty]]&gt;=5,Table1[[#This Row],[Order Size]] = "Large" ), "Bulk", "")</f>
        <v>Bulk</v>
      </c>
      <c r="R247" s="10">
        <f>_xlfn.XLOOKUP(G247, Lookup!$A$2:$A$7, Lookup!$B$2:$B$7, "")</f>
        <v>0.25</v>
      </c>
      <c r="S247" s="4" t="str">
        <f>IF(Table1[[#This Row],[Margin]]&lt;Table1[[#This Row],[Target Margin]], "Yes", "")</f>
        <v>Yes</v>
      </c>
    </row>
    <row r="248" spans="1:19">
      <c r="A248" t="s">
        <v>293</v>
      </c>
      <c r="B248" s="2">
        <v>46237</v>
      </c>
      <c r="C248" t="s">
        <v>29</v>
      </c>
      <c r="D248" t="s">
        <v>21</v>
      </c>
      <c r="E248">
        <v>1</v>
      </c>
      <c r="F248" t="str">
        <f>_xlfn.XLOOKUP(D248, Products!$A$2:$A$21, Products!$B$2:$B$21, "Not Found")</f>
        <v>Gaming Mouse</v>
      </c>
      <c r="G248" t="str">
        <f>_xlfn.XLOOKUP(D248, Products!$A$2:$A$21, Products!$C$2:$C$21,"not found")</f>
        <v>Accessories</v>
      </c>
      <c r="H248" s="4">
        <f>_xlfn.XLOOKUP(D248, Products!$A$2:$A$21, Products!$E$2:$E$21, 0)</f>
        <v>89</v>
      </c>
      <c r="I248" s="4">
        <f>_xlfn.XLOOKUP(D248, Products!$A$2:$A$21, Products!$F$2:$F$21,0)</f>
        <v>41</v>
      </c>
      <c r="J248" t="str">
        <f>_xlfn.XLOOKUP(C248, Stores!$A$2:$A$7, Stores!$D$2:$D$7)</f>
        <v>Sydney West</v>
      </c>
      <c r="K248" s="4">
        <f t="shared" si="6"/>
        <v>89</v>
      </c>
      <c r="L248" s="4">
        <f t="shared" si="7"/>
        <v>48</v>
      </c>
      <c r="M248" s="10">
        <f>IF(Table1[[#This Row],[Revenue]]=0, "", Table1[[#This Row],[Profit]]/Table1[[#This Row],[Revenue]])</f>
        <v>0.5393258426966292</v>
      </c>
      <c r="N248" s="4" t="str">
        <f>IF(Table1[[#This Row],[Margin]]="", "check", IF(Table1[[#This Row],[Margin]]&lt;0.2, "Low", "OK"))</f>
        <v>OK</v>
      </c>
      <c r="O248" s="4" t="str" cm="1">
        <f t="array" ref="O248">_xlfn.IFS(Table1[[#This Row],[Revenue]]=0, "Check", Table1[[#This Row],[Revenue]]&gt;=1000, "Large", Table1[[#This Row],[Revenue]]&gt;=200, "Medium", TRUE, "Small")</f>
        <v>Small</v>
      </c>
      <c r="P248" s="4" t="str">
        <f>IF(AND(Table1[[#This Row],[Margin Flag]]="Low", Table1[[#This Row],[Revenue]]&gt;1000), "Review", "")</f>
        <v/>
      </c>
      <c r="Q248" s="4" t="str">
        <f>IF(OR(Table1[[#This Row],[Qty]]&gt;=5,Table1[[#This Row],[Order Size]] = "Large" ), "Bulk", "")</f>
        <v/>
      </c>
      <c r="R248" s="10">
        <f>_xlfn.XLOOKUP(G248, Lookup!$A$2:$A$7, Lookup!$B$2:$B$7, "")</f>
        <v>0.25</v>
      </c>
      <c r="S248" s="4" t="str">
        <f>IF(Table1[[#This Row],[Margin]]&lt;Table1[[#This Row],[Target Margin]], "Yes", "")</f>
        <v/>
      </c>
    </row>
    <row r="249" spans="1:19">
      <c r="A249" t="s">
        <v>294</v>
      </c>
      <c r="B249" s="2">
        <v>46237</v>
      </c>
      <c r="C249" t="s">
        <v>57</v>
      </c>
      <c r="D249" t="s">
        <v>24</v>
      </c>
      <c r="E249">
        <v>1</v>
      </c>
      <c r="F249" t="str">
        <f>_xlfn.XLOOKUP(D249, Products!$A$2:$A$21, Products!$B$2:$B$21, "Not Found")</f>
        <v>Wireless Earbuds</v>
      </c>
      <c r="G249" t="str">
        <f>_xlfn.XLOOKUP(D249, Products!$A$2:$A$21, Products!$C$2:$C$21,"not found")</f>
        <v>Audio</v>
      </c>
      <c r="H249" s="4">
        <f>_xlfn.XLOOKUP(D249, Products!$A$2:$A$21, Products!$E$2:$E$21, 0)</f>
        <v>249</v>
      </c>
      <c r="I249" s="4">
        <f>_xlfn.XLOOKUP(D249, Products!$A$2:$A$21, Products!$F$2:$F$21,0)</f>
        <v>140</v>
      </c>
      <c r="J249" t="str">
        <f>_xlfn.XLOOKUP(C249, Stores!$A$2:$A$7, Stores!$D$2:$D$7)</f>
        <v>Sydney South</v>
      </c>
      <c r="K249" s="4">
        <f t="shared" si="6"/>
        <v>249</v>
      </c>
      <c r="L249" s="4">
        <f t="shared" si="7"/>
        <v>109</v>
      </c>
      <c r="M249" s="10">
        <f>IF(Table1[[#This Row],[Revenue]]=0, "", Table1[[#This Row],[Profit]]/Table1[[#This Row],[Revenue]])</f>
        <v>0.43775100401606426</v>
      </c>
      <c r="N249" s="4" t="str">
        <f>IF(Table1[[#This Row],[Margin]]="", "check", IF(Table1[[#This Row],[Margin]]&lt;0.2, "Low", "OK"))</f>
        <v>OK</v>
      </c>
      <c r="O249" s="4" t="str" cm="1">
        <f t="array" ref="O249">_xlfn.IFS(Table1[[#This Row],[Revenue]]=0, "Check", Table1[[#This Row],[Revenue]]&gt;=1000, "Large", Table1[[#This Row],[Revenue]]&gt;=200, "Medium", TRUE, "Small")</f>
        <v>Medium</v>
      </c>
      <c r="P249" s="4" t="str">
        <f>IF(AND(Table1[[#This Row],[Margin Flag]]="Low", Table1[[#This Row],[Revenue]]&gt;1000), "Review", "")</f>
        <v/>
      </c>
      <c r="Q249" s="4" t="str">
        <f>IF(OR(Table1[[#This Row],[Qty]]&gt;=5,Table1[[#This Row],[Order Size]] = "Large" ), "Bulk", "")</f>
        <v/>
      </c>
      <c r="R249" s="10">
        <f>_xlfn.XLOOKUP(G249, Lookup!$A$2:$A$7, Lookup!$B$2:$B$7, "")</f>
        <v>0.25</v>
      </c>
      <c r="S249" s="4" t="str">
        <f>IF(Table1[[#This Row],[Margin]]&lt;Table1[[#This Row],[Target Margin]], "Yes", "")</f>
        <v/>
      </c>
    </row>
    <row r="250" spans="1:19">
      <c r="A250" t="s">
        <v>295</v>
      </c>
      <c r="B250" s="2">
        <v>46238</v>
      </c>
      <c r="C250" t="s">
        <v>26</v>
      </c>
      <c r="D250" t="s">
        <v>58</v>
      </c>
      <c r="E250">
        <v>1</v>
      </c>
      <c r="F250" t="str">
        <f>_xlfn.XLOOKUP(D250, Products!$A$2:$A$21, Products!$B$2:$B$21, "Not Found")</f>
        <v>Mech Keyboard</v>
      </c>
      <c r="G250" t="str">
        <f>_xlfn.XLOOKUP(D250, Products!$A$2:$A$21, Products!$C$2:$C$21,"not found")</f>
        <v>Accessories</v>
      </c>
      <c r="H250" s="4">
        <f>_xlfn.XLOOKUP(D250, Products!$A$2:$A$21, Products!$E$2:$E$21, 0)</f>
        <v>149</v>
      </c>
      <c r="I250" s="4">
        <f>_xlfn.XLOOKUP(D250, Products!$A$2:$A$21, Products!$F$2:$F$21,0)</f>
        <v>72</v>
      </c>
      <c r="J250" t="str">
        <f>_xlfn.XLOOKUP(C250, Stores!$A$2:$A$7, Stores!$D$2:$D$7)</f>
        <v>Sydney North</v>
      </c>
      <c r="K250" s="4">
        <f t="shared" si="6"/>
        <v>149</v>
      </c>
      <c r="L250" s="4">
        <f t="shared" si="7"/>
        <v>77</v>
      </c>
      <c r="M250" s="10">
        <f>IF(Table1[[#This Row],[Revenue]]=0, "", Table1[[#This Row],[Profit]]/Table1[[#This Row],[Revenue]])</f>
        <v>0.51677852348993292</v>
      </c>
      <c r="N250" s="4" t="str">
        <f>IF(Table1[[#This Row],[Margin]]="", "check", IF(Table1[[#This Row],[Margin]]&lt;0.2, "Low", "OK"))</f>
        <v>OK</v>
      </c>
      <c r="O250" s="4" t="str" cm="1">
        <f t="array" ref="O250">_xlfn.IFS(Table1[[#This Row],[Revenue]]=0, "Check", Table1[[#This Row],[Revenue]]&gt;=1000, "Large", Table1[[#This Row],[Revenue]]&gt;=200, "Medium", TRUE, "Small")</f>
        <v>Small</v>
      </c>
      <c r="P250" s="4" t="str">
        <f>IF(AND(Table1[[#This Row],[Margin Flag]]="Low", Table1[[#This Row],[Revenue]]&gt;1000), "Review", "")</f>
        <v/>
      </c>
      <c r="Q250" s="4" t="str">
        <f>IF(OR(Table1[[#This Row],[Qty]]&gt;=5,Table1[[#This Row],[Order Size]] = "Large" ), "Bulk", "")</f>
        <v/>
      </c>
      <c r="R250" s="10">
        <f>_xlfn.XLOOKUP(G250, Lookup!$A$2:$A$7, Lookup!$B$2:$B$7, "")</f>
        <v>0.25</v>
      </c>
      <c r="S250" s="4" t="str">
        <f>IF(Table1[[#This Row],[Margin]]&lt;Table1[[#This Row],[Target Margin]], "Yes", "")</f>
        <v/>
      </c>
    </row>
    <row r="251" spans="1:19">
      <c r="A251" t="s">
        <v>296</v>
      </c>
      <c r="B251" s="2">
        <v>46238</v>
      </c>
      <c r="C251" t="s">
        <v>32</v>
      </c>
      <c r="D251" t="s">
        <v>30</v>
      </c>
      <c r="E251">
        <v>3</v>
      </c>
      <c r="F251" t="str">
        <f>_xlfn.XLOOKUP(D251, Products!$A$2:$A$21, Products!$B$2:$B$21, "Not Found")</f>
        <v>Video Game</v>
      </c>
      <c r="G251" t="str">
        <f>_xlfn.XLOOKUP(D251, Products!$A$2:$A$21, Products!$C$2:$C$21,"not found")</f>
        <v>Gaming</v>
      </c>
      <c r="H251" s="4">
        <f>_xlfn.XLOOKUP(D251, Products!$A$2:$A$21, Products!$E$2:$E$21, 0)</f>
        <v>79</v>
      </c>
      <c r="I251" s="4">
        <f>_xlfn.XLOOKUP(D251, Products!$A$2:$A$21, Products!$F$2:$F$21,0)</f>
        <v>52</v>
      </c>
      <c r="J251" t="str">
        <f>_xlfn.XLOOKUP(C251, Stores!$A$2:$A$7, Stores!$D$2:$D$7)</f>
        <v>Sydney South</v>
      </c>
      <c r="K251" s="4">
        <f t="shared" si="6"/>
        <v>237</v>
      </c>
      <c r="L251" s="4">
        <f t="shared" si="7"/>
        <v>81</v>
      </c>
      <c r="M251" s="10">
        <f>IF(Table1[[#This Row],[Revenue]]=0, "", Table1[[#This Row],[Profit]]/Table1[[#This Row],[Revenue]])</f>
        <v>0.34177215189873417</v>
      </c>
      <c r="N251" s="4" t="str">
        <f>IF(Table1[[#This Row],[Margin]]="", "check", IF(Table1[[#This Row],[Margin]]&lt;0.2, "Low", "OK"))</f>
        <v>OK</v>
      </c>
      <c r="O251" s="4" t="str" cm="1">
        <f t="array" ref="O251">_xlfn.IFS(Table1[[#This Row],[Revenue]]=0, "Check", Table1[[#This Row],[Revenue]]&gt;=1000, "Large", Table1[[#This Row],[Revenue]]&gt;=200, "Medium", TRUE, "Small")</f>
        <v>Medium</v>
      </c>
      <c r="P251" s="4" t="str">
        <f>IF(AND(Table1[[#This Row],[Margin Flag]]="Low", Table1[[#This Row],[Revenue]]&gt;1000), "Review", "")</f>
        <v/>
      </c>
      <c r="Q251" s="4" t="str">
        <f>IF(OR(Table1[[#This Row],[Qty]]&gt;=5,Table1[[#This Row],[Order Size]] = "Large" ), "Bulk", "")</f>
        <v/>
      </c>
      <c r="R251" s="10">
        <f>_xlfn.XLOOKUP(G251, Lookup!$A$2:$A$7, Lookup!$B$2:$B$7, "")</f>
        <v>0.08</v>
      </c>
      <c r="S251" s="4" t="str">
        <f>IF(Table1[[#This Row],[Margin]]&lt;Table1[[#This Row],[Target Margin]], "Yes", "")</f>
        <v/>
      </c>
    </row>
    <row r="252" spans="1:19">
      <c r="A252" t="s">
        <v>297</v>
      </c>
      <c r="B252" s="2">
        <v>46239</v>
      </c>
      <c r="C252" t="s">
        <v>20</v>
      </c>
      <c r="D252" t="s">
        <v>58</v>
      </c>
      <c r="E252">
        <v>1</v>
      </c>
      <c r="F252" t="str">
        <f>_xlfn.XLOOKUP(D252, Products!$A$2:$A$21, Products!$B$2:$B$21, "Not Found")</f>
        <v>Mech Keyboard</v>
      </c>
      <c r="G252" t="str">
        <f>_xlfn.XLOOKUP(D252, Products!$A$2:$A$21, Products!$C$2:$C$21,"not found")</f>
        <v>Accessories</v>
      </c>
      <c r="H252" s="4">
        <f>_xlfn.XLOOKUP(D252, Products!$A$2:$A$21, Products!$E$2:$E$21, 0)</f>
        <v>149</v>
      </c>
      <c r="I252" s="4">
        <f>_xlfn.XLOOKUP(D252, Products!$A$2:$A$21, Products!$F$2:$F$21,0)</f>
        <v>72</v>
      </c>
      <c r="J252" t="str">
        <f>_xlfn.XLOOKUP(C252, Stores!$A$2:$A$7, Stores!$D$2:$D$7)</f>
        <v>Sydney West</v>
      </c>
      <c r="K252" s="4">
        <f t="shared" si="6"/>
        <v>149</v>
      </c>
      <c r="L252" s="4">
        <f t="shared" si="7"/>
        <v>77</v>
      </c>
      <c r="M252" s="10">
        <f>IF(Table1[[#This Row],[Revenue]]=0, "", Table1[[#This Row],[Profit]]/Table1[[#This Row],[Revenue]])</f>
        <v>0.51677852348993292</v>
      </c>
      <c r="N252" s="4" t="str">
        <f>IF(Table1[[#This Row],[Margin]]="", "check", IF(Table1[[#This Row],[Margin]]&lt;0.2, "Low", "OK"))</f>
        <v>OK</v>
      </c>
      <c r="O252" s="4" t="str" cm="1">
        <f t="array" ref="O252">_xlfn.IFS(Table1[[#This Row],[Revenue]]=0, "Check", Table1[[#This Row],[Revenue]]&gt;=1000, "Large", Table1[[#This Row],[Revenue]]&gt;=200, "Medium", TRUE, "Small")</f>
        <v>Small</v>
      </c>
      <c r="P252" s="4" t="str">
        <f>IF(AND(Table1[[#This Row],[Margin Flag]]="Low", Table1[[#This Row],[Revenue]]&gt;1000), "Review", "")</f>
        <v/>
      </c>
      <c r="Q252" s="4" t="str">
        <f>IF(OR(Table1[[#This Row],[Qty]]&gt;=5,Table1[[#This Row],[Order Size]] = "Large" ), "Bulk", "")</f>
        <v/>
      </c>
      <c r="R252" s="10">
        <f>_xlfn.XLOOKUP(G252, Lookup!$A$2:$A$7, Lookup!$B$2:$B$7, "")</f>
        <v>0.25</v>
      </c>
      <c r="S252" s="4" t="str">
        <f>IF(Table1[[#This Row],[Margin]]&lt;Table1[[#This Row],[Target Margin]], "Yes", "")</f>
        <v/>
      </c>
    </row>
    <row r="253" spans="1:19">
      <c r="A253" t="s">
        <v>298</v>
      </c>
      <c r="B253" s="2">
        <v>46239</v>
      </c>
      <c r="C253" t="s">
        <v>29</v>
      </c>
      <c r="D253" t="s">
        <v>38</v>
      </c>
      <c r="E253">
        <v>2</v>
      </c>
      <c r="F253" t="str">
        <f>_xlfn.XLOOKUP(D253, Products!$A$2:$A$21, Products!$B$2:$B$21, "Not Found")</f>
        <v>USB-C Charger</v>
      </c>
      <c r="G253" t="str">
        <f>_xlfn.XLOOKUP(D253, Products!$A$2:$A$21, Products!$C$2:$C$21,"not found")</f>
        <v>Accessories</v>
      </c>
      <c r="H253" s="4">
        <f>_xlfn.XLOOKUP(D253, Products!$A$2:$A$21, Products!$E$2:$E$21, 0)</f>
        <v>49</v>
      </c>
      <c r="I253" s="4">
        <f>_xlfn.XLOOKUP(D253, Products!$A$2:$A$21, Products!$F$2:$F$21,0)</f>
        <v>14</v>
      </c>
      <c r="J253" t="str">
        <f>_xlfn.XLOOKUP(C253, Stores!$A$2:$A$7, Stores!$D$2:$D$7)</f>
        <v>Sydney West</v>
      </c>
      <c r="K253" s="4">
        <f t="shared" si="6"/>
        <v>98</v>
      </c>
      <c r="L253" s="4">
        <f t="shared" si="7"/>
        <v>70</v>
      </c>
      <c r="M253" s="10">
        <f>IF(Table1[[#This Row],[Revenue]]=0, "", Table1[[#This Row],[Profit]]/Table1[[#This Row],[Revenue]])</f>
        <v>0.7142857142857143</v>
      </c>
      <c r="N253" s="4" t="str">
        <f>IF(Table1[[#This Row],[Margin]]="", "check", IF(Table1[[#This Row],[Margin]]&lt;0.2, "Low", "OK"))</f>
        <v>OK</v>
      </c>
      <c r="O253" s="4" t="str" cm="1">
        <f t="array" ref="O253">_xlfn.IFS(Table1[[#This Row],[Revenue]]=0, "Check", Table1[[#This Row],[Revenue]]&gt;=1000, "Large", Table1[[#This Row],[Revenue]]&gt;=200, "Medium", TRUE, "Small")</f>
        <v>Small</v>
      </c>
      <c r="P253" s="4" t="str">
        <f>IF(AND(Table1[[#This Row],[Margin Flag]]="Low", Table1[[#This Row],[Revenue]]&gt;1000), "Review", "")</f>
        <v/>
      </c>
      <c r="Q253" s="4" t="str">
        <f>IF(OR(Table1[[#This Row],[Qty]]&gt;=5,Table1[[#This Row],[Order Size]] = "Large" ), "Bulk", "")</f>
        <v/>
      </c>
      <c r="R253" s="10">
        <f>_xlfn.XLOOKUP(G253, Lookup!$A$2:$A$7, Lookup!$B$2:$B$7, "")</f>
        <v>0.25</v>
      </c>
      <c r="S253" s="4" t="str">
        <f>IF(Table1[[#This Row],[Margin]]&lt;Table1[[#This Row],[Target Margin]], "Yes", "")</f>
        <v/>
      </c>
    </row>
    <row r="254" spans="1:19">
      <c r="A254" t="s">
        <v>299</v>
      </c>
      <c r="B254" s="2">
        <v>46239</v>
      </c>
      <c r="C254" t="s">
        <v>32</v>
      </c>
      <c r="D254" t="s">
        <v>27</v>
      </c>
      <c r="E254">
        <v>1</v>
      </c>
      <c r="F254" t="str">
        <f>_xlfn.XLOOKUP(D254, Products!$A$2:$A$21, Products!$B$2:$B$21, "Not Found")</f>
        <v>Bluetooth Speaker</v>
      </c>
      <c r="G254" t="str">
        <f>_xlfn.XLOOKUP(D254, Products!$A$2:$A$21, Products!$C$2:$C$21,"not found")</f>
        <v>Audio</v>
      </c>
      <c r="H254" s="4">
        <f>_xlfn.XLOOKUP(D254, Products!$A$2:$A$21, Products!$E$2:$E$21, 0)</f>
        <v>179</v>
      </c>
      <c r="I254" s="4">
        <f>_xlfn.XLOOKUP(D254, Products!$A$2:$A$21, Products!$F$2:$F$21,0)</f>
        <v>95</v>
      </c>
      <c r="J254" t="str">
        <f>_xlfn.XLOOKUP(C254, Stores!$A$2:$A$7, Stores!$D$2:$D$7)</f>
        <v>Sydney South</v>
      </c>
      <c r="K254" s="4">
        <f t="shared" si="6"/>
        <v>179</v>
      </c>
      <c r="L254" s="4">
        <f t="shared" si="7"/>
        <v>84</v>
      </c>
      <c r="M254" s="10">
        <f>IF(Table1[[#This Row],[Revenue]]=0, "", Table1[[#This Row],[Profit]]/Table1[[#This Row],[Revenue]])</f>
        <v>0.46927374301675978</v>
      </c>
      <c r="N254" s="4" t="str">
        <f>IF(Table1[[#This Row],[Margin]]="", "check", IF(Table1[[#This Row],[Margin]]&lt;0.2, "Low", "OK"))</f>
        <v>OK</v>
      </c>
      <c r="O254" s="4" t="str" cm="1">
        <f t="array" ref="O254">_xlfn.IFS(Table1[[#This Row],[Revenue]]=0, "Check", Table1[[#This Row],[Revenue]]&gt;=1000, "Large", Table1[[#This Row],[Revenue]]&gt;=200, "Medium", TRUE, "Small")</f>
        <v>Small</v>
      </c>
      <c r="P254" s="4" t="str">
        <f>IF(AND(Table1[[#This Row],[Margin Flag]]="Low", Table1[[#This Row],[Revenue]]&gt;1000), "Review", "")</f>
        <v/>
      </c>
      <c r="Q254" s="4" t="str">
        <f>IF(OR(Table1[[#This Row],[Qty]]&gt;=5,Table1[[#This Row],[Order Size]] = "Large" ), "Bulk", "")</f>
        <v/>
      </c>
      <c r="R254" s="10">
        <f>_xlfn.XLOOKUP(G254, Lookup!$A$2:$A$7, Lookup!$B$2:$B$7, "")</f>
        <v>0.25</v>
      </c>
      <c r="S254" s="4" t="str">
        <f>IF(Table1[[#This Row],[Margin]]&lt;Table1[[#This Row],[Target Margin]], "Yes", "")</f>
        <v/>
      </c>
    </row>
    <row r="255" spans="1:19">
      <c r="A255" t="s">
        <v>300</v>
      </c>
      <c r="B255" s="2">
        <v>46239</v>
      </c>
      <c r="C255" t="s">
        <v>32</v>
      </c>
      <c r="D255" t="s">
        <v>35</v>
      </c>
      <c r="E255">
        <v>2</v>
      </c>
      <c r="F255" t="str">
        <f>_xlfn.XLOOKUP(D255, Products!$A$2:$A$21, Products!$B$2:$B$21, "Not Found")</f>
        <v>Phone Case</v>
      </c>
      <c r="G255" t="str">
        <f>_xlfn.XLOOKUP(D255, Products!$A$2:$A$21, Products!$C$2:$C$21,"not found")</f>
        <v>Accessories</v>
      </c>
      <c r="H255" s="4">
        <f>_xlfn.XLOOKUP(D255, Products!$A$2:$A$21, Products!$E$2:$E$21, 0)</f>
        <v>39</v>
      </c>
      <c r="I255" s="4">
        <f>_xlfn.XLOOKUP(D255, Products!$A$2:$A$21, Products!$F$2:$F$21,0)</f>
        <v>9</v>
      </c>
      <c r="J255" t="str">
        <f>_xlfn.XLOOKUP(C255, Stores!$A$2:$A$7, Stores!$D$2:$D$7)</f>
        <v>Sydney South</v>
      </c>
      <c r="K255" s="4">
        <f t="shared" si="6"/>
        <v>78</v>
      </c>
      <c r="L255" s="4">
        <f t="shared" si="7"/>
        <v>60</v>
      </c>
      <c r="M255" s="10">
        <f>IF(Table1[[#This Row],[Revenue]]=0, "", Table1[[#This Row],[Profit]]/Table1[[#This Row],[Revenue]])</f>
        <v>0.76923076923076927</v>
      </c>
      <c r="N255" s="4" t="str">
        <f>IF(Table1[[#This Row],[Margin]]="", "check", IF(Table1[[#This Row],[Margin]]&lt;0.2, "Low", "OK"))</f>
        <v>OK</v>
      </c>
      <c r="O255" s="4" t="str" cm="1">
        <f t="array" ref="O255">_xlfn.IFS(Table1[[#This Row],[Revenue]]=0, "Check", Table1[[#This Row],[Revenue]]&gt;=1000, "Large", Table1[[#This Row],[Revenue]]&gt;=200, "Medium", TRUE, "Small")</f>
        <v>Small</v>
      </c>
      <c r="P255" s="4" t="str">
        <f>IF(AND(Table1[[#This Row],[Margin Flag]]="Low", Table1[[#This Row],[Revenue]]&gt;1000), "Review", "")</f>
        <v/>
      </c>
      <c r="Q255" s="4" t="str">
        <f>IF(OR(Table1[[#This Row],[Qty]]&gt;=5,Table1[[#This Row],[Order Size]] = "Large" ), "Bulk", "")</f>
        <v/>
      </c>
      <c r="R255" s="10">
        <f>_xlfn.XLOOKUP(G255, Lookup!$A$2:$A$7, Lookup!$B$2:$B$7, "")</f>
        <v>0.25</v>
      </c>
      <c r="S255" s="4" t="str">
        <f>IF(Table1[[#This Row],[Margin]]&lt;Table1[[#This Row],[Target Margin]], "Yes", "")</f>
        <v/>
      </c>
    </row>
    <row r="256" spans="1:19">
      <c r="A256" t="s">
        <v>301</v>
      </c>
      <c r="B256" s="2">
        <v>46239</v>
      </c>
      <c r="C256" t="s">
        <v>23</v>
      </c>
      <c r="D256" t="s">
        <v>58</v>
      </c>
      <c r="E256">
        <v>1</v>
      </c>
      <c r="F256" t="str">
        <f>_xlfn.XLOOKUP(D256, Products!$A$2:$A$21, Products!$B$2:$B$21, "Not Found")</f>
        <v>Mech Keyboard</v>
      </c>
      <c r="G256" t="str">
        <f>_xlfn.XLOOKUP(D256, Products!$A$2:$A$21, Products!$C$2:$C$21,"not found")</f>
        <v>Accessories</v>
      </c>
      <c r="H256" s="4">
        <f>_xlfn.XLOOKUP(D256, Products!$A$2:$A$21, Products!$E$2:$E$21, 0)</f>
        <v>149</v>
      </c>
      <c r="I256" s="4">
        <f>_xlfn.XLOOKUP(D256, Products!$A$2:$A$21, Products!$F$2:$F$21,0)</f>
        <v>72</v>
      </c>
      <c r="J256" t="str">
        <f>_xlfn.XLOOKUP(C256, Stores!$A$2:$A$7, Stores!$D$2:$D$7)</f>
        <v>Sydney East</v>
      </c>
      <c r="K256" s="4">
        <f t="shared" si="6"/>
        <v>149</v>
      </c>
      <c r="L256" s="4">
        <f t="shared" si="7"/>
        <v>77</v>
      </c>
      <c r="M256" s="10">
        <f>IF(Table1[[#This Row],[Revenue]]=0, "", Table1[[#This Row],[Profit]]/Table1[[#This Row],[Revenue]])</f>
        <v>0.51677852348993292</v>
      </c>
      <c r="N256" s="4" t="str">
        <f>IF(Table1[[#This Row],[Margin]]="", "check", IF(Table1[[#This Row],[Margin]]&lt;0.2, "Low", "OK"))</f>
        <v>OK</v>
      </c>
      <c r="O256" s="4" t="str" cm="1">
        <f t="array" ref="O256">_xlfn.IFS(Table1[[#This Row],[Revenue]]=0, "Check", Table1[[#This Row],[Revenue]]&gt;=1000, "Large", Table1[[#This Row],[Revenue]]&gt;=200, "Medium", TRUE, "Small")</f>
        <v>Small</v>
      </c>
      <c r="P256" s="4" t="str">
        <f>IF(AND(Table1[[#This Row],[Margin Flag]]="Low", Table1[[#This Row],[Revenue]]&gt;1000), "Review", "")</f>
        <v/>
      </c>
      <c r="Q256" s="4" t="str">
        <f>IF(OR(Table1[[#This Row],[Qty]]&gt;=5,Table1[[#This Row],[Order Size]] = "Large" ), "Bulk", "")</f>
        <v/>
      </c>
      <c r="R256" s="10">
        <f>_xlfn.XLOOKUP(G256, Lookup!$A$2:$A$7, Lookup!$B$2:$B$7, "")</f>
        <v>0.25</v>
      </c>
      <c r="S256" s="4" t="str">
        <f>IF(Table1[[#This Row],[Margin]]&lt;Table1[[#This Row],[Target Margin]], "Yes", "")</f>
        <v/>
      </c>
    </row>
    <row r="257" spans="1:19">
      <c r="A257" t="s">
        <v>302</v>
      </c>
      <c r="B257" s="2">
        <v>46239</v>
      </c>
      <c r="C257" t="s">
        <v>26</v>
      </c>
      <c r="D257" t="s">
        <v>67</v>
      </c>
      <c r="E257">
        <v>1</v>
      </c>
      <c r="F257" t="str">
        <f>_xlfn.XLOOKUP(D257, Products!$A$2:$A$21, Products!$B$2:$B$21, "Not Found")</f>
        <v>Soundbar</v>
      </c>
      <c r="G257" t="str">
        <f>_xlfn.XLOOKUP(D257, Products!$A$2:$A$21, Products!$C$2:$C$21,"not found")</f>
        <v>Audio</v>
      </c>
      <c r="H257" s="4">
        <f>_xlfn.XLOOKUP(D257, Products!$A$2:$A$21, Products!$E$2:$E$21, 0)</f>
        <v>699</v>
      </c>
      <c r="I257" s="4">
        <f>_xlfn.XLOOKUP(D257, Products!$A$2:$A$21, Products!$F$2:$F$21,0)</f>
        <v>450</v>
      </c>
      <c r="J257" t="str">
        <f>_xlfn.XLOOKUP(C257, Stores!$A$2:$A$7, Stores!$D$2:$D$7)</f>
        <v>Sydney North</v>
      </c>
      <c r="K257" s="4">
        <f t="shared" si="6"/>
        <v>699</v>
      </c>
      <c r="L257" s="4">
        <f t="shared" si="7"/>
        <v>249</v>
      </c>
      <c r="M257" s="10">
        <f>IF(Table1[[#This Row],[Revenue]]=0, "", Table1[[#This Row],[Profit]]/Table1[[#This Row],[Revenue]])</f>
        <v>0.35622317596566522</v>
      </c>
      <c r="N257" s="4" t="str">
        <f>IF(Table1[[#This Row],[Margin]]="", "check", IF(Table1[[#This Row],[Margin]]&lt;0.2, "Low", "OK"))</f>
        <v>OK</v>
      </c>
      <c r="O257" s="4" t="str" cm="1">
        <f t="array" ref="O257">_xlfn.IFS(Table1[[#This Row],[Revenue]]=0, "Check", Table1[[#This Row],[Revenue]]&gt;=1000, "Large", Table1[[#This Row],[Revenue]]&gt;=200, "Medium", TRUE, "Small")</f>
        <v>Medium</v>
      </c>
      <c r="P257" s="4" t="str">
        <f>IF(AND(Table1[[#This Row],[Margin Flag]]="Low", Table1[[#This Row],[Revenue]]&gt;1000), "Review", "")</f>
        <v/>
      </c>
      <c r="Q257" s="4" t="str">
        <f>IF(OR(Table1[[#This Row],[Qty]]&gt;=5,Table1[[#This Row],[Order Size]] = "Large" ), "Bulk", "")</f>
        <v/>
      </c>
      <c r="R257" s="10">
        <f>_xlfn.XLOOKUP(G257, Lookup!$A$2:$A$7, Lookup!$B$2:$B$7, "")</f>
        <v>0.25</v>
      </c>
      <c r="S257" s="4" t="str">
        <f>IF(Table1[[#This Row],[Margin]]&lt;Table1[[#This Row],[Target Margin]], "Yes", "")</f>
        <v/>
      </c>
    </row>
    <row r="258" spans="1:19">
      <c r="A258" t="s">
        <v>303</v>
      </c>
      <c r="B258" s="2">
        <v>46240</v>
      </c>
      <c r="C258" t="s">
        <v>20</v>
      </c>
      <c r="D258" t="s">
        <v>27</v>
      </c>
      <c r="E258">
        <v>1</v>
      </c>
      <c r="F258" t="str">
        <f>_xlfn.XLOOKUP(D258, Products!$A$2:$A$21, Products!$B$2:$B$21, "Not Found")</f>
        <v>Bluetooth Speaker</v>
      </c>
      <c r="G258" t="str">
        <f>_xlfn.XLOOKUP(D258, Products!$A$2:$A$21, Products!$C$2:$C$21,"not found")</f>
        <v>Audio</v>
      </c>
      <c r="H258" s="4">
        <f>_xlfn.XLOOKUP(D258, Products!$A$2:$A$21, Products!$E$2:$E$21, 0)</f>
        <v>179</v>
      </c>
      <c r="I258" s="4">
        <f>_xlfn.XLOOKUP(D258, Products!$A$2:$A$21, Products!$F$2:$F$21,0)</f>
        <v>95</v>
      </c>
      <c r="J258" t="str">
        <f>_xlfn.XLOOKUP(C258, Stores!$A$2:$A$7, Stores!$D$2:$D$7)</f>
        <v>Sydney West</v>
      </c>
      <c r="K258" s="4">
        <f t="shared" si="6"/>
        <v>179</v>
      </c>
      <c r="L258" s="4">
        <f t="shared" si="7"/>
        <v>84</v>
      </c>
      <c r="M258" s="10">
        <f>IF(Table1[[#This Row],[Revenue]]=0, "", Table1[[#This Row],[Profit]]/Table1[[#This Row],[Revenue]])</f>
        <v>0.46927374301675978</v>
      </c>
      <c r="N258" s="4" t="str">
        <f>IF(Table1[[#This Row],[Margin]]="", "check", IF(Table1[[#This Row],[Margin]]&lt;0.2, "Low", "OK"))</f>
        <v>OK</v>
      </c>
      <c r="O258" s="4" t="str" cm="1">
        <f t="array" ref="O258">_xlfn.IFS(Table1[[#This Row],[Revenue]]=0, "Check", Table1[[#This Row],[Revenue]]&gt;=1000, "Large", Table1[[#This Row],[Revenue]]&gt;=200, "Medium", TRUE, "Small")</f>
        <v>Small</v>
      </c>
      <c r="P258" s="4" t="str">
        <f>IF(AND(Table1[[#This Row],[Margin Flag]]="Low", Table1[[#This Row],[Revenue]]&gt;1000), "Review", "")</f>
        <v/>
      </c>
      <c r="Q258" s="4" t="str">
        <f>IF(OR(Table1[[#This Row],[Qty]]&gt;=5,Table1[[#This Row],[Order Size]] = "Large" ), "Bulk", "")</f>
        <v/>
      </c>
      <c r="R258" s="10">
        <f>_xlfn.XLOOKUP(G258, Lookup!$A$2:$A$7, Lookup!$B$2:$B$7, "")</f>
        <v>0.25</v>
      </c>
      <c r="S258" s="4" t="str">
        <f>IF(Table1[[#This Row],[Margin]]&lt;Table1[[#This Row],[Target Margin]], "Yes", "")</f>
        <v/>
      </c>
    </row>
    <row r="259" spans="1:19">
      <c r="A259" t="s">
        <v>304</v>
      </c>
      <c r="B259" s="2">
        <v>46240</v>
      </c>
      <c r="C259" t="s">
        <v>26</v>
      </c>
      <c r="D259" t="s">
        <v>27</v>
      </c>
      <c r="E259">
        <v>2</v>
      </c>
      <c r="F259" t="str">
        <f>_xlfn.XLOOKUP(D259, Products!$A$2:$A$21, Products!$B$2:$B$21, "Not Found")</f>
        <v>Bluetooth Speaker</v>
      </c>
      <c r="G259" t="str">
        <f>_xlfn.XLOOKUP(D259, Products!$A$2:$A$21, Products!$C$2:$C$21,"not found")</f>
        <v>Audio</v>
      </c>
      <c r="H259" s="4">
        <f>_xlfn.XLOOKUP(D259, Products!$A$2:$A$21, Products!$E$2:$E$21, 0)</f>
        <v>179</v>
      </c>
      <c r="I259" s="4">
        <f>_xlfn.XLOOKUP(D259, Products!$A$2:$A$21, Products!$F$2:$F$21,0)</f>
        <v>95</v>
      </c>
      <c r="J259" t="str">
        <f>_xlfn.XLOOKUP(C259, Stores!$A$2:$A$7, Stores!$D$2:$D$7)</f>
        <v>Sydney North</v>
      </c>
      <c r="K259" s="4">
        <f t="shared" ref="K259:K322" si="8" xml:space="preserve"> E259*H259</f>
        <v>358</v>
      </c>
      <c r="L259" s="4">
        <f t="shared" ref="L259:L322" si="9" xml:space="preserve"> K259 - (E259 * I259)</f>
        <v>168</v>
      </c>
      <c r="M259" s="10">
        <f>IF(Table1[[#This Row],[Revenue]]=0, "", Table1[[#This Row],[Profit]]/Table1[[#This Row],[Revenue]])</f>
        <v>0.46927374301675978</v>
      </c>
      <c r="N259" s="4" t="str">
        <f>IF(Table1[[#This Row],[Margin]]="", "check", IF(Table1[[#This Row],[Margin]]&lt;0.2, "Low", "OK"))</f>
        <v>OK</v>
      </c>
      <c r="O259" s="4" t="str" cm="1">
        <f t="array" ref="O259">_xlfn.IFS(Table1[[#This Row],[Revenue]]=0, "Check", Table1[[#This Row],[Revenue]]&gt;=1000, "Large", Table1[[#This Row],[Revenue]]&gt;=200, "Medium", TRUE, "Small")</f>
        <v>Medium</v>
      </c>
      <c r="P259" s="4" t="str">
        <f>IF(AND(Table1[[#This Row],[Margin Flag]]="Low", Table1[[#This Row],[Revenue]]&gt;1000), "Review", "")</f>
        <v/>
      </c>
      <c r="Q259" s="4" t="str">
        <f>IF(OR(Table1[[#This Row],[Qty]]&gt;=5,Table1[[#This Row],[Order Size]] = "Large" ), "Bulk", "")</f>
        <v/>
      </c>
      <c r="R259" s="10">
        <f>_xlfn.XLOOKUP(G259, Lookup!$A$2:$A$7, Lookup!$B$2:$B$7, "")</f>
        <v>0.25</v>
      </c>
      <c r="S259" s="4" t="str">
        <f>IF(Table1[[#This Row],[Margin]]&lt;Table1[[#This Row],[Target Margin]], "Yes", "")</f>
        <v/>
      </c>
    </row>
    <row r="260" spans="1:19">
      <c r="A260" t="s">
        <v>305</v>
      </c>
      <c r="B260" s="2">
        <v>46240</v>
      </c>
      <c r="C260" t="s">
        <v>26</v>
      </c>
      <c r="D260" t="s">
        <v>43</v>
      </c>
      <c r="E260">
        <v>1</v>
      </c>
      <c r="F260" t="str">
        <f>_xlfn.XLOOKUP(D260, Products!$A$2:$A$21, Products!$B$2:$B$21, "Not Found")</f>
        <v>Console Controller</v>
      </c>
      <c r="G260" t="str">
        <f>_xlfn.XLOOKUP(D260, Products!$A$2:$A$21, Products!$C$2:$C$21,"not found")</f>
        <v>Gaming</v>
      </c>
      <c r="H260" s="4">
        <f>_xlfn.XLOOKUP(D260, Products!$A$2:$A$21, Products!$E$2:$E$21, 0)</f>
        <v>99</v>
      </c>
      <c r="I260" s="4">
        <f>_xlfn.XLOOKUP(D260, Products!$A$2:$A$21, Products!$F$2:$F$21,0)</f>
        <v>58</v>
      </c>
      <c r="J260" t="str">
        <f>_xlfn.XLOOKUP(C260, Stores!$A$2:$A$7, Stores!$D$2:$D$7)</f>
        <v>Sydney North</v>
      </c>
      <c r="K260" s="4">
        <f t="shared" si="8"/>
        <v>99</v>
      </c>
      <c r="L260" s="4">
        <f t="shared" si="9"/>
        <v>41</v>
      </c>
      <c r="M260" s="10">
        <f>IF(Table1[[#This Row],[Revenue]]=0, "", Table1[[#This Row],[Profit]]/Table1[[#This Row],[Revenue]])</f>
        <v>0.41414141414141414</v>
      </c>
      <c r="N260" s="4" t="str">
        <f>IF(Table1[[#This Row],[Margin]]="", "check", IF(Table1[[#This Row],[Margin]]&lt;0.2, "Low", "OK"))</f>
        <v>OK</v>
      </c>
      <c r="O260" s="4" t="str" cm="1">
        <f t="array" ref="O260">_xlfn.IFS(Table1[[#This Row],[Revenue]]=0, "Check", Table1[[#This Row],[Revenue]]&gt;=1000, "Large", Table1[[#This Row],[Revenue]]&gt;=200, "Medium", TRUE, "Small")</f>
        <v>Small</v>
      </c>
      <c r="P260" s="4" t="str">
        <f>IF(AND(Table1[[#This Row],[Margin Flag]]="Low", Table1[[#This Row],[Revenue]]&gt;1000), "Review", "")</f>
        <v/>
      </c>
      <c r="Q260" s="4" t="str">
        <f>IF(OR(Table1[[#This Row],[Qty]]&gt;=5,Table1[[#This Row],[Order Size]] = "Large" ), "Bulk", "")</f>
        <v/>
      </c>
      <c r="R260" s="10">
        <f>_xlfn.XLOOKUP(G260, Lookup!$A$2:$A$7, Lookup!$B$2:$B$7, "")</f>
        <v>0.08</v>
      </c>
      <c r="S260" s="4" t="str">
        <f>IF(Table1[[#This Row],[Margin]]&lt;Table1[[#This Row],[Target Margin]], "Yes", "")</f>
        <v/>
      </c>
    </row>
    <row r="261" spans="1:19">
      <c r="A261" t="s">
        <v>306</v>
      </c>
      <c r="B261" s="2">
        <v>46240</v>
      </c>
      <c r="C261" t="s">
        <v>26</v>
      </c>
      <c r="D261" t="s">
        <v>38</v>
      </c>
      <c r="E261">
        <v>1</v>
      </c>
      <c r="F261" t="str">
        <f>_xlfn.XLOOKUP(D261, Products!$A$2:$A$21, Products!$B$2:$B$21, "Not Found")</f>
        <v>USB-C Charger</v>
      </c>
      <c r="G261" t="str">
        <f>_xlfn.XLOOKUP(D261, Products!$A$2:$A$21, Products!$C$2:$C$21,"not found")</f>
        <v>Accessories</v>
      </c>
      <c r="H261" s="4">
        <f>_xlfn.XLOOKUP(D261, Products!$A$2:$A$21, Products!$E$2:$E$21, 0)</f>
        <v>49</v>
      </c>
      <c r="I261" s="4">
        <f>_xlfn.XLOOKUP(D261, Products!$A$2:$A$21, Products!$F$2:$F$21,0)</f>
        <v>14</v>
      </c>
      <c r="J261" t="str">
        <f>_xlfn.XLOOKUP(C261, Stores!$A$2:$A$7, Stores!$D$2:$D$7)</f>
        <v>Sydney North</v>
      </c>
      <c r="K261" s="4">
        <f t="shared" si="8"/>
        <v>49</v>
      </c>
      <c r="L261" s="4">
        <f t="shared" si="9"/>
        <v>35</v>
      </c>
      <c r="M261" s="10">
        <f>IF(Table1[[#This Row],[Revenue]]=0, "", Table1[[#This Row],[Profit]]/Table1[[#This Row],[Revenue]])</f>
        <v>0.7142857142857143</v>
      </c>
      <c r="N261" s="4" t="str">
        <f>IF(Table1[[#This Row],[Margin]]="", "check", IF(Table1[[#This Row],[Margin]]&lt;0.2, "Low", "OK"))</f>
        <v>OK</v>
      </c>
      <c r="O261" s="4" t="str" cm="1">
        <f t="array" ref="O261">_xlfn.IFS(Table1[[#This Row],[Revenue]]=0, "Check", Table1[[#This Row],[Revenue]]&gt;=1000, "Large", Table1[[#This Row],[Revenue]]&gt;=200, "Medium", TRUE, "Small")</f>
        <v>Small</v>
      </c>
      <c r="P261" s="4" t="str">
        <f>IF(AND(Table1[[#This Row],[Margin Flag]]="Low", Table1[[#This Row],[Revenue]]&gt;1000), "Review", "")</f>
        <v/>
      </c>
      <c r="Q261" s="4" t="str">
        <f>IF(OR(Table1[[#This Row],[Qty]]&gt;=5,Table1[[#This Row],[Order Size]] = "Large" ), "Bulk", "")</f>
        <v/>
      </c>
      <c r="R261" s="10">
        <f>_xlfn.XLOOKUP(G261, Lookup!$A$2:$A$7, Lookup!$B$2:$B$7, "")</f>
        <v>0.25</v>
      </c>
      <c r="S261" s="4" t="str">
        <f>IF(Table1[[#This Row],[Margin]]&lt;Table1[[#This Row],[Target Margin]], "Yes", "")</f>
        <v/>
      </c>
    </row>
    <row r="262" spans="1:19">
      <c r="A262" t="s">
        <v>307</v>
      </c>
      <c r="B262" s="2">
        <v>46241</v>
      </c>
      <c r="C262" t="s">
        <v>26</v>
      </c>
      <c r="D262" t="s">
        <v>99</v>
      </c>
      <c r="E262">
        <v>2</v>
      </c>
      <c r="F262" t="str">
        <f>_xlfn.XLOOKUP(D262, Products!$A$2:$A$21, Products!$B$2:$B$21, "Not Found")</f>
        <v>Smartphone 256GB</v>
      </c>
      <c r="G262" t="str">
        <f>_xlfn.XLOOKUP(D262, Products!$A$2:$A$21, Products!$C$2:$C$21,"not found")</f>
        <v>Phones</v>
      </c>
      <c r="H262" s="4">
        <f>_xlfn.XLOOKUP(D262, Products!$A$2:$A$21, Products!$E$2:$E$21, 0)</f>
        <v>1499</v>
      </c>
      <c r="I262" s="4">
        <f>_xlfn.XLOOKUP(D262, Products!$A$2:$A$21, Products!$F$2:$F$21,0)</f>
        <v>1180</v>
      </c>
      <c r="J262" t="str">
        <f>_xlfn.XLOOKUP(C262, Stores!$A$2:$A$7, Stores!$D$2:$D$7)</f>
        <v>Sydney North</v>
      </c>
      <c r="K262" s="4">
        <f t="shared" si="8"/>
        <v>2998</v>
      </c>
      <c r="L262" s="4">
        <f t="shared" si="9"/>
        <v>638</v>
      </c>
      <c r="M262" s="10">
        <f>IF(Table1[[#This Row],[Revenue]]=0, "", Table1[[#This Row],[Profit]]/Table1[[#This Row],[Revenue]])</f>
        <v>0.21280853902601735</v>
      </c>
      <c r="N262" s="4" t="str">
        <f>IF(Table1[[#This Row],[Margin]]="", "check", IF(Table1[[#This Row],[Margin]]&lt;0.2, "Low", "OK"))</f>
        <v>OK</v>
      </c>
      <c r="O262" s="4" t="str" cm="1">
        <f t="array" ref="O262">_xlfn.IFS(Table1[[#This Row],[Revenue]]=0, "Check", Table1[[#This Row],[Revenue]]&gt;=1000, "Large", Table1[[#This Row],[Revenue]]&gt;=200, "Medium", TRUE, "Small")</f>
        <v>Large</v>
      </c>
      <c r="P262" s="4" t="str">
        <f>IF(AND(Table1[[#This Row],[Margin Flag]]="Low", Table1[[#This Row],[Revenue]]&gt;1000), "Review", "")</f>
        <v/>
      </c>
      <c r="Q262" s="4" t="str">
        <f>IF(OR(Table1[[#This Row],[Qty]]&gt;=5,Table1[[#This Row],[Order Size]] = "Large" ), "Bulk", "")</f>
        <v>Bulk</v>
      </c>
      <c r="R262" s="10">
        <f>_xlfn.XLOOKUP(G262, Lookup!$A$2:$A$7, Lookup!$B$2:$B$7, "")</f>
        <v>0.25</v>
      </c>
      <c r="S262" s="4" t="str">
        <f>IF(Table1[[#This Row],[Margin]]&lt;Table1[[#This Row],[Target Margin]], "Yes", "")</f>
        <v>Yes</v>
      </c>
    </row>
    <row r="263" spans="1:19">
      <c r="A263" t="s">
        <v>308</v>
      </c>
      <c r="B263" s="2">
        <v>46241</v>
      </c>
      <c r="C263" t="s">
        <v>32</v>
      </c>
      <c r="D263" t="s">
        <v>27</v>
      </c>
      <c r="E263">
        <v>1</v>
      </c>
      <c r="F263" t="str">
        <f>_xlfn.XLOOKUP(D263, Products!$A$2:$A$21, Products!$B$2:$B$21, "Not Found")</f>
        <v>Bluetooth Speaker</v>
      </c>
      <c r="G263" t="str">
        <f>_xlfn.XLOOKUP(D263, Products!$A$2:$A$21, Products!$C$2:$C$21,"not found")</f>
        <v>Audio</v>
      </c>
      <c r="H263" s="4">
        <f>_xlfn.XLOOKUP(D263, Products!$A$2:$A$21, Products!$E$2:$E$21, 0)</f>
        <v>179</v>
      </c>
      <c r="I263" s="4">
        <f>_xlfn.XLOOKUP(D263, Products!$A$2:$A$21, Products!$F$2:$F$21,0)</f>
        <v>95</v>
      </c>
      <c r="J263" t="str">
        <f>_xlfn.XLOOKUP(C263, Stores!$A$2:$A$7, Stores!$D$2:$D$7)</f>
        <v>Sydney South</v>
      </c>
      <c r="K263" s="4">
        <f t="shared" si="8"/>
        <v>179</v>
      </c>
      <c r="L263" s="4">
        <f t="shared" si="9"/>
        <v>84</v>
      </c>
      <c r="M263" s="10">
        <f>IF(Table1[[#This Row],[Revenue]]=0, "", Table1[[#This Row],[Profit]]/Table1[[#This Row],[Revenue]])</f>
        <v>0.46927374301675978</v>
      </c>
      <c r="N263" s="4" t="str">
        <f>IF(Table1[[#This Row],[Margin]]="", "check", IF(Table1[[#This Row],[Margin]]&lt;0.2, "Low", "OK"))</f>
        <v>OK</v>
      </c>
      <c r="O263" s="4" t="str" cm="1">
        <f t="array" ref="O263">_xlfn.IFS(Table1[[#This Row],[Revenue]]=0, "Check", Table1[[#This Row],[Revenue]]&gt;=1000, "Large", Table1[[#This Row],[Revenue]]&gt;=200, "Medium", TRUE, "Small")</f>
        <v>Small</v>
      </c>
      <c r="P263" s="4" t="str">
        <f>IF(AND(Table1[[#This Row],[Margin Flag]]="Low", Table1[[#This Row],[Revenue]]&gt;1000), "Review", "")</f>
        <v/>
      </c>
      <c r="Q263" s="4" t="str">
        <f>IF(OR(Table1[[#This Row],[Qty]]&gt;=5,Table1[[#This Row],[Order Size]] = "Large" ), "Bulk", "")</f>
        <v/>
      </c>
      <c r="R263" s="10">
        <f>_xlfn.XLOOKUP(G263, Lookup!$A$2:$A$7, Lookup!$B$2:$B$7, "")</f>
        <v>0.25</v>
      </c>
      <c r="S263" s="4" t="str">
        <f>IF(Table1[[#This Row],[Margin]]&lt;Table1[[#This Row],[Target Margin]], "Yes", "")</f>
        <v/>
      </c>
    </row>
    <row r="264" spans="1:19">
      <c r="A264" t="s">
        <v>309</v>
      </c>
      <c r="B264" s="2">
        <v>46241</v>
      </c>
      <c r="C264" t="s">
        <v>23</v>
      </c>
      <c r="D264" t="s">
        <v>35</v>
      </c>
      <c r="E264">
        <v>2</v>
      </c>
      <c r="F264" t="str">
        <f>_xlfn.XLOOKUP(D264, Products!$A$2:$A$21, Products!$B$2:$B$21, "Not Found")</f>
        <v>Phone Case</v>
      </c>
      <c r="G264" t="str">
        <f>_xlfn.XLOOKUP(D264, Products!$A$2:$A$21, Products!$C$2:$C$21,"not found")</f>
        <v>Accessories</v>
      </c>
      <c r="H264" s="4">
        <f>_xlfn.XLOOKUP(D264, Products!$A$2:$A$21, Products!$E$2:$E$21, 0)</f>
        <v>39</v>
      </c>
      <c r="I264" s="4">
        <f>_xlfn.XLOOKUP(D264, Products!$A$2:$A$21, Products!$F$2:$F$21,0)</f>
        <v>9</v>
      </c>
      <c r="J264" t="str">
        <f>_xlfn.XLOOKUP(C264, Stores!$A$2:$A$7, Stores!$D$2:$D$7)</f>
        <v>Sydney East</v>
      </c>
      <c r="K264" s="4">
        <f t="shared" si="8"/>
        <v>78</v>
      </c>
      <c r="L264" s="4">
        <f t="shared" si="9"/>
        <v>60</v>
      </c>
      <c r="M264" s="10">
        <f>IF(Table1[[#This Row],[Revenue]]=0, "", Table1[[#This Row],[Profit]]/Table1[[#This Row],[Revenue]])</f>
        <v>0.76923076923076927</v>
      </c>
      <c r="N264" s="4" t="str">
        <f>IF(Table1[[#This Row],[Margin]]="", "check", IF(Table1[[#This Row],[Margin]]&lt;0.2, "Low", "OK"))</f>
        <v>OK</v>
      </c>
      <c r="O264" s="4" t="str" cm="1">
        <f t="array" ref="O264">_xlfn.IFS(Table1[[#This Row],[Revenue]]=0, "Check", Table1[[#This Row],[Revenue]]&gt;=1000, "Large", Table1[[#This Row],[Revenue]]&gt;=200, "Medium", TRUE, "Small")</f>
        <v>Small</v>
      </c>
      <c r="P264" s="4" t="str">
        <f>IF(AND(Table1[[#This Row],[Margin Flag]]="Low", Table1[[#This Row],[Revenue]]&gt;1000), "Review", "")</f>
        <v/>
      </c>
      <c r="Q264" s="4" t="str">
        <f>IF(OR(Table1[[#This Row],[Qty]]&gt;=5,Table1[[#This Row],[Order Size]] = "Large" ), "Bulk", "")</f>
        <v/>
      </c>
      <c r="R264" s="10">
        <f>_xlfn.XLOOKUP(G264, Lookup!$A$2:$A$7, Lookup!$B$2:$B$7, "")</f>
        <v>0.25</v>
      </c>
      <c r="S264" s="4" t="str">
        <f>IF(Table1[[#This Row],[Margin]]&lt;Table1[[#This Row],[Target Margin]], "Yes", "")</f>
        <v/>
      </c>
    </row>
    <row r="265" spans="1:19">
      <c r="A265" t="s">
        <v>310</v>
      </c>
      <c r="B265" s="2">
        <v>46241</v>
      </c>
      <c r="C265" t="s">
        <v>23</v>
      </c>
      <c r="D265" t="s">
        <v>38</v>
      </c>
      <c r="E265">
        <v>1</v>
      </c>
      <c r="F265" t="str">
        <f>_xlfn.XLOOKUP(D265, Products!$A$2:$A$21, Products!$B$2:$B$21, "Not Found")</f>
        <v>USB-C Charger</v>
      </c>
      <c r="G265" t="str">
        <f>_xlfn.XLOOKUP(D265, Products!$A$2:$A$21, Products!$C$2:$C$21,"not found")</f>
        <v>Accessories</v>
      </c>
      <c r="H265" s="4">
        <f>_xlfn.XLOOKUP(D265, Products!$A$2:$A$21, Products!$E$2:$E$21, 0)</f>
        <v>49</v>
      </c>
      <c r="I265" s="4">
        <f>_xlfn.XLOOKUP(D265, Products!$A$2:$A$21, Products!$F$2:$F$21,0)</f>
        <v>14</v>
      </c>
      <c r="J265" t="str">
        <f>_xlfn.XLOOKUP(C265, Stores!$A$2:$A$7, Stores!$D$2:$D$7)</f>
        <v>Sydney East</v>
      </c>
      <c r="K265" s="4">
        <f t="shared" si="8"/>
        <v>49</v>
      </c>
      <c r="L265" s="4">
        <f t="shared" si="9"/>
        <v>35</v>
      </c>
      <c r="M265" s="10">
        <f>IF(Table1[[#This Row],[Revenue]]=0, "", Table1[[#This Row],[Profit]]/Table1[[#This Row],[Revenue]])</f>
        <v>0.7142857142857143</v>
      </c>
      <c r="N265" s="4" t="str">
        <f>IF(Table1[[#This Row],[Margin]]="", "check", IF(Table1[[#This Row],[Margin]]&lt;0.2, "Low", "OK"))</f>
        <v>OK</v>
      </c>
      <c r="O265" s="4" t="str" cm="1">
        <f t="array" ref="O265">_xlfn.IFS(Table1[[#This Row],[Revenue]]=0, "Check", Table1[[#This Row],[Revenue]]&gt;=1000, "Large", Table1[[#This Row],[Revenue]]&gt;=200, "Medium", TRUE, "Small")</f>
        <v>Small</v>
      </c>
      <c r="P265" s="4" t="str">
        <f>IF(AND(Table1[[#This Row],[Margin Flag]]="Low", Table1[[#This Row],[Revenue]]&gt;1000), "Review", "")</f>
        <v/>
      </c>
      <c r="Q265" s="4" t="str">
        <f>IF(OR(Table1[[#This Row],[Qty]]&gt;=5,Table1[[#This Row],[Order Size]] = "Large" ), "Bulk", "")</f>
        <v/>
      </c>
      <c r="R265" s="10">
        <f>_xlfn.XLOOKUP(G265, Lookup!$A$2:$A$7, Lookup!$B$2:$B$7, "")</f>
        <v>0.25</v>
      </c>
      <c r="S265" s="4" t="str">
        <f>IF(Table1[[#This Row],[Margin]]&lt;Table1[[#This Row],[Target Margin]], "Yes", "")</f>
        <v/>
      </c>
    </row>
    <row r="266" spans="1:19">
      <c r="A266" t="s">
        <v>311</v>
      </c>
      <c r="B266" s="2">
        <v>46241</v>
      </c>
      <c r="C266" t="s">
        <v>23</v>
      </c>
      <c r="D266" t="s">
        <v>58</v>
      </c>
      <c r="E266">
        <v>1</v>
      </c>
      <c r="F266" t="str">
        <f>_xlfn.XLOOKUP(D266, Products!$A$2:$A$21, Products!$B$2:$B$21, "Not Found")</f>
        <v>Mech Keyboard</v>
      </c>
      <c r="G266" t="str">
        <f>_xlfn.XLOOKUP(D266, Products!$A$2:$A$21, Products!$C$2:$C$21,"not found")</f>
        <v>Accessories</v>
      </c>
      <c r="H266" s="4">
        <f>_xlfn.XLOOKUP(D266, Products!$A$2:$A$21, Products!$E$2:$E$21, 0)</f>
        <v>149</v>
      </c>
      <c r="I266" s="4">
        <f>_xlfn.XLOOKUP(D266, Products!$A$2:$A$21, Products!$F$2:$F$21,0)</f>
        <v>72</v>
      </c>
      <c r="J266" t="str">
        <f>_xlfn.XLOOKUP(C266, Stores!$A$2:$A$7, Stores!$D$2:$D$7)</f>
        <v>Sydney East</v>
      </c>
      <c r="K266" s="4">
        <f t="shared" si="8"/>
        <v>149</v>
      </c>
      <c r="L266" s="4">
        <f t="shared" si="9"/>
        <v>77</v>
      </c>
      <c r="M266" s="10">
        <f>IF(Table1[[#This Row],[Revenue]]=0, "", Table1[[#This Row],[Profit]]/Table1[[#This Row],[Revenue]])</f>
        <v>0.51677852348993292</v>
      </c>
      <c r="N266" s="4" t="str">
        <f>IF(Table1[[#This Row],[Margin]]="", "check", IF(Table1[[#This Row],[Margin]]&lt;0.2, "Low", "OK"))</f>
        <v>OK</v>
      </c>
      <c r="O266" s="4" t="str" cm="1">
        <f t="array" ref="O266">_xlfn.IFS(Table1[[#This Row],[Revenue]]=0, "Check", Table1[[#This Row],[Revenue]]&gt;=1000, "Large", Table1[[#This Row],[Revenue]]&gt;=200, "Medium", TRUE, "Small")</f>
        <v>Small</v>
      </c>
      <c r="P266" s="4" t="str">
        <f>IF(AND(Table1[[#This Row],[Margin Flag]]="Low", Table1[[#This Row],[Revenue]]&gt;1000), "Review", "")</f>
        <v/>
      </c>
      <c r="Q266" s="4" t="str">
        <f>IF(OR(Table1[[#This Row],[Qty]]&gt;=5,Table1[[#This Row],[Order Size]] = "Large" ), "Bulk", "")</f>
        <v/>
      </c>
      <c r="R266" s="10">
        <f>_xlfn.XLOOKUP(G266, Lookup!$A$2:$A$7, Lookup!$B$2:$B$7, "")</f>
        <v>0.25</v>
      </c>
      <c r="S266" s="4" t="str">
        <f>IF(Table1[[#This Row],[Margin]]&lt;Table1[[#This Row],[Target Margin]], "Yes", "")</f>
        <v/>
      </c>
    </row>
    <row r="267" spans="1:19">
      <c r="A267" t="s">
        <v>312</v>
      </c>
      <c r="B267" s="2">
        <v>46242</v>
      </c>
      <c r="C267" t="s">
        <v>57</v>
      </c>
      <c r="D267" t="s">
        <v>38</v>
      </c>
      <c r="E267">
        <v>1</v>
      </c>
      <c r="F267" t="str">
        <f>_xlfn.XLOOKUP(D267, Products!$A$2:$A$21, Products!$B$2:$B$21, "Not Found")</f>
        <v>USB-C Charger</v>
      </c>
      <c r="G267" t="str">
        <f>_xlfn.XLOOKUP(D267, Products!$A$2:$A$21, Products!$C$2:$C$21,"not found")</f>
        <v>Accessories</v>
      </c>
      <c r="H267" s="4">
        <f>_xlfn.XLOOKUP(D267, Products!$A$2:$A$21, Products!$E$2:$E$21, 0)</f>
        <v>49</v>
      </c>
      <c r="I267" s="4">
        <f>_xlfn.XLOOKUP(D267, Products!$A$2:$A$21, Products!$F$2:$F$21,0)</f>
        <v>14</v>
      </c>
      <c r="J267" t="str">
        <f>_xlfn.XLOOKUP(C267, Stores!$A$2:$A$7, Stores!$D$2:$D$7)</f>
        <v>Sydney South</v>
      </c>
      <c r="K267" s="4">
        <f t="shared" si="8"/>
        <v>49</v>
      </c>
      <c r="L267" s="4">
        <f t="shared" si="9"/>
        <v>35</v>
      </c>
      <c r="M267" s="10">
        <f>IF(Table1[[#This Row],[Revenue]]=0, "", Table1[[#This Row],[Profit]]/Table1[[#This Row],[Revenue]])</f>
        <v>0.7142857142857143</v>
      </c>
      <c r="N267" s="4" t="str">
        <f>IF(Table1[[#This Row],[Margin]]="", "check", IF(Table1[[#This Row],[Margin]]&lt;0.2, "Low", "OK"))</f>
        <v>OK</v>
      </c>
      <c r="O267" s="4" t="str" cm="1">
        <f t="array" ref="O267">_xlfn.IFS(Table1[[#This Row],[Revenue]]=0, "Check", Table1[[#This Row],[Revenue]]&gt;=1000, "Large", Table1[[#This Row],[Revenue]]&gt;=200, "Medium", TRUE, "Small")</f>
        <v>Small</v>
      </c>
      <c r="P267" s="4" t="str">
        <f>IF(AND(Table1[[#This Row],[Margin Flag]]="Low", Table1[[#This Row],[Revenue]]&gt;1000), "Review", "")</f>
        <v/>
      </c>
      <c r="Q267" s="4" t="str">
        <f>IF(OR(Table1[[#This Row],[Qty]]&gt;=5,Table1[[#This Row],[Order Size]] = "Large" ), "Bulk", "")</f>
        <v/>
      </c>
      <c r="R267" s="10">
        <f>_xlfn.XLOOKUP(G267, Lookup!$A$2:$A$7, Lookup!$B$2:$B$7, "")</f>
        <v>0.25</v>
      </c>
      <c r="S267" s="4" t="str">
        <f>IF(Table1[[#This Row],[Margin]]&lt;Table1[[#This Row],[Target Margin]], "Yes", "")</f>
        <v/>
      </c>
    </row>
    <row r="268" spans="1:19">
      <c r="A268" t="s">
        <v>313</v>
      </c>
      <c r="B268" s="2">
        <v>46242</v>
      </c>
      <c r="C268" t="s">
        <v>23</v>
      </c>
      <c r="D268" t="s">
        <v>27</v>
      </c>
      <c r="E268">
        <v>1</v>
      </c>
      <c r="F268" t="str">
        <f>_xlfn.XLOOKUP(D268, Products!$A$2:$A$21, Products!$B$2:$B$21, "Not Found")</f>
        <v>Bluetooth Speaker</v>
      </c>
      <c r="G268" t="str">
        <f>_xlfn.XLOOKUP(D268, Products!$A$2:$A$21, Products!$C$2:$C$21,"not found")</f>
        <v>Audio</v>
      </c>
      <c r="H268" s="4">
        <f>_xlfn.XLOOKUP(D268, Products!$A$2:$A$21, Products!$E$2:$E$21, 0)</f>
        <v>179</v>
      </c>
      <c r="I268" s="4">
        <f>_xlfn.XLOOKUP(D268, Products!$A$2:$A$21, Products!$F$2:$F$21,0)</f>
        <v>95</v>
      </c>
      <c r="J268" t="str">
        <f>_xlfn.XLOOKUP(C268, Stores!$A$2:$A$7, Stores!$D$2:$D$7)</f>
        <v>Sydney East</v>
      </c>
      <c r="K268" s="4">
        <f t="shared" si="8"/>
        <v>179</v>
      </c>
      <c r="L268" s="4">
        <f t="shared" si="9"/>
        <v>84</v>
      </c>
      <c r="M268" s="10">
        <f>IF(Table1[[#This Row],[Revenue]]=0, "", Table1[[#This Row],[Profit]]/Table1[[#This Row],[Revenue]])</f>
        <v>0.46927374301675978</v>
      </c>
      <c r="N268" s="4" t="str">
        <f>IF(Table1[[#This Row],[Margin]]="", "check", IF(Table1[[#This Row],[Margin]]&lt;0.2, "Low", "OK"))</f>
        <v>OK</v>
      </c>
      <c r="O268" s="4" t="str" cm="1">
        <f t="array" ref="O268">_xlfn.IFS(Table1[[#This Row],[Revenue]]=0, "Check", Table1[[#This Row],[Revenue]]&gt;=1000, "Large", Table1[[#This Row],[Revenue]]&gt;=200, "Medium", TRUE, "Small")</f>
        <v>Small</v>
      </c>
      <c r="P268" s="4" t="str">
        <f>IF(AND(Table1[[#This Row],[Margin Flag]]="Low", Table1[[#This Row],[Revenue]]&gt;1000), "Review", "")</f>
        <v/>
      </c>
      <c r="Q268" s="4" t="str">
        <f>IF(OR(Table1[[#This Row],[Qty]]&gt;=5,Table1[[#This Row],[Order Size]] = "Large" ), "Bulk", "")</f>
        <v/>
      </c>
      <c r="R268" s="10">
        <f>_xlfn.XLOOKUP(G268, Lookup!$A$2:$A$7, Lookup!$B$2:$B$7, "")</f>
        <v>0.25</v>
      </c>
      <c r="S268" s="4" t="str">
        <f>IF(Table1[[#This Row],[Margin]]&lt;Table1[[#This Row],[Target Margin]], "Yes", "")</f>
        <v/>
      </c>
    </row>
    <row r="269" spans="1:19">
      <c r="A269" t="s">
        <v>314</v>
      </c>
      <c r="B269" s="2">
        <v>46242</v>
      </c>
      <c r="C269" t="s">
        <v>29</v>
      </c>
      <c r="D269" t="s">
        <v>58</v>
      </c>
      <c r="E269">
        <v>2</v>
      </c>
      <c r="F269" t="str">
        <f>_xlfn.XLOOKUP(D269, Products!$A$2:$A$21, Products!$B$2:$B$21, "Not Found")</f>
        <v>Mech Keyboard</v>
      </c>
      <c r="G269" t="str">
        <f>_xlfn.XLOOKUP(D269, Products!$A$2:$A$21, Products!$C$2:$C$21,"not found")</f>
        <v>Accessories</v>
      </c>
      <c r="H269" s="4">
        <f>_xlfn.XLOOKUP(D269, Products!$A$2:$A$21, Products!$E$2:$E$21, 0)</f>
        <v>149</v>
      </c>
      <c r="I269" s="4">
        <f>_xlfn.XLOOKUP(D269, Products!$A$2:$A$21, Products!$F$2:$F$21,0)</f>
        <v>72</v>
      </c>
      <c r="J269" t="str">
        <f>_xlfn.XLOOKUP(C269, Stores!$A$2:$A$7, Stores!$D$2:$D$7)</f>
        <v>Sydney West</v>
      </c>
      <c r="K269" s="4">
        <f t="shared" si="8"/>
        <v>298</v>
      </c>
      <c r="L269" s="4">
        <f t="shared" si="9"/>
        <v>154</v>
      </c>
      <c r="M269" s="10">
        <f>IF(Table1[[#This Row],[Revenue]]=0, "", Table1[[#This Row],[Profit]]/Table1[[#This Row],[Revenue]])</f>
        <v>0.51677852348993292</v>
      </c>
      <c r="N269" s="4" t="str">
        <f>IF(Table1[[#This Row],[Margin]]="", "check", IF(Table1[[#This Row],[Margin]]&lt;0.2, "Low", "OK"))</f>
        <v>OK</v>
      </c>
      <c r="O269" s="4" t="str" cm="1">
        <f t="array" ref="O269">_xlfn.IFS(Table1[[#This Row],[Revenue]]=0, "Check", Table1[[#This Row],[Revenue]]&gt;=1000, "Large", Table1[[#This Row],[Revenue]]&gt;=200, "Medium", TRUE, "Small")</f>
        <v>Medium</v>
      </c>
      <c r="P269" s="4" t="str">
        <f>IF(AND(Table1[[#This Row],[Margin Flag]]="Low", Table1[[#This Row],[Revenue]]&gt;1000), "Review", "")</f>
        <v/>
      </c>
      <c r="Q269" s="4" t="str">
        <f>IF(OR(Table1[[#This Row],[Qty]]&gt;=5,Table1[[#This Row],[Order Size]] = "Large" ), "Bulk", "")</f>
        <v/>
      </c>
      <c r="R269" s="10">
        <f>_xlfn.XLOOKUP(G269, Lookup!$A$2:$A$7, Lookup!$B$2:$B$7, "")</f>
        <v>0.25</v>
      </c>
      <c r="S269" s="4" t="str">
        <f>IF(Table1[[#This Row],[Margin]]&lt;Table1[[#This Row],[Target Margin]], "Yes", "")</f>
        <v/>
      </c>
    </row>
    <row r="270" spans="1:19">
      <c r="A270" t="s">
        <v>315</v>
      </c>
      <c r="B270" s="2">
        <v>46242</v>
      </c>
      <c r="C270" t="s">
        <v>32</v>
      </c>
      <c r="D270" t="s">
        <v>21</v>
      </c>
      <c r="E270">
        <v>1</v>
      </c>
      <c r="F270" t="str">
        <f>_xlfn.XLOOKUP(D270, Products!$A$2:$A$21, Products!$B$2:$B$21, "Not Found")</f>
        <v>Gaming Mouse</v>
      </c>
      <c r="G270" t="str">
        <f>_xlfn.XLOOKUP(D270, Products!$A$2:$A$21, Products!$C$2:$C$21,"not found")</f>
        <v>Accessories</v>
      </c>
      <c r="H270" s="4">
        <f>_xlfn.XLOOKUP(D270, Products!$A$2:$A$21, Products!$E$2:$E$21, 0)</f>
        <v>89</v>
      </c>
      <c r="I270" s="4">
        <f>_xlfn.XLOOKUP(D270, Products!$A$2:$A$21, Products!$F$2:$F$21,0)</f>
        <v>41</v>
      </c>
      <c r="J270" t="str">
        <f>_xlfn.XLOOKUP(C270, Stores!$A$2:$A$7, Stores!$D$2:$D$7)</f>
        <v>Sydney South</v>
      </c>
      <c r="K270" s="4">
        <f t="shared" si="8"/>
        <v>89</v>
      </c>
      <c r="L270" s="4">
        <f t="shared" si="9"/>
        <v>48</v>
      </c>
      <c r="M270" s="10">
        <f>IF(Table1[[#This Row],[Revenue]]=0, "", Table1[[#This Row],[Profit]]/Table1[[#This Row],[Revenue]])</f>
        <v>0.5393258426966292</v>
      </c>
      <c r="N270" s="4" t="str">
        <f>IF(Table1[[#This Row],[Margin]]="", "check", IF(Table1[[#This Row],[Margin]]&lt;0.2, "Low", "OK"))</f>
        <v>OK</v>
      </c>
      <c r="O270" s="4" t="str" cm="1">
        <f t="array" ref="O270">_xlfn.IFS(Table1[[#This Row],[Revenue]]=0, "Check", Table1[[#This Row],[Revenue]]&gt;=1000, "Large", Table1[[#This Row],[Revenue]]&gt;=200, "Medium", TRUE, "Small")</f>
        <v>Small</v>
      </c>
      <c r="P270" s="4" t="str">
        <f>IF(AND(Table1[[#This Row],[Margin Flag]]="Low", Table1[[#This Row],[Revenue]]&gt;1000), "Review", "")</f>
        <v/>
      </c>
      <c r="Q270" s="4" t="str">
        <f>IF(OR(Table1[[#This Row],[Qty]]&gt;=5,Table1[[#This Row],[Order Size]] = "Large" ), "Bulk", "")</f>
        <v/>
      </c>
      <c r="R270" s="10">
        <f>_xlfn.XLOOKUP(G270, Lookup!$A$2:$A$7, Lookup!$B$2:$B$7, "")</f>
        <v>0.25</v>
      </c>
      <c r="S270" s="4" t="str">
        <f>IF(Table1[[#This Row],[Margin]]&lt;Table1[[#This Row],[Target Margin]], "Yes", "")</f>
        <v/>
      </c>
    </row>
    <row r="271" spans="1:19">
      <c r="A271" t="s">
        <v>316</v>
      </c>
      <c r="B271" s="2">
        <v>46242</v>
      </c>
      <c r="C271" t="s">
        <v>26</v>
      </c>
      <c r="D271" t="s">
        <v>30</v>
      </c>
      <c r="E271">
        <v>2</v>
      </c>
      <c r="F271" t="str">
        <f>_xlfn.XLOOKUP(D271, Products!$A$2:$A$21, Products!$B$2:$B$21, "Not Found")</f>
        <v>Video Game</v>
      </c>
      <c r="G271" t="str">
        <f>_xlfn.XLOOKUP(D271, Products!$A$2:$A$21, Products!$C$2:$C$21,"not found")</f>
        <v>Gaming</v>
      </c>
      <c r="H271" s="4">
        <f>_xlfn.XLOOKUP(D271, Products!$A$2:$A$21, Products!$E$2:$E$21, 0)</f>
        <v>79</v>
      </c>
      <c r="I271" s="4">
        <f>_xlfn.XLOOKUP(D271, Products!$A$2:$A$21, Products!$F$2:$F$21,0)</f>
        <v>52</v>
      </c>
      <c r="J271" t="str">
        <f>_xlfn.XLOOKUP(C271, Stores!$A$2:$A$7, Stores!$D$2:$D$7)</f>
        <v>Sydney North</v>
      </c>
      <c r="K271" s="4">
        <f t="shared" si="8"/>
        <v>158</v>
      </c>
      <c r="L271" s="4">
        <f t="shared" si="9"/>
        <v>54</v>
      </c>
      <c r="M271" s="10">
        <f>IF(Table1[[#This Row],[Revenue]]=0, "", Table1[[#This Row],[Profit]]/Table1[[#This Row],[Revenue]])</f>
        <v>0.34177215189873417</v>
      </c>
      <c r="N271" s="4" t="str">
        <f>IF(Table1[[#This Row],[Margin]]="", "check", IF(Table1[[#This Row],[Margin]]&lt;0.2, "Low", "OK"))</f>
        <v>OK</v>
      </c>
      <c r="O271" s="4" t="str" cm="1">
        <f t="array" ref="O271">_xlfn.IFS(Table1[[#This Row],[Revenue]]=0, "Check", Table1[[#This Row],[Revenue]]&gt;=1000, "Large", Table1[[#This Row],[Revenue]]&gt;=200, "Medium", TRUE, "Small")</f>
        <v>Small</v>
      </c>
      <c r="P271" s="4" t="str">
        <f>IF(AND(Table1[[#This Row],[Margin Flag]]="Low", Table1[[#This Row],[Revenue]]&gt;1000), "Review", "")</f>
        <v/>
      </c>
      <c r="Q271" s="4" t="str">
        <f>IF(OR(Table1[[#This Row],[Qty]]&gt;=5,Table1[[#This Row],[Order Size]] = "Large" ), "Bulk", "")</f>
        <v/>
      </c>
      <c r="R271" s="10">
        <f>_xlfn.XLOOKUP(G271, Lookup!$A$2:$A$7, Lookup!$B$2:$B$7, "")</f>
        <v>0.08</v>
      </c>
      <c r="S271" s="4" t="str">
        <f>IF(Table1[[#This Row],[Margin]]&lt;Table1[[#This Row],[Target Margin]], "Yes", "")</f>
        <v/>
      </c>
    </row>
    <row r="272" spans="1:19">
      <c r="A272" t="s">
        <v>317</v>
      </c>
      <c r="B272" s="2">
        <v>46243</v>
      </c>
      <c r="C272" t="s">
        <v>29</v>
      </c>
      <c r="D272" t="s">
        <v>50</v>
      </c>
      <c r="E272">
        <v>1</v>
      </c>
      <c r="F272" t="str">
        <f>_xlfn.XLOOKUP(D272, Products!$A$2:$A$21, Products!$B$2:$B$21, "Not Found")</f>
        <v>Smartphone 128GB</v>
      </c>
      <c r="G272" t="str">
        <f>_xlfn.XLOOKUP(D272, Products!$A$2:$A$21, Products!$C$2:$C$21,"not found")</f>
        <v>Phones</v>
      </c>
      <c r="H272" s="4">
        <f>_xlfn.XLOOKUP(D272, Products!$A$2:$A$21, Products!$E$2:$E$21, 0)</f>
        <v>1099</v>
      </c>
      <c r="I272" s="4">
        <f>_xlfn.XLOOKUP(D272, Products!$A$2:$A$21, Products!$F$2:$F$21,0)</f>
        <v>860</v>
      </c>
      <c r="J272" t="str">
        <f>_xlfn.XLOOKUP(C272, Stores!$A$2:$A$7, Stores!$D$2:$D$7)</f>
        <v>Sydney West</v>
      </c>
      <c r="K272" s="4">
        <f t="shared" si="8"/>
        <v>1099</v>
      </c>
      <c r="L272" s="4">
        <f t="shared" si="9"/>
        <v>239</v>
      </c>
      <c r="M272" s="10">
        <f>IF(Table1[[#This Row],[Revenue]]=0, "", Table1[[#This Row],[Profit]]/Table1[[#This Row],[Revenue]])</f>
        <v>0.21747042766151045</v>
      </c>
      <c r="N272" s="4" t="str">
        <f>IF(Table1[[#This Row],[Margin]]="", "check", IF(Table1[[#This Row],[Margin]]&lt;0.2, "Low", "OK"))</f>
        <v>OK</v>
      </c>
      <c r="O272" s="4" t="str" cm="1">
        <f t="array" ref="O272">_xlfn.IFS(Table1[[#This Row],[Revenue]]=0, "Check", Table1[[#This Row],[Revenue]]&gt;=1000, "Large", Table1[[#This Row],[Revenue]]&gt;=200, "Medium", TRUE, "Small")</f>
        <v>Large</v>
      </c>
      <c r="P272" s="4" t="str">
        <f>IF(AND(Table1[[#This Row],[Margin Flag]]="Low", Table1[[#This Row],[Revenue]]&gt;1000), "Review", "")</f>
        <v/>
      </c>
      <c r="Q272" s="4" t="str">
        <f>IF(OR(Table1[[#This Row],[Qty]]&gt;=5,Table1[[#This Row],[Order Size]] = "Large" ), "Bulk", "")</f>
        <v>Bulk</v>
      </c>
      <c r="R272" s="10">
        <f>_xlfn.XLOOKUP(G272, Lookup!$A$2:$A$7, Lookup!$B$2:$B$7, "")</f>
        <v>0.25</v>
      </c>
      <c r="S272" s="4" t="str">
        <f>IF(Table1[[#This Row],[Margin]]&lt;Table1[[#This Row],[Target Margin]], "Yes", "")</f>
        <v>Yes</v>
      </c>
    </row>
    <row r="273" spans="1:19">
      <c r="A273" t="s">
        <v>318</v>
      </c>
      <c r="B273" s="2">
        <v>46243</v>
      </c>
      <c r="C273" t="s">
        <v>20</v>
      </c>
      <c r="D273" t="s">
        <v>24</v>
      </c>
      <c r="E273">
        <v>1</v>
      </c>
      <c r="F273" t="str">
        <f>_xlfn.XLOOKUP(D273, Products!$A$2:$A$21, Products!$B$2:$B$21, "Not Found")</f>
        <v>Wireless Earbuds</v>
      </c>
      <c r="G273" t="str">
        <f>_xlfn.XLOOKUP(D273, Products!$A$2:$A$21, Products!$C$2:$C$21,"not found")</f>
        <v>Audio</v>
      </c>
      <c r="H273" s="4">
        <f>_xlfn.XLOOKUP(D273, Products!$A$2:$A$21, Products!$E$2:$E$21, 0)</f>
        <v>249</v>
      </c>
      <c r="I273" s="4">
        <f>_xlfn.XLOOKUP(D273, Products!$A$2:$A$21, Products!$F$2:$F$21,0)</f>
        <v>140</v>
      </c>
      <c r="J273" t="str">
        <f>_xlfn.XLOOKUP(C273, Stores!$A$2:$A$7, Stores!$D$2:$D$7)</f>
        <v>Sydney West</v>
      </c>
      <c r="K273" s="4">
        <f t="shared" si="8"/>
        <v>249</v>
      </c>
      <c r="L273" s="4">
        <f t="shared" si="9"/>
        <v>109</v>
      </c>
      <c r="M273" s="10">
        <f>IF(Table1[[#This Row],[Revenue]]=0, "", Table1[[#This Row],[Profit]]/Table1[[#This Row],[Revenue]])</f>
        <v>0.43775100401606426</v>
      </c>
      <c r="N273" s="4" t="str">
        <f>IF(Table1[[#This Row],[Margin]]="", "check", IF(Table1[[#This Row],[Margin]]&lt;0.2, "Low", "OK"))</f>
        <v>OK</v>
      </c>
      <c r="O273" s="4" t="str" cm="1">
        <f t="array" ref="O273">_xlfn.IFS(Table1[[#This Row],[Revenue]]=0, "Check", Table1[[#This Row],[Revenue]]&gt;=1000, "Large", Table1[[#This Row],[Revenue]]&gt;=200, "Medium", TRUE, "Small")</f>
        <v>Medium</v>
      </c>
      <c r="P273" s="4" t="str">
        <f>IF(AND(Table1[[#This Row],[Margin Flag]]="Low", Table1[[#This Row],[Revenue]]&gt;1000), "Review", "")</f>
        <v/>
      </c>
      <c r="Q273" s="4" t="str">
        <f>IF(OR(Table1[[#This Row],[Qty]]&gt;=5,Table1[[#This Row],[Order Size]] = "Large" ), "Bulk", "")</f>
        <v/>
      </c>
      <c r="R273" s="10">
        <f>_xlfn.XLOOKUP(G273, Lookup!$A$2:$A$7, Lookup!$B$2:$B$7, "")</f>
        <v>0.25</v>
      </c>
      <c r="S273" s="4" t="str">
        <f>IF(Table1[[#This Row],[Margin]]&lt;Table1[[#This Row],[Target Margin]], "Yes", "")</f>
        <v/>
      </c>
    </row>
    <row r="274" spans="1:19">
      <c r="A274" t="s">
        <v>319</v>
      </c>
      <c r="B274" s="2">
        <v>46243</v>
      </c>
      <c r="C274" t="s">
        <v>57</v>
      </c>
      <c r="D274" t="s">
        <v>24</v>
      </c>
      <c r="E274">
        <v>2</v>
      </c>
      <c r="F274" t="str">
        <f>_xlfn.XLOOKUP(D274, Products!$A$2:$A$21, Products!$B$2:$B$21, "Not Found")</f>
        <v>Wireless Earbuds</v>
      </c>
      <c r="G274" t="str">
        <f>_xlfn.XLOOKUP(D274, Products!$A$2:$A$21, Products!$C$2:$C$21,"not found")</f>
        <v>Audio</v>
      </c>
      <c r="H274" s="4">
        <f>_xlfn.XLOOKUP(D274, Products!$A$2:$A$21, Products!$E$2:$E$21, 0)</f>
        <v>249</v>
      </c>
      <c r="I274" s="4">
        <f>_xlfn.XLOOKUP(D274, Products!$A$2:$A$21, Products!$F$2:$F$21,0)</f>
        <v>140</v>
      </c>
      <c r="J274" t="str">
        <f>_xlfn.XLOOKUP(C274, Stores!$A$2:$A$7, Stores!$D$2:$D$7)</f>
        <v>Sydney South</v>
      </c>
      <c r="K274" s="4">
        <f t="shared" si="8"/>
        <v>498</v>
      </c>
      <c r="L274" s="4">
        <f t="shared" si="9"/>
        <v>218</v>
      </c>
      <c r="M274" s="10">
        <f>IF(Table1[[#This Row],[Revenue]]=0, "", Table1[[#This Row],[Profit]]/Table1[[#This Row],[Revenue]])</f>
        <v>0.43775100401606426</v>
      </c>
      <c r="N274" s="4" t="str">
        <f>IF(Table1[[#This Row],[Margin]]="", "check", IF(Table1[[#This Row],[Margin]]&lt;0.2, "Low", "OK"))</f>
        <v>OK</v>
      </c>
      <c r="O274" s="4" t="str" cm="1">
        <f t="array" ref="O274">_xlfn.IFS(Table1[[#This Row],[Revenue]]=0, "Check", Table1[[#This Row],[Revenue]]&gt;=1000, "Large", Table1[[#This Row],[Revenue]]&gt;=200, "Medium", TRUE, "Small")</f>
        <v>Medium</v>
      </c>
      <c r="P274" s="4" t="str">
        <f>IF(AND(Table1[[#This Row],[Margin Flag]]="Low", Table1[[#This Row],[Revenue]]&gt;1000), "Review", "")</f>
        <v/>
      </c>
      <c r="Q274" s="4" t="str">
        <f>IF(OR(Table1[[#This Row],[Qty]]&gt;=5,Table1[[#This Row],[Order Size]] = "Large" ), "Bulk", "")</f>
        <v/>
      </c>
      <c r="R274" s="10">
        <f>_xlfn.XLOOKUP(G274, Lookup!$A$2:$A$7, Lookup!$B$2:$B$7, "")</f>
        <v>0.25</v>
      </c>
      <c r="S274" s="4" t="str">
        <f>IF(Table1[[#This Row],[Margin]]&lt;Table1[[#This Row],[Target Margin]], "Yes", "")</f>
        <v/>
      </c>
    </row>
    <row r="275" spans="1:19">
      <c r="A275" t="s">
        <v>320</v>
      </c>
      <c r="B275" s="2">
        <v>46244</v>
      </c>
      <c r="C275" t="s">
        <v>32</v>
      </c>
      <c r="D275" t="s">
        <v>80</v>
      </c>
      <c r="E275">
        <v>1</v>
      </c>
      <c r="F275" t="str">
        <f>_xlfn.XLOOKUP(D275, Products!$A$2:$A$21, Products!$B$2:$B$21, "Not Found")</f>
        <v>Over-Ear Headphones</v>
      </c>
      <c r="G275" t="str">
        <f>_xlfn.XLOOKUP(D275, Products!$A$2:$A$21, Products!$C$2:$C$21,"not found")</f>
        <v>Audio</v>
      </c>
      <c r="H275" s="4">
        <f>_xlfn.XLOOKUP(D275, Products!$A$2:$A$21, Products!$E$2:$E$21, 0)</f>
        <v>499</v>
      </c>
      <c r="I275" s="4">
        <f>_xlfn.XLOOKUP(D275, Products!$A$2:$A$21, Products!$F$2:$F$21,0)</f>
        <v>310</v>
      </c>
      <c r="J275" t="str">
        <f>_xlfn.XLOOKUP(C275, Stores!$A$2:$A$7, Stores!$D$2:$D$7)</f>
        <v>Sydney South</v>
      </c>
      <c r="K275" s="4">
        <f t="shared" si="8"/>
        <v>499</v>
      </c>
      <c r="L275" s="4">
        <f t="shared" si="9"/>
        <v>189</v>
      </c>
      <c r="M275" s="10">
        <f>IF(Table1[[#This Row],[Revenue]]=0, "", Table1[[#This Row],[Profit]]/Table1[[#This Row],[Revenue]])</f>
        <v>0.37875751503006011</v>
      </c>
      <c r="N275" s="4" t="str">
        <f>IF(Table1[[#This Row],[Margin]]="", "check", IF(Table1[[#This Row],[Margin]]&lt;0.2, "Low", "OK"))</f>
        <v>OK</v>
      </c>
      <c r="O275" s="4" t="str" cm="1">
        <f t="array" ref="O275">_xlfn.IFS(Table1[[#This Row],[Revenue]]=0, "Check", Table1[[#This Row],[Revenue]]&gt;=1000, "Large", Table1[[#This Row],[Revenue]]&gt;=200, "Medium", TRUE, "Small")</f>
        <v>Medium</v>
      </c>
      <c r="P275" s="4" t="str">
        <f>IF(AND(Table1[[#This Row],[Margin Flag]]="Low", Table1[[#This Row],[Revenue]]&gt;1000), "Review", "")</f>
        <v/>
      </c>
      <c r="Q275" s="4" t="str">
        <f>IF(OR(Table1[[#This Row],[Qty]]&gt;=5,Table1[[#This Row],[Order Size]] = "Large" ), "Bulk", "")</f>
        <v/>
      </c>
      <c r="R275" s="10">
        <f>_xlfn.XLOOKUP(G275, Lookup!$A$2:$A$7, Lookup!$B$2:$B$7, "")</f>
        <v>0.25</v>
      </c>
      <c r="S275" s="4" t="str">
        <f>IF(Table1[[#This Row],[Margin]]&lt;Table1[[#This Row],[Target Margin]], "Yes", "")</f>
        <v/>
      </c>
    </row>
    <row r="276" spans="1:19">
      <c r="A276" t="s">
        <v>321</v>
      </c>
      <c r="B276" s="2">
        <v>46244</v>
      </c>
      <c r="C276" t="s">
        <v>32</v>
      </c>
      <c r="D276" t="s">
        <v>24</v>
      </c>
      <c r="E276">
        <v>1</v>
      </c>
      <c r="F276" t="str">
        <f>_xlfn.XLOOKUP(D276, Products!$A$2:$A$21, Products!$B$2:$B$21, "Not Found")</f>
        <v>Wireless Earbuds</v>
      </c>
      <c r="G276" t="str">
        <f>_xlfn.XLOOKUP(D276, Products!$A$2:$A$21, Products!$C$2:$C$21,"not found")</f>
        <v>Audio</v>
      </c>
      <c r="H276" s="4">
        <f>_xlfn.XLOOKUP(D276, Products!$A$2:$A$21, Products!$E$2:$E$21, 0)</f>
        <v>249</v>
      </c>
      <c r="I276" s="4">
        <f>_xlfn.XLOOKUP(D276, Products!$A$2:$A$21, Products!$F$2:$F$21,0)</f>
        <v>140</v>
      </c>
      <c r="J276" t="str">
        <f>_xlfn.XLOOKUP(C276, Stores!$A$2:$A$7, Stores!$D$2:$D$7)</f>
        <v>Sydney South</v>
      </c>
      <c r="K276" s="4">
        <f t="shared" si="8"/>
        <v>249</v>
      </c>
      <c r="L276" s="4">
        <f t="shared" si="9"/>
        <v>109</v>
      </c>
      <c r="M276" s="10">
        <f>IF(Table1[[#This Row],[Revenue]]=0, "", Table1[[#This Row],[Profit]]/Table1[[#This Row],[Revenue]])</f>
        <v>0.43775100401606426</v>
      </c>
      <c r="N276" s="4" t="str">
        <f>IF(Table1[[#This Row],[Margin]]="", "check", IF(Table1[[#This Row],[Margin]]&lt;0.2, "Low", "OK"))</f>
        <v>OK</v>
      </c>
      <c r="O276" s="4" t="str" cm="1">
        <f t="array" ref="O276">_xlfn.IFS(Table1[[#This Row],[Revenue]]=0, "Check", Table1[[#This Row],[Revenue]]&gt;=1000, "Large", Table1[[#This Row],[Revenue]]&gt;=200, "Medium", TRUE, "Small")</f>
        <v>Medium</v>
      </c>
      <c r="P276" s="4" t="str">
        <f>IF(AND(Table1[[#This Row],[Margin Flag]]="Low", Table1[[#This Row],[Revenue]]&gt;1000), "Review", "")</f>
        <v/>
      </c>
      <c r="Q276" s="4" t="str">
        <f>IF(OR(Table1[[#This Row],[Qty]]&gt;=5,Table1[[#This Row],[Order Size]] = "Large" ), "Bulk", "")</f>
        <v/>
      </c>
      <c r="R276" s="10">
        <f>_xlfn.XLOOKUP(G276, Lookup!$A$2:$A$7, Lookup!$B$2:$B$7, "")</f>
        <v>0.25</v>
      </c>
      <c r="S276" s="4" t="str">
        <f>IF(Table1[[#This Row],[Margin]]&lt;Table1[[#This Row],[Target Margin]], "Yes", "")</f>
        <v/>
      </c>
    </row>
    <row r="277" spans="1:19">
      <c r="A277" t="s">
        <v>322</v>
      </c>
      <c r="B277" s="2">
        <v>46244</v>
      </c>
      <c r="C277" t="s">
        <v>23</v>
      </c>
      <c r="D277" t="s">
        <v>50</v>
      </c>
      <c r="E277">
        <v>2</v>
      </c>
      <c r="F277" t="str">
        <f>_xlfn.XLOOKUP(D277, Products!$A$2:$A$21, Products!$B$2:$B$21, "Not Found")</f>
        <v>Smartphone 128GB</v>
      </c>
      <c r="G277" t="str">
        <f>_xlfn.XLOOKUP(D277, Products!$A$2:$A$21, Products!$C$2:$C$21,"not found")</f>
        <v>Phones</v>
      </c>
      <c r="H277" s="4">
        <f>_xlfn.XLOOKUP(D277, Products!$A$2:$A$21, Products!$E$2:$E$21, 0)</f>
        <v>1099</v>
      </c>
      <c r="I277" s="4">
        <f>_xlfn.XLOOKUP(D277, Products!$A$2:$A$21, Products!$F$2:$F$21,0)</f>
        <v>860</v>
      </c>
      <c r="J277" t="str">
        <f>_xlfn.XLOOKUP(C277, Stores!$A$2:$A$7, Stores!$D$2:$D$7)</f>
        <v>Sydney East</v>
      </c>
      <c r="K277" s="4">
        <f t="shared" si="8"/>
        <v>2198</v>
      </c>
      <c r="L277" s="4">
        <f t="shared" si="9"/>
        <v>478</v>
      </c>
      <c r="M277" s="10">
        <f>IF(Table1[[#This Row],[Revenue]]=0, "", Table1[[#This Row],[Profit]]/Table1[[#This Row],[Revenue]])</f>
        <v>0.21747042766151045</v>
      </c>
      <c r="N277" s="4" t="str">
        <f>IF(Table1[[#This Row],[Margin]]="", "check", IF(Table1[[#This Row],[Margin]]&lt;0.2, "Low", "OK"))</f>
        <v>OK</v>
      </c>
      <c r="O277" s="4" t="str" cm="1">
        <f t="array" ref="O277">_xlfn.IFS(Table1[[#This Row],[Revenue]]=0, "Check", Table1[[#This Row],[Revenue]]&gt;=1000, "Large", Table1[[#This Row],[Revenue]]&gt;=200, "Medium", TRUE, "Small")</f>
        <v>Large</v>
      </c>
      <c r="P277" s="4" t="str">
        <f>IF(AND(Table1[[#This Row],[Margin Flag]]="Low", Table1[[#This Row],[Revenue]]&gt;1000), "Review", "")</f>
        <v/>
      </c>
      <c r="Q277" s="4" t="str">
        <f>IF(OR(Table1[[#This Row],[Qty]]&gt;=5,Table1[[#This Row],[Order Size]] = "Large" ), "Bulk", "")</f>
        <v>Bulk</v>
      </c>
      <c r="R277" s="10">
        <f>_xlfn.XLOOKUP(G277, Lookup!$A$2:$A$7, Lookup!$B$2:$B$7, "")</f>
        <v>0.25</v>
      </c>
      <c r="S277" s="4" t="str">
        <f>IF(Table1[[#This Row],[Margin]]&lt;Table1[[#This Row],[Target Margin]], "Yes", "")</f>
        <v>Yes</v>
      </c>
    </row>
    <row r="278" spans="1:19">
      <c r="A278" t="s">
        <v>323</v>
      </c>
      <c r="B278" s="2">
        <v>46244</v>
      </c>
      <c r="C278" t="s">
        <v>23</v>
      </c>
      <c r="D278" t="s">
        <v>50</v>
      </c>
      <c r="E278">
        <v>1</v>
      </c>
      <c r="F278" t="str">
        <f>_xlfn.XLOOKUP(D278, Products!$A$2:$A$21, Products!$B$2:$B$21, "Not Found")</f>
        <v>Smartphone 128GB</v>
      </c>
      <c r="G278" t="str">
        <f>_xlfn.XLOOKUP(D278, Products!$A$2:$A$21, Products!$C$2:$C$21,"not found")</f>
        <v>Phones</v>
      </c>
      <c r="H278" s="4">
        <f>_xlfn.XLOOKUP(D278, Products!$A$2:$A$21, Products!$E$2:$E$21, 0)</f>
        <v>1099</v>
      </c>
      <c r="I278" s="4">
        <f>_xlfn.XLOOKUP(D278, Products!$A$2:$A$21, Products!$F$2:$F$21,0)</f>
        <v>860</v>
      </c>
      <c r="J278" t="str">
        <f>_xlfn.XLOOKUP(C278, Stores!$A$2:$A$7, Stores!$D$2:$D$7)</f>
        <v>Sydney East</v>
      </c>
      <c r="K278" s="4">
        <f t="shared" si="8"/>
        <v>1099</v>
      </c>
      <c r="L278" s="4">
        <f t="shared" si="9"/>
        <v>239</v>
      </c>
      <c r="M278" s="10">
        <f>IF(Table1[[#This Row],[Revenue]]=0, "", Table1[[#This Row],[Profit]]/Table1[[#This Row],[Revenue]])</f>
        <v>0.21747042766151045</v>
      </c>
      <c r="N278" s="4" t="str">
        <f>IF(Table1[[#This Row],[Margin]]="", "check", IF(Table1[[#This Row],[Margin]]&lt;0.2, "Low", "OK"))</f>
        <v>OK</v>
      </c>
      <c r="O278" s="4" t="str" cm="1">
        <f t="array" ref="O278">_xlfn.IFS(Table1[[#This Row],[Revenue]]=0, "Check", Table1[[#This Row],[Revenue]]&gt;=1000, "Large", Table1[[#This Row],[Revenue]]&gt;=200, "Medium", TRUE, "Small")</f>
        <v>Large</v>
      </c>
      <c r="P278" s="4" t="str">
        <f>IF(AND(Table1[[#This Row],[Margin Flag]]="Low", Table1[[#This Row],[Revenue]]&gt;1000), "Review", "")</f>
        <v/>
      </c>
      <c r="Q278" s="4" t="str">
        <f>IF(OR(Table1[[#This Row],[Qty]]&gt;=5,Table1[[#This Row],[Order Size]] = "Large" ), "Bulk", "")</f>
        <v>Bulk</v>
      </c>
      <c r="R278" s="10">
        <f>_xlfn.XLOOKUP(G278, Lookup!$A$2:$A$7, Lookup!$B$2:$B$7, "")</f>
        <v>0.25</v>
      </c>
      <c r="S278" s="4" t="str">
        <f>IF(Table1[[#This Row],[Margin]]&lt;Table1[[#This Row],[Target Margin]], "Yes", "")</f>
        <v>Yes</v>
      </c>
    </row>
    <row r="279" spans="1:19">
      <c r="A279" t="s">
        <v>324</v>
      </c>
      <c r="B279" s="2">
        <v>46245</v>
      </c>
      <c r="C279" t="s">
        <v>23</v>
      </c>
      <c r="D279" t="s">
        <v>35</v>
      </c>
      <c r="E279">
        <v>1</v>
      </c>
      <c r="F279" t="str">
        <f>_xlfn.XLOOKUP(D279, Products!$A$2:$A$21, Products!$B$2:$B$21, "Not Found")</f>
        <v>Phone Case</v>
      </c>
      <c r="G279" t="str">
        <f>_xlfn.XLOOKUP(D279, Products!$A$2:$A$21, Products!$C$2:$C$21,"not found")</f>
        <v>Accessories</v>
      </c>
      <c r="H279" s="4">
        <f>_xlfn.XLOOKUP(D279, Products!$A$2:$A$21, Products!$E$2:$E$21, 0)</f>
        <v>39</v>
      </c>
      <c r="I279" s="4">
        <f>_xlfn.XLOOKUP(D279, Products!$A$2:$A$21, Products!$F$2:$F$21,0)</f>
        <v>9</v>
      </c>
      <c r="J279" t="str">
        <f>_xlfn.XLOOKUP(C279, Stores!$A$2:$A$7, Stores!$D$2:$D$7)</f>
        <v>Sydney East</v>
      </c>
      <c r="K279" s="4">
        <f t="shared" si="8"/>
        <v>39</v>
      </c>
      <c r="L279" s="4">
        <f t="shared" si="9"/>
        <v>30</v>
      </c>
      <c r="M279" s="10">
        <f>IF(Table1[[#This Row],[Revenue]]=0, "", Table1[[#This Row],[Profit]]/Table1[[#This Row],[Revenue]])</f>
        <v>0.76923076923076927</v>
      </c>
      <c r="N279" s="4" t="str">
        <f>IF(Table1[[#This Row],[Margin]]="", "check", IF(Table1[[#This Row],[Margin]]&lt;0.2, "Low", "OK"))</f>
        <v>OK</v>
      </c>
      <c r="O279" s="4" t="str" cm="1">
        <f t="array" ref="O279">_xlfn.IFS(Table1[[#This Row],[Revenue]]=0, "Check", Table1[[#This Row],[Revenue]]&gt;=1000, "Large", Table1[[#This Row],[Revenue]]&gt;=200, "Medium", TRUE, "Small")</f>
        <v>Small</v>
      </c>
      <c r="P279" s="4" t="str">
        <f>IF(AND(Table1[[#This Row],[Margin Flag]]="Low", Table1[[#This Row],[Revenue]]&gt;1000), "Review", "")</f>
        <v/>
      </c>
      <c r="Q279" s="4" t="str">
        <f>IF(OR(Table1[[#This Row],[Qty]]&gt;=5,Table1[[#This Row],[Order Size]] = "Large" ), "Bulk", "")</f>
        <v/>
      </c>
      <c r="R279" s="10">
        <f>_xlfn.XLOOKUP(G279, Lookup!$A$2:$A$7, Lookup!$B$2:$B$7, "")</f>
        <v>0.25</v>
      </c>
      <c r="S279" s="4" t="str">
        <f>IF(Table1[[#This Row],[Margin]]&lt;Table1[[#This Row],[Target Margin]], "Yes", "")</f>
        <v/>
      </c>
    </row>
    <row r="280" spans="1:19">
      <c r="A280" t="s">
        <v>325</v>
      </c>
      <c r="B280" s="2">
        <v>46245</v>
      </c>
      <c r="C280" t="s">
        <v>57</v>
      </c>
      <c r="D280" t="s">
        <v>43</v>
      </c>
      <c r="E280">
        <v>1</v>
      </c>
      <c r="F280" t="str">
        <f>_xlfn.XLOOKUP(D280, Products!$A$2:$A$21, Products!$B$2:$B$21, "Not Found")</f>
        <v>Console Controller</v>
      </c>
      <c r="G280" t="str">
        <f>_xlfn.XLOOKUP(D280, Products!$A$2:$A$21, Products!$C$2:$C$21,"not found")</f>
        <v>Gaming</v>
      </c>
      <c r="H280" s="4">
        <f>_xlfn.XLOOKUP(D280, Products!$A$2:$A$21, Products!$E$2:$E$21, 0)</f>
        <v>99</v>
      </c>
      <c r="I280" s="4">
        <f>_xlfn.XLOOKUP(D280, Products!$A$2:$A$21, Products!$F$2:$F$21,0)</f>
        <v>58</v>
      </c>
      <c r="J280" t="str">
        <f>_xlfn.XLOOKUP(C280, Stores!$A$2:$A$7, Stores!$D$2:$D$7)</f>
        <v>Sydney South</v>
      </c>
      <c r="K280" s="4">
        <f t="shared" si="8"/>
        <v>99</v>
      </c>
      <c r="L280" s="4">
        <f t="shared" si="9"/>
        <v>41</v>
      </c>
      <c r="M280" s="10">
        <f>IF(Table1[[#This Row],[Revenue]]=0, "", Table1[[#This Row],[Profit]]/Table1[[#This Row],[Revenue]])</f>
        <v>0.41414141414141414</v>
      </c>
      <c r="N280" s="4" t="str">
        <f>IF(Table1[[#This Row],[Margin]]="", "check", IF(Table1[[#This Row],[Margin]]&lt;0.2, "Low", "OK"))</f>
        <v>OK</v>
      </c>
      <c r="O280" s="4" t="str" cm="1">
        <f t="array" ref="O280">_xlfn.IFS(Table1[[#This Row],[Revenue]]=0, "Check", Table1[[#This Row],[Revenue]]&gt;=1000, "Large", Table1[[#This Row],[Revenue]]&gt;=200, "Medium", TRUE, "Small")</f>
        <v>Small</v>
      </c>
      <c r="P280" s="4" t="str">
        <f>IF(AND(Table1[[#This Row],[Margin Flag]]="Low", Table1[[#This Row],[Revenue]]&gt;1000), "Review", "")</f>
        <v/>
      </c>
      <c r="Q280" s="4" t="str">
        <f>IF(OR(Table1[[#This Row],[Qty]]&gt;=5,Table1[[#This Row],[Order Size]] = "Large" ), "Bulk", "")</f>
        <v/>
      </c>
      <c r="R280" s="10">
        <f>_xlfn.XLOOKUP(G280, Lookup!$A$2:$A$7, Lookup!$B$2:$B$7, "")</f>
        <v>0.08</v>
      </c>
      <c r="S280" s="4" t="str">
        <f>IF(Table1[[#This Row],[Margin]]&lt;Table1[[#This Row],[Target Margin]], "Yes", "")</f>
        <v/>
      </c>
    </row>
    <row r="281" spans="1:19">
      <c r="A281" t="s">
        <v>326</v>
      </c>
      <c r="B281" s="2">
        <v>46245</v>
      </c>
      <c r="C281" t="s">
        <v>20</v>
      </c>
      <c r="D281" t="s">
        <v>21</v>
      </c>
      <c r="E281">
        <v>1</v>
      </c>
      <c r="F281" t="str">
        <f>_xlfn.XLOOKUP(D281, Products!$A$2:$A$21, Products!$B$2:$B$21, "Not Found")</f>
        <v>Gaming Mouse</v>
      </c>
      <c r="G281" t="str">
        <f>_xlfn.XLOOKUP(D281, Products!$A$2:$A$21, Products!$C$2:$C$21,"not found")</f>
        <v>Accessories</v>
      </c>
      <c r="H281" s="4">
        <f>_xlfn.XLOOKUP(D281, Products!$A$2:$A$21, Products!$E$2:$E$21, 0)</f>
        <v>89</v>
      </c>
      <c r="I281" s="4">
        <f>_xlfn.XLOOKUP(D281, Products!$A$2:$A$21, Products!$F$2:$F$21,0)</f>
        <v>41</v>
      </c>
      <c r="J281" t="str">
        <f>_xlfn.XLOOKUP(C281, Stores!$A$2:$A$7, Stores!$D$2:$D$7)</f>
        <v>Sydney West</v>
      </c>
      <c r="K281" s="4">
        <f t="shared" si="8"/>
        <v>89</v>
      </c>
      <c r="L281" s="4">
        <f t="shared" si="9"/>
        <v>48</v>
      </c>
      <c r="M281" s="10">
        <f>IF(Table1[[#This Row],[Revenue]]=0, "", Table1[[#This Row],[Profit]]/Table1[[#This Row],[Revenue]])</f>
        <v>0.5393258426966292</v>
      </c>
      <c r="N281" s="4" t="str">
        <f>IF(Table1[[#This Row],[Margin]]="", "check", IF(Table1[[#This Row],[Margin]]&lt;0.2, "Low", "OK"))</f>
        <v>OK</v>
      </c>
      <c r="O281" s="4" t="str" cm="1">
        <f t="array" ref="O281">_xlfn.IFS(Table1[[#This Row],[Revenue]]=0, "Check", Table1[[#This Row],[Revenue]]&gt;=1000, "Large", Table1[[#This Row],[Revenue]]&gt;=200, "Medium", TRUE, "Small")</f>
        <v>Small</v>
      </c>
      <c r="P281" s="4" t="str">
        <f>IF(AND(Table1[[#This Row],[Margin Flag]]="Low", Table1[[#This Row],[Revenue]]&gt;1000), "Review", "")</f>
        <v/>
      </c>
      <c r="Q281" s="4" t="str">
        <f>IF(OR(Table1[[#This Row],[Qty]]&gt;=5,Table1[[#This Row],[Order Size]] = "Large" ), "Bulk", "")</f>
        <v/>
      </c>
      <c r="R281" s="10">
        <f>_xlfn.XLOOKUP(G281, Lookup!$A$2:$A$7, Lookup!$B$2:$B$7, "")</f>
        <v>0.25</v>
      </c>
      <c r="S281" s="4" t="str">
        <f>IF(Table1[[#This Row],[Margin]]&lt;Table1[[#This Row],[Target Margin]], "Yes", "")</f>
        <v/>
      </c>
    </row>
    <row r="282" spans="1:19">
      <c r="A282" t="s">
        <v>327</v>
      </c>
      <c r="B282" s="2">
        <v>46245</v>
      </c>
      <c r="C282" t="s">
        <v>23</v>
      </c>
      <c r="D282" t="s">
        <v>35</v>
      </c>
      <c r="E282">
        <v>1</v>
      </c>
      <c r="F282" t="str">
        <f>_xlfn.XLOOKUP(D282, Products!$A$2:$A$21, Products!$B$2:$B$21, "Not Found")</f>
        <v>Phone Case</v>
      </c>
      <c r="G282" t="str">
        <f>_xlfn.XLOOKUP(D282, Products!$A$2:$A$21, Products!$C$2:$C$21,"not found")</f>
        <v>Accessories</v>
      </c>
      <c r="H282" s="4">
        <f>_xlfn.XLOOKUP(D282, Products!$A$2:$A$21, Products!$E$2:$E$21, 0)</f>
        <v>39</v>
      </c>
      <c r="I282" s="4">
        <f>_xlfn.XLOOKUP(D282, Products!$A$2:$A$21, Products!$F$2:$F$21,0)</f>
        <v>9</v>
      </c>
      <c r="J282" t="str">
        <f>_xlfn.XLOOKUP(C282, Stores!$A$2:$A$7, Stores!$D$2:$D$7)</f>
        <v>Sydney East</v>
      </c>
      <c r="K282" s="4">
        <f t="shared" si="8"/>
        <v>39</v>
      </c>
      <c r="L282" s="4">
        <f t="shared" si="9"/>
        <v>30</v>
      </c>
      <c r="M282" s="10">
        <f>IF(Table1[[#This Row],[Revenue]]=0, "", Table1[[#This Row],[Profit]]/Table1[[#This Row],[Revenue]])</f>
        <v>0.76923076923076927</v>
      </c>
      <c r="N282" s="4" t="str">
        <f>IF(Table1[[#This Row],[Margin]]="", "check", IF(Table1[[#This Row],[Margin]]&lt;0.2, "Low", "OK"))</f>
        <v>OK</v>
      </c>
      <c r="O282" s="4" t="str" cm="1">
        <f t="array" ref="O282">_xlfn.IFS(Table1[[#This Row],[Revenue]]=0, "Check", Table1[[#This Row],[Revenue]]&gt;=1000, "Large", Table1[[#This Row],[Revenue]]&gt;=200, "Medium", TRUE, "Small")</f>
        <v>Small</v>
      </c>
      <c r="P282" s="4" t="str">
        <f>IF(AND(Table1[[#This Row],[Margin Flag]]="Low", Table1[[#This Row],[Revenue]]&gt;1000), "Review", "")</f>
        <v/>
      </c>
      <c r="Q282" s="4" t="str">
        <f>IF(OR(Table1[[#This Row],[Qty]]&gt;=5,Table1[[#This Row],[Order Size]] = "Large" ), "Bulk", "")</f>
        <v/>
      </c>
      <c r="R282" s="10">
        <f>_xlfn.XLOOKUP(G282, Lookup!$A$2:$A$7, Lookup!$B$2:$B$7, "")</f>
        <v>0.25</v>
      </c>
      <c r="S282" s="4" t="str">
        <f>IF(Table1[[#This Row],[Margin]]&lt;Table1[[#This Row],[Target Margin]], "Yes", "")</f>
        <v/>
      </c>
    </row>
    <row r="283" spans="1:19">
      <c r="A283" t="s">
        <v>328</v>
      </c>
      <c r="B283" s="2">
        <v>46245</v>
      </c>
      <c r="C283" t="s">
        <v>29</v>
      </c>
      <c r="D283" t="s">
        <v>21</v>
      </c>
      <c r="E283">
        <v>2</v>
      </c>
      <c r="F283" t="str">
        <f>_xlfn.XLOOKUP(D283, Products!$A$2:$A$21, Products!$B$2:$B$21, "Not Found")</f>
        <v>Gaming Mouse</v>
      </c>
      <c r="G283" t="str">
        <f>_xlfn.XLOOKUP(D283, Products!$A$2:$A$21, Products!$C$2:$C$21,"not found")</f>
        <v>Accessories</v>
      </c>
      <c r="H283" s="4">
        <f>_xlfn.XLOOKUP(D283, Products!$A$2:$A$21, Products!$E$2:$E$21, 0)</f>
        <v>89</v>
      </c>
      <c r="I283" s="4">
        <f>_xlfn.XLOOKUP(D283, Products!$A$2:$A$21, Products!$F$2:$F$21,0)</f>
        <v>41</v>
      </c>
      <c r="J283" t="str">
        <f>_xlfn.XLOOKUP(C283, Stores!$A$2:$A$7, Stores!$D$2:$D$7)</f>
        <v>Sydney West</v>
      </c>
      <c r="K283" s="4">
        <f t="shared" si="8"/>
        <v>178</v>
      </c>
      <c r="L283" s="4">
        <f t="shared" si="9"/>
        <v>96</v>
      </c>
      <c r="M283" s="10">
        <f>IF(Table1[[#This Row],[Revenue]]=0, "", Table1[[#This Row],[Profit]]/Table1[[#This Row],[Revenue]])</f>
        <v>0.5393258426966292</v>
      </c>
      <c r="N283" s="4" t="str">
        <f>IF(Table1[[#This Row],[Margin]]="", "check", IF(Table1[[#This Row],[Margin]]&lt;0.2, "Low", "OK"))</f>
        <v>OK</v>
      </c>
      <c r="O283" s="4" t="str" cm="1">
        <f t="array" ref="O283">_xlfn.IFS(Table1[[#This Row],[Revenue]]=0, "Check", Table1[[#This Row],[Revenue]]&gt;=1000, "Large", Table1[[#This Row],[Revenue]]&gt;=200, "Medium", TRUE, "Small")</f>
        <v>Small</v>
      </c>
      <c r="P283" s="4" t="str">
        <f>IF(AND(Table1[[#This Row],[Margin Flag]]="Low", Table1[[#This Row],[Revenue]]&gt;1000), "Review", "")</f>
        <v/>
      </c>
      <c r="Q283" s="4" t="str">
        <f>IF(OR(Table1[[#This Row],[Qty]]&gt;=5,Table1[[#This Row],[Order Size]] = "Large" ), "Bulk", "")</f>
        <v/>
      </c>
      <c r="R283" s="10">
        <f>_xlfn.XLOOKUP(G283, Lookup!$A$2:$A$7, Lookup!$B$2:$B$7, "")</f>
        <v>0.25</v>
      </c>
      <c r="S283" s="4" t="str">
        <f>IF(Table1[[#This Row],[Margin]]&lt;Table1[[#This Row],[Target Margin]], "Yes", "")</f>
        <v/>
      </c>
    </row>
    <row r="284" spans="1:19">
      <c r="A284" t="s">
        <v>329</v>
      </c>
      <c r="B284" s="2">
        <v>46245</v>
      </c>
      <c r="C284" t="s">
        <v>26</v>
      </c>
      <c r="D284" t="s">
        <v>80</v>
      </c>
      <c r="E284">
        <v>4</v>
      </c>
      <c r="F284" t="str">
        <f>_xlfn.XLOOKUP(D284, Products!$A$2:$A$21, Products!$B$2:$B$21, "Not Found")</f>
        <v>Over-Ear Headphones</v>
      </c>
      <c r="G284" t="str">
        <f>_xlfn.XLOOKUP(D284, Products!$A$2:$A$21, Products!$C$2:$C$21,"not found")</f>
        <v>Audio</v>
      </c>
      <c r="H284" s="4">
        <f>_xlfn.XLOOKUP(D284, Products!$A$2:$A$21, Products!$E$2:$E$21, 0)</f>
        <v>499</v>
      </c>
      <c r="I284" s="4">
        <f>_xlfn.XLOOKUP(D284, Products!$A$2:$A$21, Products!$F$2:$F$21,0)</f>
        <v>310</v>
      </c>
      <c r="J284" t="str">
        <f>_xlfn.XLOOKUP(C284, Stores!$A$2:$A$7, Stores!$D$2:$D$7)</f>
        <v>Sydney North</v>
      </c>
      <c r="K284" s="4">
        <f t="shared" si="8"/>
        <v>1996</v>
      </c>
      <c r="L284" s="4">
        <f t="shared" si="9"/>
        <v>756</v>
      </c>
      <c r="M284" s="10">
        <f>IF(Table1[[#This Row],[Revenue]]=0, "", Table1[[#This Row],[Profit]]/Table1[[#This Row],[Revenue]])</f>
        <v>0.37875751503006011</v>
      </c>
      <c r="N284" s="4" t="str">
        <f>IF(Table1[[#This Row],[Margin]]="", "check", IF(Table1[[#This Row],[Margin]]&lt;0.2, "Low", "OK"))</f>
        <v>OK</v>
      </c>
      <c r="O284" s="4" t="str" cm="1">
        <f t="array" ref="O284">_xlfn.IFS(Table1[[#This Row],[Revenue]]=0, "Check", Table1[[#This Row],[Revenue]]&gt;=1000, "Large", Table1[[#This Row],[Revenue]]&gt;=200, "Medium", TRUE, "Small")</f>
        <v>Large</v>
      </c>
      <c r="P284" s="4" t="str">
        <f>IF(AND(Table1[[#This Row],[Margin Flag]]="Low", Table1[[#This Row],[Revenue]]&gt;1000), "Review", "")</f>
        <v/>
      </c>
      <c r="Q284" s="4" t="str">
        <f>IF(OR(Table1[[#This Row],[Qty]]&gt;=5,Table1[[#This Row],[Order Size]] = "Large" ), "Bulk", "")</f>
        <v>Bulk</v>
      </c>
      <c r="R284" s="10">
        <f>_xlfn.XLOOKUP(G284, Lookup!$A$2:$A$7, Lookup!$B$2:$B$7, "")</f>
        <v>0.25</v>
      </c>
      <c r="S284" s="4" t="str">
        <f>IF(Table1[[#This Row],[Margin]]&lt;Table1[[#This Row],[Target Margin]], "Yes", "")</f>
        <v/>
      </c>
    </row>
    <row r="285" spans="1:19">
      <c r="A285" t="s">
        <v>330</v>
      </c>
      <c r="B285" s="2">
        <v>46246</v>
      </c>
      <c r="C285" t="s">
        <v>57</v>
      </c>
      <c r="D285" t="s">
        <v>27</v>
      </c>
      <c r="E285">
        <v>1</v>
      </c>
      <c r="F285" t="str">
        <f>_xlfn.XLOOKUP(D285, Products!$A$2:$A$21, Products!$B$2:$B$21, "Not Found")</f>
        <v>Bluetooth Speaker</v>
      </c>
      <c r="G285" t="str">
        <f>_xlfn.XLOOKUP(D285, Products!$A$2:$A$21, Products!$C$2:$C$21,"not found")</f>
        <v>Audio</v>
      </c>
      <c r="H285" s="4">
        <f>_xlfn.XLOOKUP(D285, Products!$A$2:$A$21, Products!$E$2:$E$21, 0)</f>
        <v>179</v>
      </c>
      <c r="I285" s="4">
        <f>_xlfn.XLOOKUP(D285, Products!$A$2:$A$21, Products!$F$2:$F$21,0)</f>
        <v>95</v>
      </c>
      <c r="J285" t="str">
        <f>_xlfn.XLOOKUP(C285, Stores!$A$2:$A$7, Stores!$D$2:$D$7)</f>
        <v>Sydney South</v>
      </c>
      <c r="K285" s="4">
        <f t="shared" si="8"/>
        <v>179</v>
      </c>
      <c r="L285" s="4">
        <f t="shared" si="9"/>
        <v>84</v>
      </c>
      <c r="M285" s="10">
        <f>IF(Table1[[#This Row],[Revenue]]=0, "", Table1[[#This Row],[Profit]]/Table1[[#This Row],[Revenue]])</f>
        <v>0.46927374301675978</v>
      </c>
      <c r="N285" s="4" t="str">
        <f>IF(Table1[[#This Row],[Margin]]="", "check", IF(Table1[[#This Row],[Margin]]&lt;0.2, "Low", "OK"))</f>
        <v>OK</v>
      </c>
      <c r="O285" s="4" t="str" cm="1">
        <f t="array" ref="O285">_xlfn.IFS(Table1[[#This Row],[Revenue]]=0, "Check", Table1[[#This Row],[Revenue]]&gt;=1000, "Large", Table1[[#This Row],[Revenue]]&gt;=200, "Medium", TRUE, "Small")</f>
        <v>Small</v>
      </c>
      <c r="P285" s="4" t="str">
        <f>IF(AND(Table1[[#This Row],[Margin Flag]]="Low", Table1[[#This Row],[Revenue]]&gt;1000), "Review", "")</f>
        <v/>
      </c>
      <c r="Q285" s="4" t="str">
        <f>IF(OR(Table1[[#This Row],[Qty]]&gt;=5,Table1[[#This Row],[Order Size]] = "Large" ), "Bulk", "")</f>
        <v/>
      </c>
      <c r="R285" s="10">
        <f>_xlfn.XLOOKUP(G285, Lookup!$A$2:$A$7, Lookup!$B$2:$B$7, "")</f>
        <v>0.25</v>
      </c>
      <c r="S285" s="4" t="str">
        <f>IF(Table1[[#This Row],[Margin]]&lt;Table1[[#This Row],[Target Margin]], "Yes", "")</f>
        <v/>
      </c>
    </row>
    <row r="286" spans="1:19">
      <c r="A286" t="s">
        <v>331</v>
      </c>
      <c r="B286" s="2">
        <v>46246</v>
      </c>
      <c r="C286" t="s">
        <v>57</v>
      </c>
      <c r="D286" t="s">
        <v>27</v>
      </c>
      <c r="E286">
        <v>1</v>
      </c>
      <c r="F286" t="str">
        <f>_xlfn.XLOOKUP(D286, Products!$A$2:$A$21, Products!$B$2:$B$21, "Not Found")</f>
        <v>Bluetooth Speaker</v>
      </c>
      <c r="G286" t="str">
        <f>_xlfn.XLOOKUP(D286, Products!$A$2:$A$21, Products!$C$2:$C$21,"not found")</f>
        <v>Audio</v>
      </c>
      <c r="H286" s="4">
        <f>_xlfn.XLOOKUP(D286, Products!$A$2:$A$21, Products!$E$2:$E$21, 0)</f>
        <v>179</v>
      </c>
      <c r="I286" s="4">
        <f>_xlfn.XLOOKUP(D286, Products!$A$2:$A$21, Products!$F$2:$F$21,0)</f>
        <v>95</v>
      </c>
      <c r="J286" t="str">
        <f>_xlfn.XLOOKUP(C286, Stores!$A$2:$A$7, Stores!$D$2:$D$7)</f>
        <v>Sydney South</v>
      </c>
      <c r="K286" s="4">
        <f t="shared" si="8"/>
        <v>179</v>
      </c>
      <c r="L286" s="4">
        <f t="shared" si="9"/>
        <v>84</v>
      </c>
      <c r="M286" s="10">
        <f>IF(Table1[[#This Row],[Revenue]]=0, "", Table1[[#This Row],[Profit]]/Table1[[#This Row],[Revenue]])</f>
        <v>0.46927374301675978</v>
      </c>
      <c r="N286" s="4" t="str">
        <f>IF(Table1[[#This Row],[Margin]]="", "check", IF(Table1[[#This Row],[Margin]]&lt;0.2, "Low", "OK"))</f>
        <v>OK</v>
      </c>
      <c r="O286" s="4" t="str" cm="1">
        <f t="array" ref="O286">_xlfn.IFS(Table1[[#This Row],[Revenue]]=0, "Check", Table1[[#This Row],[Revenue]]&gt;=1000, "Large", Table1[[#This Row],[Revenue]]&gt;=200, "Medium", TRUE, "Small")</f>
        <v>Small</v>
      </c>
      <c r="P286" s="4" t="str">
        <f>IF(AND(Table1[[#This Row],[Margin Flag]]="Low", Table1[[#This Row],[Revenue]]&gt;1000), "Review", "")</f>
        <v/>
      </c>
      <c r="Q286" s="4" t="str">
        <f>IF(OR(Table1[[#This Row],[Qty]]&gt;=5,Table1[[#This Row],[Order Size]] = "Large" ), "Bulk", "")</f>
        <v/>
      </c>
      <c r="R286" s="10">
        <f>_xlfn.XLOOKUP(G286, Lookup!$A$2:$A$7, Lookup!$B$2:$B$7, "")</f>
        <v>0.25</v>
      </c>
      <c r="S286" s="4" t="str">
        <f>IF(Table1[[#This Row],[Margin]]&lt;Table1[[#This Row],[Target Margin]], "Yes", "")</f>
        <v/>
      </c>
    </row>
    <row r="287" spans="1:19">
      <c r="A287" t="s">
        <v>332</v>
      </c>
      <c r="B287" s="2">
        <v>46246</v>
      </c>
      <c r="C287" t="s">
        <v>23</v>
      </c>
      <c r="D287" t="s">
        <v>69</v>
      </c>
      <c r="E287">
        <v>1</v>
      </c>
      <c r="F287" t="str">
        <f>_xlfn.XLOOKUP(D287, Products!$A$2:$A$21, Products!$B$2:$B$21, "Not Found")</f>
        <v>27in Monitor</v>
      </c>
      <c r="G287" t="str">
        <f>_xlfn.XLOOKUP(D287, Products!$A$2:$A$21, Products!$C$2:$C$21,"not found")</f>
        <v>Computers</v>
      </c>
      <c r="H287" s="4">
        <f>_xlfn.XLOOKUP(D287, Products!$A$2:$A$21, Products!$E$2:$E$21, 0)</f>
        <v>399</v>
      </c>
      <c r="I287" s="4">
        <f>_xlfn.XLOOKUP(D287, Products!$A$2:$A$21, Products!$F$2:$F$21,0)</f>
        <v>290</v>
      </c>
      <c r="J287" t="str">
        <f>_xlfn.XLOOKUP(C287, Stores!$A$2:$A$7, Stores!$D$2:$D$7)</f>
        <v>Sydney East</v>
      </c>
      <c r="K287" s="4">
        <f t="shared" si="8"/>
        <v>399</v>
      </c>
      <c r="L287" s="4">
        <f t="shared" si="9"/>
        <v>109</v>
      </c>
      <c r="M287" s="10">
        <f>IF(Table1[[#This Row],[Revenue]]=0, "", Table1[[#This Row],[Profit]]/Table1[[#This Row],[Revenue]])</f>
        <v>0.27318295739348369</v>
      </c>
      <c r="N287" s="4" t="str">
        <f>IF(Table1[[#This Row],[Margin]]="", "check", IF(Table1[[#This Row],[Margin]]&lt;0.2, "Low", "OK"))</f>
        <v>OK</v>
      </c>
      <c r="O287" s="4" t="str" cm="1">
        <f t="array" ref="O287">_xlfn.IFS(Table1[[#This Row],[Revenue]]=0, "Check", Table1[[#This Row],[Revenue]]&gt;=1000, "Large", Table1[[#This Row],[Revenue]]&gt;=200, "Medium", TRUE, "Small")</f>
        <v>Medium</v>
      </c>
      <c r="P287" s="4" t="str">
        <f>IF(AND(Table1[[#This Row],[Margin Flag]]="Low", Table1[[#This Row],[Revenue]]&gt;1000), "Review", "")</f>
        <v/>
      </c>
      <c r="Q287" s="4" t="str">
        <f>IF(OR(Table1[[#This Row],[Qty]]&gt;=5,Table1[[#This Row],[Order Size]] = "Large" ), "Bulk", "")</f>
        <v/>
      </c>
      <c r="R287" s="10">
        <f>_xlfn.XLOOKUP(G287, Lookup!$A$2:$A$7, Lookup!$B$2:$B$7, "")</f>
        <v>0.25</v>
      </c>
      <c r="S287" s="4" t="str">
        <f>IF(Table1[[#This Row],[Margin]]&lt;Table1[[#This Row],[Target Margin]], "Yes", "")</f>
        <v/>
      </c>
    </row>
    <row r="288" spans="1:19">
      <c r="A288" t="s">
        <v>333</v>
      </c>
      <c r="B288" s="2">
        <v>46246</v>
      </c>
      <c r="C288" t="s">
        <v>32</v>
      </c>
      <c r="D288" t="s">
        <v>24</v>
      </c>
      <c r="E288">
        <v>1</v>
      </c>
      <c r="F288" t="str">
        <f>_xlfn.XLOOKUP(D288, Products!$A$2:$A$21, Products!$B$2:$B$21, "Not Found")</f>
        <v>Wireless Earbuds</v>
      </c>
      <c r="G288" t="str">
        <f>_xlfn.XLOOKUP(D288, Products!$A$2:$A$21, Products!$C$2:$C$21,"not found")</f>
        <v>Audio</v>
      </c>
      <c r="H288" s="4">
        <f>_xlfn.XLOOKUP(D288, Products!$A$2:$A$21, Products!$E$2:$E$21, 0)</f>
        <v>249</v>
      </c>
      <c r="I288" s="4">
        <f>_xlfn.XLOOKUP(D288, Products!$A$2:$A$21, Products!$F$2:$F$21,0)</f>
        <v>140</v>
      </c>
      <c r="J288" t="str">
        <f>_xlfn.XLOOKUP(C288, Stores!$A$2:$A$7, Stores!$D$2:$D$7)</f>
        <v>Sydney South</v>
      </c>
      <c r="K288" s="4">
        <f t="shared" si="8"/>
        <v>249</v>
      </c>
      <c r="L288" s="4">
        <f t="shared" si="9"/>
        <v>109</v>
      </c>
      <c r="M288" s="10">
        <f>IF(Table1[[#This Row],[Revenue]]=0, "", Table1[[#This Row],[Profit]]/Table1[[#This Row],[Revenue]])</f>
        <v>0.43775100401606426</v>
      </c>
      <c r="N288" s="4" t="str">
        <f>IF(Table1[[#This Row],[Margin]]="", "check", IF(Table1[[#This Row],[Margin]]&lt;0.2, "Low", "OK"))</f>
        <v>OK</v>
      </c>
      <c r="O288" s="4" t="str" cm="1">
        <f t="array" ref="O288">_xlfn.IFS(Table1[[#This Row],[Revenue]]=0, "Check", Table1[[#This Row],[Revenue]]&gt;=1000, "Large", Table1[[#This Row],[Revenue]]&gt;=200, "Medium", TRUE, "Small")</f>
        <v>Medium</v>
      </c>
      <c r="P288" s="4" t="str">
        <f>IF(AND(Table1[[#This Row],[Margin Flag]]="Low", Table1[[#This Row],[Revenue]]&gt;1000), "Review", "")</f>
        <v/>
      </c>
      <c r="Q288" s="4" t="str">
        <f>IF(OR(Table1[[#This Row],[Qty]]&gt;=5,Table1[[#This Row],[Order Size]] = "Large" ), "Bulk", "")</f>
        <v/>
      </c>
      <c r="R288" s="10">
        <f>_xlfn.XLOOKUP(G288, Lookup!$A$2:$A$7, Lookup!$B$2:$B$7, "")</f>
        <v>0.25</v>
      </c>
      <c r="S288" s="4" t="str">
        <f>IF(Table1[[#This Row],[Margin]]&lt;Table1[[#This Row],[Target Margin]], "Yes", "")</f>
        <v/>
      </c>
    </row>
    <row r="289" spans="1:19">
      <c r="A289" t="s">
        <v>334</v>
      </c>
      <c r="B289" s="2">
        <v>46246</v>
      </c>
      <c r="C289" t="s">
        <v>29</v>
      </c>
      <c r="D289" t="s">
        <v>24</v>
      </c>
      <c r="E289">
        <v>1</v>
      </c>
      <c r="F289" t="str">
        <f>_xlfn.XLOOKUP(D289, Products!$A$2:$A$21, Products!$B$2:$B$21, "Not Found")</f>
        <v>Wireless Earbuds</v>
      </c>
      <c r="G289" t="str">
        <f>_xlfn.XLOOKUP(D289, Products!$A$2:$A$21, Products!$C$2:$C$21,"not found")</f>
        <v>Audio</v>
      </c>
      <c r="H289" s="4">
        <f>_xlfn.XLOOKUP(D289, Products!$A$2:$A$21, Products!$E$2:$E$21, 0)</f>
        <v>249</v>
      </c>
      <c r="I289" s="4">
        <f>_xlfn.XLOOKUP(D289, Products!$A$2:$A$21, Products!$F$2:$F$21,0)</f>
        <v>140</v>
      </c>
      <c r="J289" t="str">
        <f>_xlfn.XLOOKUP(C289, Stores!$A$2:$A$7, Stores!$D$2:$D$7)</f>
        <v>Sydney West</v>
      </c>
      <c r="K289" s="4">
        <f t="shared" si="8"/>
        <v>249</v>
      </c>
      <c r="L289" s="4">
        <f t="shared" si="9"/>
        <v>109</v>
      </c>
      <c r="M289" s="10">
        <f>IF(Table1[[#This Row],[Revenue]]=0, "", Table1[[#This Row],[Profit]]/Table1[[#This Row],[Revenue]])</f>
        <v>0.43775100401606426</v>
      </c>
      <c r="N289" s="4" t="str">
        <f>IF(Table1[[#This Row],[Margin]]="", "check", IF(Table1[[#This Row],[Margin]]&lt;0.2, "Low", "OK"))</f>
        <v>OK</v>
      </c>
      <c r="O289" s="4" t="str" cm="1">
        <f t="array" ref="O289">_xlfn.IFS(Table1[[#This Row],[Revenue]]=0, "Check", Table1[[#This Row],[Revenue]]&gt;=1000, "Large", Table1[[#This Row],[Revenue]]&gt;=200, "Medium", TRUE, "Small")</f>
        <v>Medium</v>
      </c>
      <c r="P289" s="4" t="str">
        <f>IF(AND(Table1[[#This Row],[Margin Flag]]="Low", Table1[[#This Row],[Revenue]]&gt;1000), "Review", "")</f>
        <v/>
      </c>
      <c r="Q289" s="4" t="str">
        <f>IF(OR(Table1[[#This Row],[Qty]]&gt;=5,Table1[[#This Row],[Order Size]] = "Large" ), "Bulk", "")</f>
        <v/>
      </c>
      <c r="R289" s="10">
        <f>_xlfn.XLOOKUP(G289, Lookup!$A$2:$A$7, Lookup!$B$2:$B$7, "")</f>
        <v>0.25</v>
      </c>
      <c r="S289" s="4" t="str">
        <f>IF(Table1[[#This Row],[Margin]]&lt;Table1[[#This Row],[Target Margin]], "Yes", "")</f>
        <v/>
      </c>
    </row>
    <row r="290" spans="1:19">
      <c r="A290" t="s">
        <v>335</v>
      </c>
      <c r="B290" s="2">
        <v>46247</v>
      </c>
      <c r="C290" t="s">
        <v>29</v>
      </c>
      <c r="D290" t="s">
        <v>38</v>
      </c>
      <c r="E290">
        <v>2</v>
      </c>
      <c r="F290" t="str">
        <f>_xlfn.XLOOKUP(D290, Products!$A$2:$A$21, Products!$B$2:$B$21, "Not Found")</f>
        <v>USB-C Charger</v>
      </c>
      <c r="G290" t="str">
        <f>_xlfn.XLOOKUP(D290, Products!$A$2:$A$21, Products!$C$2:$C$21,"not found")</f>
        <v>Accessories</v>
      </c>
      <c r="H290" s="4">
        <f>_xlfn.XLOOKUP(D290, Products!$A$2:$A$21, Products!$E$2:$E$21, 0)</f>
        <v>49</v>
      </c>
      <c r="I290" s="4">
        <f>_xlfn.XLOOKUP(D290, Products!$A$2:$A$21, Products!$F$2:$F$21,0)</f>
        <v>14</v>
      </c>
      <c r="J290" t="str">
        <f>_xlfn.XLOOKUP(C290, Stores!$A$2:$A$7, Stores!$D$2:$D$7)</f>
        <v>Sydney West</v>
      </c>
      <c r="K290" s="4">
        <f t="shared" si="8"/>
        <v>98</v>
      </c>
      <c r="L290" s="4">
        <f t="shared" si="9"/>
        <v>70</v>
      </c>
      <c r="M290" s="10">
        <f>IF(Table1[[#This Row],[Revenue]]=0, "", Table1[[#This Row],[Profit]]/Table1[[#This Row],[Revenue]])</f>
        <v>0.7142857142857143</v>
      </c>
      <c r="N290" s="4" t="str">
        <f>IF(Table1[[#This Row],[Margin]]="", "check", IF(Table1[[#This Row],[Margin]]&lt;0.2, "Low", "OK"))</f>
        <v>OK</v>
      </c>
      <c r="O290" s="4" t="str" cm="1">
        <f t="array" ref="O290">_xlfn.IFS(Table1[[#This Row],[Revenue]]=0, "Check", Table1[[#This Row],[Revenue]]&gt;=1000, "Large", Table1[[#This Row],[Revenue]]&gt;=200, "Medium", TRUE, "Small")</f>
        <v>Small</v>
      </c>
      <c r="P290" s="4" t="str">
        <f>IF(AND(Table1[[#This Row],[Margin Flag]]="Low", Table1[[#This Row],[Revenue]]&gt;1000), "Review", "")</f>
        <v/>
      </c>
      <c r="Q290" s="4" t="str">
        <f>IF(OR(Table1[[#This Row],[Qty]]&gt;=5,Table1[[#This Row],[Order Size]] = "Large" ), "Bulk", "")</f>
        <v/>
      </c>
      <c r="R290" s="10">
        <f>_xlfn.XLOOKUP(G290, Lookup!$A$2:$A$7, Lookup!$B$2:$B$7, "")</f>
        <v>0.25</v>
      </c>
      <c r="S290" s="4" t="str">
        <f>IF(Table1[[#This Row],[Margin]]&lt;Table1[[#This Row],[Target Margin]], "Yes", "")</f>
        <v/>
      </c>
    </row>
    <row r="291" spans="1:19">
      <c r="A291" t="s">
        <v>336</v>
      </c>
      <c r="B291" s="2">
        <v>46247</v>
      </c>
      <c r="C291" t="s">
        <v>29</v>
      </c>
      <c r="D291" t="s">
        <v>21</v>
      </c>
      <c r="E291">
        <v>1</v>
      </c>
      <c r="F291" t="str">
        <f>_xlfn.XLOOKUP(D291, Products!$A$2:$A$21, Products!$B$2:$B$21, "Not Found")</f>
        <v>Gaming Mouse</v>
      </c>
      <c r="G291" t="str">
        <f>_xlfn.XLOOKUP(D291, Products!$A$2:$A$21, Products!$C$2:$C$21,"not found")</f>
        <v>Accessories</v>
      </c>
      <c r="H291" s="4">
        <f>_xlfn.XLOOKUP(D291, Products!$A$2:$A$21, Products!$E$2:$E$21, 0)</f>
        <v>89</v>
      </c>
      <c r="I291" s="4">
        <f>_xlfn.XLOOKUP(D291, Products!$A$2:$A$21, Products!$F$2:$F$21,0)</f>
        <v>41</v>
      </c>
      <c r="J291" t="str">
        <f>_xlfn.XLOOKUP(C291, Stores!$A$2:$A$7, Stores!$D$2:$D$7)</f>
        <v>Sydney West</v>
      </c>
      <c r="K291" s="4">
        <f t="shared" si="8"/>
        <v>89</v>
      </c>
      <c r="L291" s="4">
        <f t="shared" si="9"/>
        <v>48</v>
      </c>
      <c r="M291" s="10">
        <f>IF(Table1[[#This Row],[Revenue]]=0, "", Table1[[#This Row],[Profit]]/Table1[[#This Row],[Revenue]])</f>
        <v>0.5393258426966292</v>
      </c>
      <c r="N291" s="4" t="str">
        <f>IF(Table1[[#This Row],[Margin]]="", "check", IF(Table1[[#This Row],[Margin]]&lt;0.2, "Low", "OK"))</f>
        <v>OK</v>
      </c>
      <c r="O291" s="4" t="str" cm="1">
        <f t="array" ref="O291">_xlfn.IFS(Table1[[#This Row],[Revenue]]=0, "Check", Table1[[#This Row],[Revenue]]&gt;=1000, "Large", Table1[[#This Row],[Revenue]]&gt;=200, "Medium", TRUE, "Small")</f>
        <v>Small</v>
      </c>
      <c r="P291" s="4" t="str">
        <f>IF(AND(Table1[[#This Row],[Margin Flag]]="Low", Table1[[#This Row],[Revenue]]&gt;1000), "Review", "")</f>
        <v/>
      </c>
      <c r="Q291" s="4" t="str">
        <f>IF(OR(Table1[[#This Row],[Qty]]&gt;=5,Table1[[#This Row],[Order Size]] = "Large" ), "Bulk", "")</f>
        <v/>
      </c>
      <c r="R291" s="10">
        <f>_xlfn.XLOOKUP(G291, Lookup!$A$2:$A$7, Lookup!$B$2:$B$7, "")</f>
        <v>0.25</v>
      </c>
      <c r="S291" s="4" t="str">
        <f>IF(Table1[[#This Row],[Margin]]&lt;Table1[[#This Row],[Target Margin]], "Yes", "")</f>
        <v/>
      </c>
    </row>
    <row r="292" spans="1:19">
      <c r="A292" t="s">
        <v>337</v>
      </c>
      <c r="B292" s="2">
        <v>46247</v>
      </c>
      <c r="C292" t="s">
        <v>26</v>
      </c>
      <c r="D292" t="s">
        <v>21</v>
      </c>
      <c r="E292">
        <v>1</v>
      </c>
      <c r="F292" t="str">
        <f>_xlfn.XLOOKUP(D292, Products!$A$2:$A$21, Products!$B$2:$B$21, "Not Found")</f>
        <v>Gaming Mouse</v>
      </c>
      <c r="G292" t="str">
        <f>_xlfn.XLOOKUP(D292, Products!$A$2:$A$21, Products!$C$2:$C$21,"not found")</f>
        <v>Accessories</v>
      </c>
      <c r="H292" s="4">
        <f>_xlfn.XLOOKUP(D292, Products!$A$2:$A$21, Products!$E$2:$E$21, 0)</f>
        <v>89</v>
      </c>
      <c r="I292" s="4">
        <f>_xlfn.XLOOKUP(D292, Products!$A$2:$A$21, Products!$F$2:$F$21,0)</f>
        <v>41</v>
      </c>
      <c r="J292" t="str">
        <f>_xlfn.XLOOKUP(C292, Stores!$A$2:$A$7, Stores!$D$2:$D$7)</f>
        <v>Sydney North</v>
      </c>
      <c r="K292" s="4">
        <f t="shared" si="8"/>
        <v>89</v>
      </c>
      <c r="L292" s="4">
        <f t="shared" si="9"/>
        <v>48</v>
      </c>
      <c r="M292" s="10">
        <f>IF(Table1[[#This Row],[Revenue]]=0, "", Table1[[#This Row],[Profit]]/Table1[[#This Row],[Revenue]])</f>
        <v>0.5393258426966292</v>
      </c>
      <c r="N292" s="4" t="str">
        <f>IF(Table1[[#This Row],[Margin]]="", "check", IF(Table1[[#This Row],[Margin]]&lt;0.2, "Low", "OK"))</f>
        <v>OK</v>
      </c>
      <c r="O292" s="4" t="str" cm="1">
        <f t="array" ref="O292">_xlfn.IFS(Table1[[#This Row],[Revenue]]=0, "Check", Table1[[#This Row],[Revenue]]&gt;=1000, "Large", Table1[[#This Row],[Revenue]]&gt;=200, "Medium", TRUE, "Small")</f>
        <v>Small</v>
      </c>
      <c r="P292" s="4" t="str">
        <f>IF(AND(Table1[[#This Row],[Margin Flag]]="Low", Table1[[#This Row],[Revenue]]&gt;1000), "Review", "")</f>
        <v/>
      </c>
      <c r="Q292" s="4" t="str">
        <f>IF(OR(Table1[[#This Row],[Qty]]&gt;=5,Table1[[#This Row],[Order Size]] = "Large" ), "Bulk", "")</f>
        <v/>
      </c>
      <c r="R292" s="10">
        <f>_xlfn.XLOOKUP(G292, Lookup!$A$2:$A$7, Lookup!$B$2:$B$7, "")</f>
        <v>0.25</v>
      </c>
      <c r="S292" s="4" t="str">
        <f>IF(Table1[[#This Row],[Margin]]&lt;Table1[[#This Row],[Target Margin]], "Yes", "")</f>
        <v/>
      </c>
    </row>
    <row r="293" spans="1:19">
      <c r="A293" t="s">
        <v>338</v>
      </c>
      <c r="B293" s="2">
        <v>46247</v>
      </c>
      <c r="C293" t="s">
        <v>23</v>
      </c>
      <c r="D293" t="s">
        <v>43</v>
      </c>
      <c r="E293">
        <v>1</v>
      </c>
      <c r="F293" t="str">
        <f>_xlfn.XLOOKUP(D293, Products!$A$2:$A$21, Products!$B$2:$B$21, "Not Found")</f>
        <v>Console Controller</v>
      </c>
      <c r="G293" t="str">
        <f>_xlfn.XLOOKUP(D293, Products!$A$2:$A$21, Products!$C$2:$C$21,"not found")</f>
        <v>Gaming</v>
      </c>
      <c r="H293" s="4">
        <f>_xlfn.XLOOKUP(D293, Products!$A$2:$A$21, Products!$E$2:$E$21, 0)</f>
        <v>99</v>
      </c>
      <c r="I293" s="4">
        <f>_xlfn.XLOOKUP(D293, Products!$A$2:$A$21, Products!$F$2:$F$21,0)</f>
        <v>58</v>
      </c>
      <c r="J293" t="str">
        <f>_xlfn.XLOOKUP(C293, Stores!$A$2:$A$7, Stores!$D$2:$D$7)</f>
        <v>Sydney East</v>
      </c>
      <c r="K293" s="4">
        <f t="shared" si="8"/>
        <v>99</v>
      </c>
      <c r="L293" s="4">
        <f t="shared" si="9"/>
        <v>41</v>
      </c>
      <c r="M293" s="10">
        <f>IF(Table1[[#This Row],[Revenue]]=0, "", Table1[[#This Row],[Profit]]/Table1[[#This Row],[Revenue]])</f>
        <v>0.41414141414141414</v>
      </c>
      <c r="N293" s="4" t="str">
        <f>IF(Table1[[#This Row],[Margin]]="", "check", IF(Table1[[#This Row],[Margin]]&lt;0.2, "Low", "OK"))</f>
        <v>OK</v>
      </c>
      <c r="O293" s="4" t="str" cm="1">
        <f t="array" ref="O293">_xlfn.IFS(Table1[[#This Row],[Revenue]]=0, "Check", Table1[[#This Row],[Revenue]]&gt;=1000, "Large", Table1[[#This Row],[Revenue]]&gt;=200, "Medium", TRUE, "Small")</f>
        <v>Small</v>
      </c>
      <c r="P293" s="4" t="str">
        <f>IF(AND(Table1[[#This Row],[Margin Flag]]="Low", Table1[[#This Row],[Revenue]]&gt;1000), "Review", "")</f>
        <v/>
      </c>
      <c r="Q293" s="4" t="str">
        <f>IF(OR(Table1[[#This Row],[Qty]]&gt;=5,Table1[[#This Row],[Order Size]] = "Large" ), "Bulk", "")</f>
        <v/>
      </c>
      <c r="R293" s="10">
        <f>_xlfn.XLOOKUP(G293, Lookup!$A$2:$A$7, Lookup!$B$2:$B$7, "")</f>
        <v>0.08</v>
      </c>
      <c r="S293" s="4" t="str">
        <f>IF(Table1[[#This Row],[Margin]]&lt;Table1[[#This Row],[Target Margin]], "Yes", "")</f>
        <v/>
      </c>
    </row>
    <row r="294" spans="1:19">
      <c r="A294" t="s">
        <v>339</v>
      </c>
      <c r="B294" s="2">
        <v>46248</v>
      </c>
      <c r="C294" t="s">
        <v>32</v>
      </c>
      <c r="D294" t="s">
        <v>35</v>
      </c>
      <c r="E294">
        <v>2</v>
      </c>
      <c r="F294" t="str">
        <f>_xlfn.XLOOKUP(D294, Products!$A$2:$A$21, Products!$B$2:$B$21, "Not Found")</f>
        <v>Phone Case</v>
      </c>
      <c r="G294" t="str">
        <f>_xlfn.XLOOKUP(D294, Products!$A$2:$A$21, Products!$C$2:$C$21,"not found")</f>
        <v>Accessories</v>
      </c>
      <c r="H294" s="4">
        <f>_xlfn.XLOOKUP(D294, Products!$A$2:$A$21, Products!$E$2:$E$21, 0)</f>
        <v>39</v>
      </c>
      <c r="I294" s="4">
        <f>_xlfn.XLOOKUP(D294, Products!$A$2:$A$21, Products!$F$2:$F$21,0)</f>
        <v>9</v>
      </c>
      <c r="J294" t="str">
        <f>_xlfn.XLOOKUP(C294, Stores!$A$2:$A$7, Stores!$D$2:$D$7)</f>
        <v>Sydney South</v>
      </c>
      <c r="K294" s="4">
        <f t="shared" si="8"/>
        <v>78</v>
      </c>
      <c r="L294" s="4">
        <f t="shared" si="9"/>
        <v>60</v>
      </c>
      <c r="M294" s="10">
        <f>IF(Table1[[#This Row],[Revenue]]=0, "", Table1[[#This Row],[Profit]]/Table1[[#This Row],[Revenue]])</f>
        <v>0.76923076923076927</v>
      </c>
      <c r="N294" s="4" t="str">
        <f>IF(Table1[[#This Row],[Margin]]="", "check", IF(Table1[[#This Row],[Margin]]&lt;0.2, "Low", "OK"))</f>
        <v>OK</v>
      </c>
      <c r="O294" s="4" t="str" cm="1">
        <f t="array" ref="O294">_xlfn.IFS(Table1[[#This Row],[Revenue]]=0, "Check", Table1[[#This Row],[Revenue]]&gt;=1000, "Large", Table1[[#This Row],[Revenue]]&gt;=200, "Medium", TRUE, "Small")</f>
        <v>Small</v>
      </c>
      <c r="P294" s="4" t="str">
        <f>IF(AND(Table1[[#This Row],[Margin Flag]]="Low", Table1[[#This Row],[Revenue]]&gt;1000), "Review", "")</f>
        <v/>
      </c>
      <c r="Q294" s="4" t="str">
        <f>IF(OR(Table1[[#This Row],[Qty]]&gt;=5,Table1[[#This Row],[Order Size]] = "Large" ), "Bulk", "")</f>
        <v/>
      </c>
      <c r="R294" s="10">
        <f>_xlfn.XLOOKUP(G294, Lookup!$A$2:$A$7, Lookup!$B$2:$B$7, "")</f>
        <v>0.25</v>
      </c>
      <c r="S294" s="4" t="str">
        <f>IF(Table1[[#This Row],[Margin]]&lt;Table1[[#This Row],[Target Margin]], "Yes", "")</f>
        <v/>
      </c>
    </row>
    <row r="295" spans="1:19" hidden="1">
      <c r="A295" t="s">
        <v>340</v>
      </c>
      <c r="B295" s="2">
        <v>46248</v>
      </c>
      <c r="C295" t="s">
        <v>23</v>
      </c>
      <c r="D295" t="s">
        <v>230</v>
      </c>
      <c r="E295">
        <v>1</v>
      </c>
      <c r="F295" t="str">
        <f>_xlfn.XLOOKUP(D295, Products!$A$2:$A$21, Products!$B$2:$B$21, "Not Found")</f>
        <v>Not Found</v>
      </c>
      <c r="G295" t="str">
        <f>_xlfn.XLOOKUP(D295, Products!$A$2:$A$21, Products!$C$2:$C$21,"not found")</f>
        <v>not found</v>
      </c>
      <c r="H295" s="4">
        <f>_xlfn.XLOOKUP(D295, Products!$A$2:$A$21, Products!$E$2:$E$21, 0)</f>
        <v>0</v>
      </c>
      <c r="I295" s="4">
        <f>_xlfn.XLOOKUP(D295, Products!$A$2:$A$21, Products!$F$2:$F$21,0)</f>
        <v>0</v>
      </c>
      <c r="J295" t="str">
        <f>_xlfn.XLOOKUP(C295, Stores!$A$2:$A$7, Stores!$D$2:$D$7)</f>
        <v>Sydney East</v>
      </c>
      <c r="K295" s="4">
        <f t="shared" si="8"/>
        <v>0</v>
      </c>
      <c r="L295" s="4">
        <f t="shared" si="9"/>
        <v>0</v>
      </c>
      <c r="M295" t="str">
        <f>IF(Table1[[#This Row],[Revenue]]=0, "", Table1[[#This Row],[Profit]]/Table1[[#This Row],[Revenue]])</f>
        <v/>
      </c>
      <c r="N295" s="4" t="str">
        <f>IF(Table1[[#This Row],[Margin]]="", "check", IF(Table1[[#This Row],[Margin]]&lt;0.2, "Low", "OK"))</f>
        <v>check</v>
      </c>
      <c r="O295" s="4" t="str" cm="1">
        <f t="array" ref="O295">_xlfn.IFS(Table1[[#This Row],[Revenue]]=0, "Check", Table1[[#This Row],[Revenue]]&gt;=1000, "Large", Table1[[#This Row],[Revenue]]&gt;=200, "Medium", TRUE, "Small")</f>
        <v>Check</v>
      </c>
      <c r="P295" s="4" t="str">
        <f>IF(AND(Table1[[#This Row],[Margin Flag]]="Low", Table1[[#This Row],[Revenue]]&gt;1000), "Review", "")</f>
        <v/>
      </c>
      <c r="Q295" s="4" t="str">
        <f>IF(OR(Table1[[#This Row],[Qty]]&gt;=5,Table1[[#This Row],[Order Size]] = "Large" ), "Bulk", "")</f>
        <v/>
      </c>
      <c r="R295" s="4" t="str">
        <f>_xlfn.XLOOKUP(G295, Lookup!$A$2:$A$7, Lookup!$B$2:$B$7, "")</f>
        <v/>
      </c>
      <c r="S295" s="4" t="str">
        <f>IF(Table1[[#This Row],[Margin]]&lt;Table1[[#This Row],[Target Margin]], "Yes", "")</f>
        <v/>
      </c>
    </row>
    <row r="296" spans="1:19">
      <c r="A296" t="s">
        <v>341</v>
      </c>
      <c r="B296" s="2">
        <v>46248</v>
      </c>
      <c r="C296" t="s">
        <v>32</v>
      </c>
      <c r="D296" t="s">
        <v>27</v>
      </c>
      <c r="E296">
        <v>1</v>
      </c>
      <c r="F296" t="str">
        <f>_xlfn.XLOOKUP(D296, Products!$A$2:$A$21, Products!$B$2:$B$21, "Not Found")</f>
        <v>Bluetooth Speaker</v>
      </c>
      <c r="G296" t="str">
        <f>_xlfn.XLOOKUP(D296, Products!$A$2:$A$21, Products!$C$2:$C$21,"not found")</f>
        <v>Audio</v>
      </c>
      <c r="H296" s="4">
        <f>_xlfn.XLOOKUP(D296, Products!$A$2:$A$21, Products!$E$2:$E$21, 0)</f>
        <v>179</v>
      </c>
      <c r="I296" s="4">
        <f>_xlfn.XLOOKUP(D296, Products!$A$2:$A$21, Products!$F$2:$F$21,0)</f>
        <v>95</v>
      </c>
      <c r="J296" t="str">
        <f>_xlfn.XLOOKUP(C296, Stores!$A$2:$A$7, Stores!$D$2:$D$7)</f>
        <v>Sydney South</v>
      </c>
      <c r="K296" s="4">
        <f t="shared" si="8"/>
        <v>179</v>
      </c>
      <c r="L296" s="4">
        <f t="shared" si="9"/>
        <v>84</v>
      </c>
      <c r="M296" s="10">
        <f>IF(Table1[[#This Row],[Revenue]]=0, "", Table1[[#This Row],[Profit]]/Table1[[#This Row],[Revenue]])</f>
        <v>0.46927374301675978</v>
      </c>
      <c r="N296" s="4" t="str">
        <f>IF(Table1[[#This Row],[Margin]]="", "check", IF(Table1[[#This Row],[Margin]]&lt;0.2, "Low", "OK"))</f>
        <v>OK</v>
      </c>
      <c r="O296" s="4" t="str" cm="1">
        <f t="array" ref="O296">_xlfn.IFS(Table1[[#This Row],[Revenue]]=0, "Check", Table1[[#This Row],[Revenue]]&gt;=1000, "Large", Table1[[#This Row],[Revenue]]&gt;=200, "Medium", TRUE, "Small")</f>
        <v>Small</v>
      </c>
      <c r="P296" s="4" t="str">
        <f>IF(AND(Table1[[#This Row],[Margin Flag]]="Low", Table1[[#This Row],[Revenue]]&gt;1000), "Review", "")</f>
        <v/>
      </c>
      <c r="Q296" s="4" t="str">
        <f>IF(OR(Table1[[#This Row],[Qty]]&gt;=5,Table1[[#This Row],[Order Size]] = "Large" ), "Bulk", "")</f>
        <v/>
      </c>
      <c r="R296" s="10">
        <f>_xlfn.XLOOKUP(G296, Lookup!$A$2:$A$7, Lookup!$B$2:$B$7, "")</f>
        <v>0.25</v>
      </c>
      <c r="S296" s="4" t="str">
        <f>IF(Table1[[#This Row],[Margin]]&lt;Table1[[#This Row],[Target Margin]], "Yes", "")</f>
        <v/>
      </c>
    </row>
    <row r="297" spans="1:19">
      <c r="A297" t="s">
        <v>342</v>
      </c>
      <c r="B297" s="2">
        <v>46248</v>
      </c>
      <c r="C297" t="s">
        <v>23</v>
      </c>
      <c r="D297" t="s">
        <v>58</v>
      </c>
      <c r="E297">
        <v>1</v>
      </c>
      <c r="F297" t="str">
        <f>_xlfn.XLOOKUP(D297, Products!$A$2:$A$21, Products!$B$2:$B$21, "Not Found")</f>
        <v>Mech Keyboard</v>
      </c>
      <c r="G297" t="str">
        <f>_xlfn.XLOOKUP(D297, Products!$A$2:$A$21, Products!$C$2:$C$21,"not found")</f>
        <v>Accessories</v>
      </c>
      <c r="H297" s="4">
        <f>_xlfn.XLOOKUP(D297, Products!$A$2:$A$21, Products!$E$2:$E$21, 0)</f>
        <v>149</v>
      </c>
      <c r="I297" s="4">
        <f>_xlfn.XLOOKUP(D297, Products!$A$2:$A$21, Products!$F$2:$F$21,0)</f>
        <v>72</v>
      </c>
      <c r="J297" t="str">
        <f>_xlfn.XLOOKUP(C297, Stores!$A$2:$A$7, Stores!$D$2:$D$7)</f>
        <v>Sydney East</v>
      </c>
      <c r="K297" s="4">
        <f t="shared" si="8"/>
        <v>149</v>
      </c>
      <c r="L297" s="4">
        <f t="shared" si="9"/>
        <v>77</v>
      </c>
      <c r="M297" s="10">
        <f>IF(Table1[[#This Row],[Revenue]]=0, "", Table1[[#This Row],[Profit]]/Table1[[#This Row],[Revenue]])</f>
        <v>0.51677852348993292</v>
      </c>
      <c r="N297" s="4" t="str">
        <f>IF(Table1[[#This Row],[Margin]]="", "check", IF(Table1[[#This Row],[Margin]]&lt;0.2, "Low", "OK"))</f>
        <v>OK</v>
      </c>
      <c r="O297" s="4" t="str" cm="1">
        <f t="array" ref="O297">_xlfn.IFS(Table1[[#This Row],[Revenue]]=0, "Check", Table1[[#This Row],[Revenue]]&gt;=1000, "Large", Table1[[#This Row],[Revenue]]&gt;=200, "Medium", TRUE, "Small")</f>
        <v>Small</v>
      </c>
      <c r="P297" s="4" t="str">
        <f>IF(AND(Table1[[#This Row],[Margin Flag]]="Low", Table1[[#This Row],[Revenue]]&gt;1000), "Review", "")</f>
        <v/>
      </c>
      <c r="Q297" s="4" t="str">
        <f>IF(OR(Table1[[#This Row],[Qty]]&gt;=5,Table1[[#This Row],[Order Size]] = "Large" ), "Bulk", "")</f>
        <v/>
      </c>
      <c r="R297" s="10">
        <f>_xlfn.XLOOKUP(G297, Lookup!$A$2:$A$7, Lookup!$B$2:$B$7, "")</f>
        <v>0.25</v>
      </c>
      <c r="S297" s="4" t="str">
        <f>IF(Table1[[#This Row],[Margin]]&lt;Table1[[#This Row],[Target Margin]], "Yes", "")</f>
        <v/>
      </c>
    </row>
    <row r="298" spans="1:19">
      <c r="A298" t="s">
        <v>343</v>
      </c>
      <c r="B298" s="2">
        <v>46250</v>
      </c>
      <c r="C298" t="s">
        <v>57</v>
      </c>
      <c r="D298" t="s">
        <v>21</v>
      </c>
      <c r="E298">
        <v>1</v>
      </c>
      <c r="F298" t="str">
        <f>_xlfn.XLOOKUP(D298, Products!$A$2:$A$21, Products!$B$2:$B$21, "Not Found")</f>
        <v>Gaming Mouse</v>
      </c>
      <c r="G298" t="str">
        <f>_xlfn.XLOOKUP(D298, Products!$A$2:$A$21, Products!$C$2:$C$21,"not found")</f>
        <v>Accessories</v>
      </c>
      <c r="H298" s="4">
        <f>_xlfn.XLOOKUP(D298, Products!$A$2:$A$21, Products!$E$2:$E$21, 0)</f>
        <v>89</v>
      </c>
      <c r="I298" s="4">
        <f>_xlfn.XLOOKUP(D298, Products!$A$2:$A$21, Products!$F$2:$F$21,0)</f>
        <v>41</v>
      </c>
      <c r="J298" t="str">
        <f>_xlfn.XLOOKUP(C298, Stores!$A$2:$A$7, Stores!$D$2:$D$7)</f>
        <v>Sydney South</v>
      </c>
      <c r="K298" s="4">
        <f t="shared" si="8"/>
        <v>89</v>
      </c>
      <c r="L298" s="4">
        <f t="shared" si="9"/>
        <v>48</v>
      </c>
      <c r="M298" s="10">
        <f>IF(Table1[[#This Row],[Revenue]]=0, "", Table1[[#This Row],[Profit]]/Table1[[#This Row],[Revenue]])</f>
        <v>0.5393258426966292</v>
      </c>
      <c r="N298" s="4" t="str">
        <f>IF(Table1[[#This Row],[Margin]]="", "check", IF(Table1[[#This Row],[Margin]]&lt;0.2, "Low", "OK"))</f>
        <v>OK</v>
      </c>
      <c r="O298" s="4" t="str" cm="1">
        <f t="array" ref="O298">_xlfn.IFS(Table1[[#This Row],[Revenue]]=0, "Check", Table1[[#This Row],[Revenue]]&gt;=1000, "Large", Table1[[#This Row],[Revenue]]&gt;=200, "Medium", TRUE, "Small")</f>
        <v>Small</v>
      </c>
      <c r="P298" s="4" t="str">
        <f>IF(AND(Table1[[#This Row],[Margin Flag]]="Low", Table1[[#This Row],[Revenue]]&gt;1000), "Review", "")</f>
        <v/>
      </c>
      <c r="Q298" s="4" t="str">
        <f>IF(OR(Table1[[#This Row],[Qty]]&gt;=5,Table1[[#This Row],[Order Size]] = "Large" ), "Bulk", "")</f>
        <v/>
      </c>
      <c r="R298" s="10">
        <f>_xlfn.XLOOKUP(G298, Lookup!$A$2:$A$7, Lookup!$B$2:$B$7, "")</f>
        <v>0.25</v>
      </c>
      <c r="S298" s="4" t="str">
        <f>IF(Table1[[#This Row],[Margin]]&lt;Table1[[#This Row],[Target Margin]], "Yes", "")</f>
        <v/>
      </c>
    </row>
    <row r="299" spans="1:19">
      <c r="A299" t="s">
        <v>344</v>
      </c>
      <c r="B299" s="2">
        <v>46250</v>
      </c>
      <c r="C299" t="s">
        <v>20</v>
      </c>
      <c r="D299" t="s">
        <v>50</v>
      </c>
      <c r="E299">
        <v>1</v>
      </c>
      <c r="F299" t="str">
        <f>_xlfn.XLOOKUP(D299, Products!$A$2:$A$21, Products!$B$2:$B$21, "Not Found")</f>
        <v>Smartphone 128GB</v>
      </c>
      <c r="G299" t="str">
        <f>_xlfn.XLOOKUP(D299, Products!$A$2:$A$21, Products!$C$2:$C$21,"not found")</f>
        <v>Phones</v>
      </c>
      <c r="H299" s="4">
        <f>_xlfn.XLOOKUP(D299, Products!$A$2:$A$21, Products!$E$2:$E$21, 0)</f>
        <v>1099</v>
      </c>
      <c r="I299" s="4">
        <f>_xlfn.XLOOKUP(D299, Products!$A$2:$A$21, Products!$F$2:$F$21,0)</f>
        <v>860</v>
      </c>
      <c r="J299" t="str">
        <f>_xlfn.XLOOKUP(C299, Stores!$A$2:$A$7, Stores!$D$2:$D$7)</f>
        <v>Sydney West</v>
      </c>
      <c r="K299" s="4">
        <f t="shared" si="8"/>
        <v>1099</v>
      </c>
      <c r="L299" s="4">
        <f t="shared" si="9"/>
        <v>239</v>
      </c>
      <c r="M299" s="10">
        <f>IF(Table1[[#This Row],[Revenue]]=0, "", Table1[[#This Row],[Profit]]/Table1[[#This Row],[Revenue]])</f>
        <v>0.21747042766151045</v>
      </c>
      <c r="N299" s="4" t="str">
        <f>IF(Table1[[#This Row],[Margin]]="", "check", IF(Table1[[#This Row],[Margin]]&lt;0.2, "Low", "OK"))</f>
        <v>OK</v>
      </c>
      <c r="O299" s="4" t="str" cm="1">
        <f t="array" ref="O299">_xlfn.IFS(Table1[[#This Row],[Revenue]]=0, "Check", Table1[[#This Row],[Revenue]]&gt;=1000, "Large", Table1[[#This Row],[Revenue]]&gt;=200, "Medium", TRUE, "Small")</f>
        <v>Large</v>
      </c>
      <c r="P299" s="4" t="str">
        <f>IF(AND(Table1[[#This Row],[Margin Flag]]="Low", Table1[[#This Row],[Revenue]]&gt;1000), "Review", "")</f>
        <v/>
      </c>
      <c r="Q299" s="4" t="str">
        <f>IF(OR(Table1[[#This Row],[Qty]]&gt;=5,Table1[[#This Row],[Order Size]] = "Large" ), "Bulk", "")</f>
        <v>Bulk</v>
      </c>
      <c r="R299" s="10">
        <f>_xlfn.XLOOKUP(G299, Lookup!$A$2:$A$7, Lookup!$B$2:$B$7, "")</f>
        <v>0.25</v>
      </c>
      <c r="S299" s="4" t="str">
        <f>IF(Table1[[#This Row],[Margin]]&lt;Table1[[#This Row],[Target Margin]], "Yes", "")</f>
        <v>Yes</v>
      </c>
    </row>
    <row r="300" spans="1:19">
      <c r="A300" t="s">
        <v>345</v>
      </c>
      <c r="B300" s="2">
        <v>46250</v>
      </c>
      <c r="C300" t="s">
        <v>26</v>
      </c>
      <c r="D300" t="s">
        <v>30</v>
      </c>
      <c r="E300">
        <v>1</v>
      </c>
      <c r="F300" t="str">
        <f>_xlfn.XLOOKUP(D300, Products!$A$2:$A$21, Products!$B$2:$B$21, "Not Found")</f>
        <v>Video Game</v>
      </c>
      <c r="G300" t="str">
        <f>_xlfn.XLOOKUP(D300, Products!$A$2:$A$21, Products!$C$2:$C$21,"not found")</f>
        <v>Gaming</v>
      </c>
      <c r="H300" s="4">
        <f>_xlfn.XLOOKUP(D300, Products!$A$2:$A$21, Products!$E$2:$E$21, 0)</f>
        <v>79</v>
      </c>
      <c r="I300" s="4">
        <f>_xlfn.XLOOKUP(D300, Products!$A$2:$A$21, Products!$F$2:$F$21,0)</f>
        <v>52</v>
      </c>
      <c r="J300" t="str">
        <f>_xlfn.XLOOKUP(C300, Stores!$A$2:$A$7, Stores!$D$2:$D$7)</f>
        <v>Sydney North</v>
      </c>
      <c r="K300" s="4">
        <f t="shared" si="8"/>
        <v>79</v>
      </c>
      <c r="L300" s="4">
        <f t="shared" si="9"/>
        <v>27</v>
      </c>
      <c r="M300" s="10">
        <f>IF(Table1[[#This Row],[Revenue]]=0, "", Table1[[#This Row],[Profit]]/Table1[[#This Row],[Revenue]])</f>
        <v>0.34177215189873417</v>
      </c>
      <c r="N300" s="4" t="str">
        <f>IF(Table1[[#This Row],[Margin]]="", "check", IF(Table1[[#This Row],[Margin]]&lt;0.2, "Low", "OK"))</f>
        <v>OK</v>
      </c>
      <c r="O300" s="4" t="str" cm="1">
        <f t="array" ref="O300">_xlfn.IFS(Table1[[#This Row],[Revenue]]=0, "Check", Table1[[#This Row],[Revenue]]&gt;=1000, "Large", Table1[[#This Row],[Revenue]]&gt;=200, "Medium", TRUE, "Small")</f>
        <v>Small</v>
      </c>
      <c r="P300" s="4" t="str">
        <f>IF(AND(Table1[[#This Row],[Margin Flag]]="Low", Table1[[#This Row],[Revenue]]&gt;1000), "Review", "")</f>
        <v/>
      </c>
      <c r="Q300" s="4" t="str">
        <f>IF(OR(Table1[[#This Row],[Qty]]&gt;=5,Table1[[#This Row],[Order Size]] = "Large" ), "Bulk", "")</f>
        <v/>
      </c>
      <c r="R300" s="10">
        <f>_xlfn.XLOOKUP(G300, Lookup!$A$2:$A$7, Lookup!$B$2:$B$7, "")</f>
        <v>0.08</v>
      </c>
      <c r="S300" s="4" t="str">
        <f>IF(Table1[[#This Row],[Margin]]&lt;Table1[[#This Row],[Target Margin]], "Yes", "")</f>
        <v/>
      </c>
    </row>
    <row r="301" spans="1:19">
      <c r="A301" t="s">
        <v>346</v>
      </c>
      <c r="B301" s="2">
        <v>46250</v>
      </c>
      <c r="C301" t="s">
        <v>29</v>
      </c>
      <c r="D301" t="s">
        <v>171</v>
      </c>
      <c r="E301">
        <v>1</v>
      </c>
      <c r="F301" t="str">
        <f>_xlfn.XLOOKUP(D301, Products!$A$2:$A$21, Products!$B$2:$B$21, "Not Found")</f>
        <v>Smartwatch</v>
      </c>
      <c r="G301" t="str">
        <f>_xlfn.XLOOKUP(D301, Products!$A$2:$A$21, Products!$C$2:$C$21,"not found")</f>
        <v>Phones</v>
      </c>
      <c r="H301" s="4">
        <f>_xlfn.XLOOKUP(D301, Products!$A$2:$A$21, Products!$E$2:$E$21, 0)</f>
        <v>649</v>
      </c>
      <c r="I301" s="4">
        <f>_xlfn.XLOOKUP(D301, Products!$A$2:$A$21, Products!$F$2:$F$21,0)</f>
        <v>480</v>
      </c>
      <c r="J301" t="str">
        <f>_xlfn.XLOOKUP(C301, Stores!$A$2:$A$7, Stores!$D$2:$D$7)</f>
        <v>Sydney West</v>
      </c>
      <c r="K301" s="4">
        <f t="shared" si="8"/>
        <v>649</v>
      </c>
      <c r="L301" s="4">
        <f t="shared" si="9"/>
        <v>169</v>
      </c>
      <c r="M301" s="10">
        <f>IF(Table1[[#This Row],[Revenue]]=0, "", Table1[[#This Row],[Profit]]/Table1[[#This Row],[Revenue]])</f>
        <v>0.26040061633281975</v>
      </c>
      <c r="N301" s="4" t="str">
        <f>IF(Table1[[#This Row],[Margin]]="", "check", IF(Table1[[#This Row],[Margin]]&lt;0.2, "Low", "OK"))</f>
        <v>OK</v>
      </c>
      <c r="O301" s="4" t="str" cm="1">
        <f t="array" ref="O301">_xlfn.IFS(Table1[[#This Row],[Revenue]]=0, "Check", Table1[[#This Row],[Revenue]]&gt;=1000, "Large", Table1[[#This Row],[Revenue]]&gt;=200, "Medium", TRUE, "Small")</f>
        <v>Medium</v>
      </c>
      <c r="P301" s="4" t="str">
        <f>IF(AND(Table1[[#This Row],[Margin Flag]]="Low", Table1[[#This Row],[Revenue]]&gt;1000), "Review", "")</f>
        <v/>
      </c>
      <c r="Q301" s="4" t="str">
        <f>IF(OR(Table1[[#This Row],[Qty]]&gt;=5,Table1[[#This Row],[Order Size]] = "Large" ), "Bulk", "")</f>
        <v/>
      </c>
      <c r="R301" s="10">
        <f>_xlfn.XLOOKUP(G301, Lookup!$A$2:$A$7, Lookup!$B$2:$B$7, "")</f>
        <v>0.25</v>
      </c>
      <c r="S301" s="4" t="str">
        <f>IF(Table1[[#This Row],[Margin]]&lt;Table1[[#This Row],[Target Margin]], "Yes", "")</f>
        <v/>
      </c>
    </row>
    <row r="302" spans="1:19">
      <c r="A302" t="s">
        <v>347</v>
      </c>
      <c r="B302" s="2">
        <v>46250</v>
      </c>
      <c r="C302" t="s">
        <v>29</v>
      </c>
      <c r="D302" t="s">
        <v>106</v>
      </c>
      <c r="E302">
        <v>2</v>
      </c>
      <c r="F302" t="str">
        <f>_xlfn.XLOOKUP(D302, Products!$A$2:$A$21, Products!$B$2:$B$21, "Not Found")</f>
        <v>Laptop 14in</v>
      </c>
      <c r="G302" t="str">
        <f>_xlfn.XLOOKUP(D302, Products!$A$2:$A$21, Products!$C$2:$C$21,"not found")</f>
        <v>Computers</v>
      </c>
      <c r="H302" s="4">
        <f>_xlfn.XLOOKUP(D302, Products!$A$2:$A$21, Products!$E$2:$E$21, 0)</f>
        <v>1199</v>
      </c>
      <c r="I302" s="4">
        <f>_xlfn.XLOOKUP(D302, Products!$A$2:$A$21, Products!$F$2:$F$21,0)</f>
        <v>930</v>
      </c>
      <c r="J302" t="str">
        <f>_xlfn.XLOOKUP(C302, Stores!$A$2:$A$7, Stores!$D$2:$D$7)</f>
        <v>Sydney West</v>
      </c>
      <c r="K302" s="4">
        <f t="shared" si="8"/>
        <v>2398</v>
      </c>
      <c r="L302" s="4">
        <f t="shared" si="9"/>
        <v>538</v>
      </c>
      <c r="M302" s="10">
        <f>IF(Table1[[#This Row],[Revenue]]=0, "", Table1[[#This Row],[Profit]]/Table1[[#This Row],[Revenue]])</f>
        <v>0.22435362802335279</v>
      </c>
      <c r="N302" s="4" t="str">
        <f>IF(Table1[[#This Row],[Margin]]="", "check", IF(Table1[[#This Row],[Margin]]&lt;0.2, "Low", "OK"))</f>
        <v>OK</v>
      </c>
      <c r="O302" s="4" t="str" cm="1">
        <f t="array" ref="O302">_xlfn.IFS(Table1[[#This Row],[Revenue]]=0, "Check", Table1[[#This Row],[Revenue]]&gt;=1000, "Large", Table1[[#This Row],[Revenue]]&gt;=200, "Medium", TRUE, "Small")</f>
        <v>Large</v>
      </c>
      <c r="P302" s="4" t="str">
        <f>IF(AND(Table1[[#This Row],[Margin Flag]]="Low", Table1[[#This Row],[Revenue]]&gt;1000), "Review", "")</f>
        <v/>
      </c>
      <c r="Q302" s="4" t="str">
        <f>IF(OR(Table1[[#This Row],[Qty]]&gt;=5,Table1[[#This Row],[Order Size]] = "Large" ), "Bulk", "")</f>
        <v>Bulk</v>
      </c>
      <c r="R302" s="10">
        <f>_xlfn.XLOOKUP(G302, Lookup!$A$2:$A$7, Lookup!$B$2:$B$7, "")</f>
        <v>0.25</v>
      </c>
      <c r="S302" s="4" t="str">
        <f>IF(Table1[[#This Row],[Margin]]&lt;Table1[[#This Row],[Target Margin]], "Yes", "")</f>
        <v>Yes</v>
      </c>
    </row>
    <row r="303" spans="1:19">
      <c r="A303" t="s">
        <v>348</v>
      </c>
      <c r="B303" s="2">
        <v>46250</v>
      </c>
      <c r="C303" t="s">
        <v>57</v>
      </c>
      <c r="D303" t="s">
        <v>99</v>
      </c>
      <c r="E303">
        <v>1</v>
      </c>
      <c r="F303" t="str">
        <f>_xlfn.XLOOKUP(D303, Products!$A$2:$A$21, Products!$B$2:$B$21, "Not Found")</f>
        <v>Smartphone 256GB</v>
      </c>
      <c r="G303" t="str">
        <f>_xlfn.XLOOKUP(D303, Products!$A$2:$A$21, Products!$C$2:$C$21,"not found")</f>
        <v>Phones</v>
      </c>
      <c r="H303" s="4">
        <f>_xlfn.XLOOKUP(D303, Products!$A$2:$A$21, Products!$E$2:$E$21, 0)</f>
        <v>1499</v>
      </c>
      <c r="I303" s="4">
        <f>_xlfn.XLOOKUP(D303, Products!$A$2:$A$21, Products!$F$2:$F$21,0)</f>
        <v>1180</v>
      </c>
      <c r="J303" t="str">
        <f>_xlfn.XLOOKUP(C303, Stores!$A$2:$A$7, Stores!$D$2:$D$7)</f>
        <v>Sydney South</v>
      </c>
      <c r="K303" s="4">
        <f t="shared" si="8"/>
        <v>1499</v>
      </c>
      <c r="L303" s="4">
        <f t="shared" si="9"/>
        <v>319</v>
      </c>
      <c r="M303" s="10">
        <f>IF(Table1[[#This Row],[Revenue]]=0, "", Table1[[#This Row],[Profit]]/Table1[[#This Row],[Revenue]])</f>
        <v>0.21280853902601735</v>
      </c>
      <c r="N303" s="4" t="str">
        <f>IF(Table1[[#This Row],[Margin]]="", "check", IF(Table1[[#This Row],[Margin]]&lt;0.2, "Low", "OK"))</f>
        <v>OK</v>
      </c>
      <c r="O303" s="4" t="str" cm="1">
        <f t="array" ref="O303">_xlfn.IFS(Table1[[#This Row],[Revenue]]=0, "Check", Table1[[#This Row],[Revenue]]&gt;=1000, "Large", Table1[[#This Row],[Revenue]]&gt;=200, "Medium", TRUE, "Small")</f>
        <v>Large</v>
      </c>
      <c r="P303" s="4" t="str">
        <f>IF(AND(Table1[[#This Row],[Margin Flag]]="Low", Table1[[#This Row],[Revenue]]&gt;1000), "Review", "")</f>
        <v/>
      </c>
      <c r="Q303" s="4" t="str">
        <f>IF(OR(Table1[[#This Row],[Qty]]&gt;=5,Table1[[#This Row],[Order Size]] = "Large" ), "Bulk", "")</f>
        <v>Bulk</v>
      </c>
      <c r="R303" s="10">
        <f>_xlfn.XLOOKUP(G303, Lookup!$A$2:$A$7, Lookup!$B$2:$B$7, "")</f>
        <v>0.25</v>
      </c>
      <c r="S303" s="4" t="str">
        <f>IF(Table1[[#This Row],[Margin]]&lt;Table1[[#This Row],[Target Margin]], "Yes", "")</f>
        <v>Yes</v>
      </c>
    </row>
    <row r="304" spans="1:19">
      <c r="A304" t="s">
        <v>349</v>
      </c>
      <c r="B304" s="2">
        <v>46251</v>
      </c>
      <c r="C304" t="s">
        <v>20</v>
      </c>
      <c r="D304" t="s">
        <v>50</v>
      </c>
      <c r="E304">
        <v>1</v>
      </c>
      <c r="F304" t="str">
        <f>_xlfn.XLOOKUP(D304, Products!$A$2:$A$21, Products!$B$2:$B$21, "Not Found")</f>
        <v>Smartphone 128GB</v>
      </c>
      <c r="G304" t="str">
        <f>_xlfn.XLOOKUP(D304, Products!$A$2:$A$21, Products!$C$2:$C$21,"not found")</f>
        <v>Phones</v>
      </c>
      <c r="H304" s="4">
        <f>_xlfn.XLOOKUP(D304, Products!$A$2:$A$21, Products!$E$2:$E$21, 0)</f>
        <v>1099</v>
      </c>
      <c r="I304" s="4">
        <f>_xlfn.XLOOKUP(D304, Products!$A$2:$A$21, Products!$F$2:$F$21,0)</f>
        <v>860</v>
      </c>
      <c r="J304" t="str">
        <f>_xlfn.XLOOKUP(C304, Stores!$A$2:$A$7, Stores!$D$2:$D$7)</f>
        <v>Sydney West</v>
      </c>
      <c r="K304" s="4">
        <f t="shared" si="8"/>
        <v>1099</v>
      </c>
      <c r="L304" s="4">
        <f t="shared" si="9"/>
        <v>239</v>
      </c>
      <c r="M304" s="10">
        <f>IF(Table1[[#This Row],[Revenue]]=0, "", Table1[[#This Row],[Profit]]/Table1[[#This Row],[Revenue]])</f>
        <v>0.21747042766151045</v>
      </c>
      <c r="N304" s="4" t="str">
        <f>IF(Table1[[#This Row],[Margin]]="", "check", IF(Table1[[#This Row],[Margin]]&lt;0.2, "Low", "OK"))</f>
        <v>OK</v>
      </c>
      <c r="O304" s="4" t="str" cm="1">
        <f t="array" ref="O304">_xlfn.IFS(Table1[[#This Row],[Revenue]]=0, "Check", Table1[[#This Row],[Revenue]]&gt;=1000, "Large", Table1[[#This Row],[Revenue]]&gt;=200, "Medium", TRUE, "Small")</f>
        <v>Large</v>
      </c>
      <c r="P304" s="4" t="str">
        <f>IF(AND(Table1[[#This Row],[Margin Flag]]="Low", Table1[[#This Row],[Revenue]]&gt;1000), "Review", "")</f>
        <v/>
      </c>
      <c r="Q304" s="4" t="str">
        <f>IF(OR(Table1[[#This Row],[Qty]]&gt;=5,Table1[[#This Row],[Order Size]] = "Large" ), "Bulk", "")</f>
        <v>Bulk</v>
      </c>
      <c r="R304" s="10">
        <f>_xlfn.XLOOKUP(G304, Lookup!$A$2:$A$7, Lookup!$B$2:$B$7, "")</f>
        <v>0.25</v>
      </c>
      <c r="S304" s="4" t="str">
        <f>IF(Table1[[#This Row],[Margin]]&lt;Table1[[#This Row],[Target Margin]], "Yes", "")</f>
        <v>Yes</v>
      </c>
    </row>
    <row r="305" spans="1:19">
      <c r="A305" t="s">
        <v>350</v>
      </c>
      <c r="B305" s="2">
        <v>46251</v>
      </c>
      <c r="C305" t="s">
        <v>57</v>
      </c>
      <c r="D305" t="s">
        <v>21</v>
      </c>
      <c r="E305">
        <v>1</v>
      </c>
      <c r="F305" t="str">
        <f>_xlfn.XLOOKUP(D305, Products!$A$2:$A$21, Products!$B$2:$B$21, "Not Found")</f>
        <v>Gaming Mouse</v>
      </c>
      <c r="G305" t="str">
        <f>_xlfn.XLOOKUP(D305, Products!$A$2:$A$21, Products!$C$2:$C$21,"not found")</f>
        <v>Accessories</v>
      </c>
      <c r="H305" s="4">
        <f>_xlfn.XLOOKUP(D305, Products!$A$2:$A$21, Products!$E$2:$E$21, 0)</f>
        <v>89</v>
      </c>
      <c r="I305" s="4">
        <f>_xlfn.XLOOKUP(D305, Products!$A$2:$A$21, Products!$F$2:$F$21,0)</f>
        <v>41</v>
      </c>
      <c r="J305" t="str">
        <f>_xlfn.XLOOKUP(C305, Stores!$A$2:$A$7, Stores!$D$2:$D$7)</f>
        <v>Sydney South</v>
      </c>
      <c r="K305" s="4">
        <f t="shared" si="8"/>
        <v>89</v>
      </c>
      <c r="L305" s="4">
        <f t="shared" si="9"/>
        <v>48</v>
      </c>
      <c r="M305" s="10">
        <f>IF(Table1[[#This Row],[Revenue]]=0, "", Table1[[#This Row],[Profit]]/Table1[[#This Row],[Revenue]])</f>
        <v>0.5393258426966292</v>
      </c>
      <c r="N305" s="4" t="str">
        <f>IF(Table1[[#This Row],[Margin]]="", "check", IF(Table1[[#This Row],[Margin]]&lt;0.2, "Low", "OK"))</f>
        <v>OK</v>
      </c>
      <c r="O305" s="4" t="str" cm="1">
        <f t="array" ref="O305">_xlfn.IFS(Table1[[#This Row],[Revenue]]=0, "Check", Table1[[#This Row],[Revenue]]&gt;=1000, "Large", Table1[[#This Row],[Revenue]]&gt;=200, "Medium", TRUE, "Small")</f>
        <v>Small</v>
      </c>
      <c r="P305" s="4" t="str">
        <f>IF(AND(Table1[[#This Row],[Margin Flag]]="Low", Table1[[#This Row],[Revenue]]&gt;1000), "Review", "")</f>
        <v/>
      </c>
      <c r="Q305" s="4" t="str">
        <f>IF(OR(Table1[[#This Row],[Qty]]&gt;=5,Table1[[#This Row],[Order Size]] = "Large" ), "Bulk", "")</f>
        <v/>
      </c>
      <c r="R305" s="10">
        <f>_xlfn.XLOOKUP(G305, Lookup!$A$2:$A$7, Lookup!$B$2:$B$7, "")</f>
        <v>0.25</v>
      </c>
      <c r="S305" s="4" t="str">
        <f>IF(Table1[[#This Row],[Margin]]&lt;Table1[[#This Row],[Target Margin]], "Yes", "")</f>
        <v/>
      </c>
    </row>
    <row r="306" spans="1:19">
      <c r="A306" t="s">
        <v>351</v>
      </c>
      <c r="B306" s="2">
        <v>46251</v>
      </c>
      <c r="C306" t="s">
        <v>57</v>
      </c>
      <c r="D306" t="s">
        <v>38</v>
      </c>
      <c r="E306">
        <v>1</v>
      </c>
      <c r="F306" t="str">
        <f>_xlfn.XLOOKUP(D306, Products!$A$2:$A$21, Products!$B$2:$B$21, "Not Found")</f>
        <v>USB-C Charger</v>
      </c>
      <c r="G306" t="str">
        <f>_xlfn.XLOOKUP(D306, Products!$A$2:$A$21, Products!$C$2:$C$21,"not found")</f>
        <v>Accessories</v>
      </c>
      <c r="H306" s="4">
        <f>_xlfn.XLOOKUP(D306, Products!$A$2:$A$21, Products!$E$2:$E$21, 0)</f>
        <v>49</v>
      </c>
      <c r="I306" s="4">
        <f>_xlfn.XLOOKUP(D306, Products!$A$2:$A$21, Products!$F$2:$F$21,0)</f>
        <v>14</v>
      </c>
      <c r="J306" t="str">
        <f>_xlfn.XLOOKUP(C306, Stores!$A$2:$A$7, Stores!$D$2:$D$7)</f>
        <v>Sydney South</v>
      </c>
      <c r="K306" s="4">
        <f t="shared" si="8"/>
        <v>49</v>
      </c>
      <c r="L306" s="4">
        <f t="shared" si="9"/>
        <v>35</v>
      </c>
      <c r="M306" s="10">
        <f>IF(Table1[[#This Row],[Revenue]]=0, "", Table1[[#This Row],[Profit]]/Table1[[#This Row],[Revenue]])</f>
        <v>0.7142857142857143</v>
      </c>
      <c r="N306" s="4" t="str">
        <f>IF(Table1[[#This Row],[Margin]]="", "check", IF(Table1[[#This Row],[Margin]]&lt;0.2, "Low", "OK"))</f>
        <v>OK</v>
      </c>
      <c r="O306" s="4" t="str" cm="1">
        <f t="array" ref="O306">_xlfn.IFS(Table1[[#This Row],[Revenue]]=0, "Check", Table1[[#This Row],[Revenue]]&gt;=1000, "Large", Table1[[#This Row],[Revenue]]&gt;=200, "Medium", TRUE, "Small")</f>
        <v>Small</v>
      </c>
      <c r="P306" s="4" t="str">
        <f>IF(AND(Table1[[#This Row],[Margin Flag]]="Low", Table1[[#This Row],[Revenue]]&gt;1000), "Review", "")</f>
        <v/>
      </c>
      <c r="Q306" s="4" t="str">
        <f>IF(OR(Table1[[#This Row],[Qty]]&gt;=5,Table1[[#This Row],[Order Size]] = "Large" ), "Bulk", "")</f>
        <v/>
      </c>
      <c r="R306" s="10">
        <f>_xlfn.XLOOKUP(G306, Lookup!$A$2:$A$7, Lookup!$B$2:$B$7, "")</f>
        <v>0.25</v>
      </c>
      <c r="S306" s="4" t="str">
        <f>IF(Table1[[#This Row],[Margin]]&lt;Table1[[#This Row],[Target Margin]], "Yes", "")</f>
        <v/>
      </c>
    </row>
    <row r="307" spans="1:19">
      <c r="A307" t="s">
        <v>352</v>
      </c>
      <c r="B307" s="2">
        <v>46252</v>
      </c>
      <c r="C307" t="s">
        <v>20</v>
      </c>
      <c r="D307" t="s">
        <v>80</v>
      </c>
      <c r="E307">
        <v>1</v>
      </c>
      <c r="F307" t="str">
        <f>_xlfn.XLOOKUP(D307, Products!$A$2:$A$21, Products!$B$2:$B$21, "Not Found")</f>
        <v>Over-Ear Headphones</v>
      </c>
      <c r="G307" t="str">
        <f>_xlfn.XLOOKUP(D307, Products!$A$2:$A$21, Products!$C$2:$C$21,"not found")</f>
        <v>Audio</v>
      </c>
      <c r="H307" s="4">
        <f>_xlfn.XLOOKUP(D307, Products!$A$2:$A$21, Products!$E$2:$E$21, 0)</f>
        <v>499</v>
      </c>
      <c r="I307" s="4">
        <f>_xlfn.XLOOKUP(D307, Products!$A$2:$A$21, Products!$F$2:$F$21,0)</f>
        <v>310</v>
      </c>
      <c r="J307" t="str">
        <f>_xlfn.XLOOKUP(C307, Stores!$A$2:$A$7, Stores!$D$2:$D$7)</f>
        <v>Sydney West</v>
      </c>
      <c r="K307" s="4">
        <f t="shared" si="8"/>
        <v>499</v>
      </c>
      <c r="L307" s="4">
        <f t="shared" si="9"/>
        <v>189</v>
      </c>
      <c r="M307" s="10">
        <f>IF(Table1[[#This Row],[Revenue]]=0, "", Table1[[#This Row],[Profit]]/Table1[[#This Row],[Revenue]])</f>
        <v>0.37875751503006011</v>
      </c>
      <c r="N307" s="4" t="str">
        <f>IF(Table1[[#This Row],[Margin]]="", "check", IF(Table1[[#This Row],[Margin]]&lt;0.2, "Low", "OK"))</f>
        <v>OK</v>
      </c>
      <c r="O307" s="4" t="str" cm="1">
        <f t="array" ref="O307">_xlfn.IFS(Table1[[#This Row],[Revenue]]=0, "Check", Table1[[#This Row],[Revenue]]&gt;=1000, "Large", Table1[[#This Row],[Revenue]]&gt;=200, "Medium", TRUE, "Small")</f>
        <v>Medium</v>
      </c>
      <c r="P307" s="4" t="str">
        <f>IF(AND(Table1[[#This Row],[Margin Flag]]="Low", Table1[[#This Row],[Revenue]]&gt;1000), "Review", "")</f>
        <v/>
      </c>
      <c r="Q307" s="4" t="str">
        <f>IF(OR(Table1[[#This Row],[Qty]]&gt;=5,Table1[[#This Row],[Order Size]] = "Large" ), "Bulk", "")</f>
        <v/>
      </c>
      <c r="R307" s="10">
        <f>_xlfn.XLOOKUP(G307, Lookup!$A$2:$A$7, Lookup!$B$2:$B$7, "")</f>
        <v>0.25</v>
      </c>
      <c r="S307" s="4" t="str">
        <f>IF(Table1[[#This Row],[Margin]]&lt;Table1[[#This Row],[Target Margin]], "Yes", "")</f>
        <v/>
      </c>
    </row>
    <row r="308" spans="1:19">
      <c r="A308" t="s">
        <v>353</v>
      </c>
      <c r="B308" s="2">
        <v>46252</v>
      </c>
      <c r="C308" t="s">
        <v>57</v>
      </c>
      <c r="D308" t="s">
        <v>58</v>
      </c>
      <c r="E308">
        <v>1</v>
      </c>
      <c r="F308" t="str">
        <f>_xlfn.XLOOKUP(D308, Products!$A$2:$A$21, Products!$B$2:$B$21, "Not Found")</f>
        <v>Mech Keyboard</v>
      </c>
      <c r="G308" t="str">
        <f>_xlfn.XLOOKUP(D308, Products!$A$2:$A$21, Products!$C$2:$C$21,"not found")</f>
        <v>Accessories</v>
      </c>
      <c r="H308" s="4">
        <f>_xlfn.XLOOKUP(D308, Products!$A$2:$A$21, Products!$E$2:$E$21, 0)</f>
        <v>149</v>
      </c>
      <c r="I308" s="4">
        <f>_xlfn.XLOOKUP(D308, Products!$A$2:$A$21, Products!$F$2:$F$21,0)</f>
        <v>72</v>
      </c>
      <c r="J308" t="str">
        <f>_xlfn.XLOOKUP(C308, Stores!$A$2:$A$7, Stores!$D$2:$D$7)</f>
        <v>Sydney South</v>
      </c>
      <c r="K308" s="4">
        <f t="shared" si="8"/>
        <v>149</v>
      </c>
      <c r="L308" s="4">
        <f t="shared" si="9"/>
        <v>77</v>
      </c>
      <c r="M308" s="10">
        <f>IF(Table1[[#This Row],[Revenue]]=0, "", Table1[[#This Row],[Profit]]/Table1[[#This Row],[Revenue]])</f>
        <v>0.51677852348993292</v>
      </c>
      <c r="N308" s="4" t="str">
        <f>IF(Table1[[#This Row],[Margin]]="", "check", IF(Table1[[#This Row],[Margin]]&lt;0.2, "Low", "OK"))</f>
        <v>OK</v>
      </c>
      <c r="O308" s="4" t="str" cm="1">
        <f t="array" ref="O308">_xlfn.IFS(Table1[[#This Row],[Revenue]]=0, "Check", Table1[[#This Row],[Revenue]]&gt;=1000, "Large", Table1[[#This Row],[Revenue]]&gt;=200, "Medium", TRUE, "Small")</f>
        <v>Small</v>
      </c>
      <c r="P308" s="4" t="str">
        <f>IF(AND(Table1[[#This Row],[Margin Flag]]="Low", Table1[[#This Row],[Revenue]]&gt;1000), "Review", "")</f>
        <v/>
      </c>
      <c r="Q308" s="4" t="str">
        <f>IF(OR(Table1[[#This Row],[Qty]]&gt;=5,Table1[[#This Row],[Order Size]] = "Large" ), "Bulk", "")</f>
        <v/>
      </c>
      <c r="R308" s="10">
        <f>_xlfn.XLOOKUP(G308, Lookup!$A$2:$A$7, Lookup!$B$2:$B$7, "")</f>
        <v>0.25</v>
      </c>
      <c r="S308" s="4" t="str">
        <f>IF(Table1[[#This Row],[Margin]]&lt;Table1[[#This Row],[Target Margin]], "Yes", "")</f>
        <v/>
      </c>
    </row>
    <row r="309" spans="1:19">
      <c r="A309" t="s">
        <v>354</v>
      </c>
      <c r="B309" s="2">
        <v>46252</v>
      </c>
      <c r="C309" t="s">
        <v>32</v>
      </c>
      <c r="D309" t="s">
        <v>24</v>
      </c>
      <c r="E309">
        <v>1</v>
      </c>
      <c r="F309" t="str">
        <f>_xlfn.XLOOKUP(D309, Products!$A$2:$A$21, Products!$B$2:$B$21, "Not Found")</f>
        <v>Wireless Earbuds</v>
      </c>
      <c r="G309" t="str">
        <f>_xlfn.XLOOKUP(D309, Products!$A$2:$A$21, Products!$C$2:$C$21,"not found")</f>
        <v>Audio</v>
      </c>
      <c r="H309" s="4">
        <f>_xlfn.XLOOKUP(D309, Products!$A$2:$A$21, Products!$E$2:$E$21, 0)</f>
        <v>249</v>
      </c>
      <c r="I309" s="4">
        <f>_xlfn.XLOOKUP(D309, Products!$A$2:$A$21, Products!$F$2:$F$21,0)</f>
        <v>140</v>
      </c>
      <c r="J309" t="str">
        <f>_xlfn.XLOOKUP(C309, Stores!$A$2:$A$7, Stores!$D$2:$D$7)</f>
        <v>Sydney South</v>
      </c>
      <c r="K309" s="4">
        <f t="shared" si="8"/>
        <v>249</v>
      </c>
      <c r="L309" s="4">
        <f t="shared" si="9"/>
        <v>109</v>
      </c>
      <c r="M309" s="10">
        <f>IF(Table1[[#This Row],[Revenue]]=0, "", Table1[[#This Row],[Profit]]/Table1[[#This Row],[Revenue]])</f>
        <v>0.43775100401606426</v>
      </c>
      <c r="N309" s="4" t="str">
        <f>IF(Table1[[#This Row],[Margin]]="", "check", IF(Table1[[#This Row],[Margin]]&lt;0.2, "Low", "OK"))</f>
        <v>OK</v>
      </c>
      <c r="O309" s="4" t="str" cm="1">
        <f t="array" ref="O309">_xlfn.IFS(Table1[[#This Row],[Revenue]]=0, "Check", Table1[[#This Row],[Revenue]]&gt;=1000, "Large", Table1[[#This Row],[Revenue]]&gt;=200, "Medium", TRUE, "Small")</f>
        <v>Medium</v>
      </c>
      <c r="P309" s="4" t="str">
        <f>IF(AND(Table1[[#This Row],[Margin Flag]]="Low", Table1[[#This Row],[Revenue]]&gt;1000), "Review", "")</f>
        <v/>
      </c>
      <c r="Q309" s="4" t="str">
        <f>IF(OR(Table1[[#This Row],[Qty]]&gt;=5,Table1[[#This Row],[Order Size]] = "Large" ), "Bulk", "")</f>
        <v/>
      </c>
      <c r="R309" s="10">
        <f>_xlfn.XLOOKUP(G309, Lookup!$A$2:$A$7, Lookup!$B$2:$B$7, "")</f>
        <v>0.25</v>
      </c>
      <c r="S309" s="4" t="str">
        <f>IF(Table1[[#This Row],[Margin]]&lt;Table1[[#This Row],[Target Margin]], "Yes", "")</f>
        <v/>
      </c>
    </row>
    <row r="310" spans="1:19">
      <c r="A310" t="s">
        <v>355</v>
      </c>
      <c r="B310" s="2">
        <v>46252</v>
      </c>
      <c r="C310" t="s">
        <v>23</v>
      </c>
      <c r="D310" t="s">
        <v>27</v>
      </c>
      <c r="E310">
        <v>1</v>
      </c>
      <c r="F310" t="str">
        <f>_xlfn.XLOOKUP(D310, Products!$A$2:$A$21, Products!$B$2:$B$21, "Not Found")</f>
        <v>Bluetooth Speaker</v>
      </c>
      <c r="G310" t="str">
        <f>_xlfn.XLOOKUP(D310, Products!$A$2:$A$21, Products!$C$2:$C$21,"not found")</f>
        <v>Audio</v>
      </c>
      <c r="H310" s="4">
        <f>_xlfn.XLOOKUP(D310, Products!$A$2:$A$21, Products!$E$2:$E$21, 0)</f>
        <v>179</v>
      </c>
      <c r="I310" s="4">
        <f>_xlfn.XLOOKUP(D310, Products!$A$2:$A$21, Products!$F$2:$F$21,0)</f>
        <v>95</v>
      </c>
      <c r="J310" t="str">
        <f>_xlfn.XLOOKUP(C310, Stores!$A$2:$A$7, Stores!$D$2:$D$7)</f>
        <v>Sydney East</v>
      </c>
      <c r="K310" s="4">
        <f t="shared" si="8"/>
        <v>179</v>
      </c>
      <c r="L310" s="4">
        <f t="shared" si="9"/>
        <v>84</v>
      </c>
      <c r="M310" s="10">
        <f>IF(Table1[[#This Row],[Revenue]]=0, "", Table1[[#This Row],[Profit]]/Table1[[#This Row],[Revenue]])</f>
        <v>0.46927374301675978</v>
      </c>
      <c r="N310" s="4" t="str">
        <f>IF(Table1[[#This Row],[Margin]]="", "check", IF(Table1[[#This Row],[Margin]]&lt;0.2, "Low", "OK"))</f>
        <v>OK</v>
      </c>
      <c r="O310" s="4" t="str" cm="1">
        <f t="array" ref="O310">_xlfn.IFS(Table1[[#This Row],[Revenue]]=0, "Check", Table1[[#This Row],[Revenue]]&gt;=1000, "Large", Table1[[#This Row],[Revenue]]&gt;=200, "Medium", TRUE, "Small")</f>
        <v>Small</v>
      </c>
      <c r="P310" s="4" t="str">
        <f>IF(AND(Table1[[#This Row],[Margin Flag]]="Low", Table1[[#This Row],[Revenue]]&gt;1000), "Review", "")</f>
        <v/>
      </c>
      <c r="Q310" s="4" t="str">
        <f>IF(OR(Table1[[#This Row],[Qty]]&gt;=5,Table1[[#This Row],[Order Size]] = "Large" ), "Bulk", "")</f>
        <v/>
      </c>
      <c r="R310" s="10">
        <f>_xlfn.XLOOKUP(G310, Lookup!$A$2:$A$7, Lookup!$B$2:$B$7, "")</f>
        <v>0.25</v>
      </c>
      <c r="S310" s="4" t="str">
        <f>IF(Table1[[#This Row],[Margin]]&lt;Table1[[#This Row],[Target Margin]], "Yes", "")</f>
        <v/>
      </c>
    </row>
    <row r="311" spans="1:19">
      <c r="A311" t="s">
        <v>356</v>
      </c>
      <c r="B311" s="2">
        <v>46252</v>
      </c>
      <c r="C311" t="s">
        <v>23</v>
      </c>
      <c r="D311" t="s">
        <v>67</v>
      </c>
      <c r="E311">
        <v>2</v>
      </c>
      <c r="F311" t="str">
        <f>_xlfn.XLOOKUP(D311, Products!$A$2:$A$21, Products!$B$2:$B$21, "Not Found")</f>
        <v>Soundbar</v>
      </c>
      <c r="G311" t="str">
        <f>_xlfn.XLOOKUP(D311, Products!$A$2:$A$21, Products!$C$2:$C$21,"not found")</f>
        <v>Audio</v>
      </c>
      <c r="H311" s="4">
        <f>_xlfn.XLOOKUP(D311, Products!$A$2:$A$21, Products!$E$2:$E$21, 0)</f>
        <v>699</v>
      </c>
      <c r="I311" s="4">
        <f>_xlfn.XLOOKUP(D311, Products!$A$2:$A$21, Products!$F$2:$F$21,0)</f>
        <v>450</v>
      </c>
      <c r="J311" t="str">
        <f>_xlfn.XLOOKUP(C311, Stores!$A$2:$A$7, Stores!$D$2:$D$7)</f>
        <v>Sydney East</v>
      </c>
      <c r="K311" s="4">
        <f t="shared" si="8"/>
        <v>1398</v>
      </c>
      <c r="L311" s="4">
        <f t="shared" si="9"/>
        <v>498</v>
      </c>
      <c r="M311" s="10">
        <f>IF(Table1[[#This Row],[Revenue]]=0, "", Table1[[#This Row],[Profit]]/Table1[[#This Row],[Revenue]])</f>
        <v>0.35622317596566522</v>
      </c>
      <c r="N311" s="4" t="str">
        <f>IF(Table1[[#This Row],[Margin]]="", "check", IF(Table1[[#This Row],[Margin]]&lt;0.2, "Low", "OK"))</f>
        <v>OK</v>
      </c>
      <c r="O311" s="4" t="str" cm="1">
        <f t="array" ref="O311">_xlfn.IFS(Table1[[#This Row],[Revenue]]=0, "Check", Table1[[#This Row],[Revenue]]&gt;=1000, "Large", Table1[[#This Row],[Revenue]]&gt;=200, "Medium", TRUE, "Small")</f>
        <v>Large</v>
      </c>
      <c r="P311" s="4" t="str">
        <f>IF(AND(Table1[[#This Row],[Margin Flag]]="Low", Table1[[#This Row],[Revenue]]&gt;1000), "Review", "")</f>
        <v/>
      </c>
      <c r="Q311" s="4" t="str">
        <f>IF(OR(Table1[[#This Row],[Qty]]&gt;=5,Table1[[#This Row],[Order Size]] = "Large" ), "Bulk", "")</f>
        <v>Bulk</v>
      </c>
      <c r="R311" s="10">
        <f>_xlfn.XLOOKUP(G311, Lookup!$A$2:$A$7, Lookup!$B$2:$B$7, "")</f>
        <v>0.25</v>
      </c>
      <c r="S311" s="4" t="str">
        <f>IF(Table1[[#This Row],[Margin]]&lt;Table1[[#This Row],[Target Margin]], "Yes", "")</f>
        <v/>
      </c>
    </row>
    <row r="312" spans="1:19">
      <c r="A312" t="s">
        <v>357</v>
      </c>
      <c r="B312" s="2">
        <v>46252</v>
      </c>
      <c r="C312" t="s">
        <v>29</v>
      </c>
      <c r="D312" t="s">
        <v>21</v>
      </c>
      <c r="E312">
        <v>1</v>
      </c>
      <c r="F312" t="str">
        <f>_xlfn.XLOOKUP(D312, Products!$A$2:$A$21, Products!$B$2:$B$21, "Not Found")</f>
        <v>Gaming Mouse</v>
      </c>
      <c r="G312" t="str">
        <f>_xlfn.XLOOKUP(D312, Products!$A$2:$A$21, Products!$C$2:$C$21,"not found")</f>
        <v>Accessories</v>
      </c>
      <c r="H312" s="4">
        <f>_xlfn.XLOOKUP(D312, Products!$A$2:$A$21, Products!$E$2:$E$21, 0)</f>
        <v>89</v>
      </c>
      <c r="I312" s="4">
        <f>_xlfn.XLOOKUP(D312, Products!$A$2:$A$21, Products!$F$2:$F$21,0)</f>
        <v>41</v>
      </c>
      <c r="J312" t="str">
        <f>_xlfn.XLOOKUP(C312, Stores!$A$2:$A$7, Stores!$D$2:$D$7)</f>
        <v>Sydney West</v>
      </c>
      <c r="K312" s="4">
        <f t="shared" si="8"/>
        <v>89</v>
      </c>
      <c r="L312" s="4">
        <f t="shared" si="9"/>
        <v>48</v>
      </c>
      <c r="M312" s="10">
        <f>IF(Table1[[#This Row],[Revenue]]=0, "", Table1[[#This Row],[Profit]]/Table1[[#This Row],[Revenue]])</f>
        <v>0.5393258426966292</v>
      </c>
      <c r="N312" s="4" t="str">
        <f>IF(Table1[[#This Row],[Margin]]="", "check", IF(Table1[[#This Row],[Margin]]&lt;0.2, "Low", "OK"))</f>
        <v>OK</v>
      </c>
      <c r="O312" s="4" t="str" cm="1">
        <f t="array" ref="O312">_xlfn.IFS(Table1[[#This Row],[Revenue]]=0, "Check", Table1[[#This Row],[Revenue]]&gt;=1000, "Large", Table1[[#This Row],[Revenue]]&gt;=200, "Medium", TRUE, "Small")</f>
        <v>Small</v>
      </c>
      <c r="P312" s="4" t="str">
        <f>IF(AND(Table1[[#This Row],[Margin Flag]]="Low", Table1[[#This Row],[Revenue]]&gt;1000), "Review", "")</f>
        <v/>
      </c>
      <c r="Q312" s="4" t="str">
        <f>IF(OR(Table1[[#This Row],[Qty]]&gt;=5,Table1[[#This Row],[Order Size]] = "Large" ), "Bulk", "")</f>
        <v/>
      </c>
      <c r="R312" s="10">
        <f>_xlfn.XLOOKUP(G312, Lookup!$A$2:$A$7, Lookup!$B$2:$B$7, "")</f>
        <v>0.25</v>
      </c>
      <c r="S312" s="4" t="str">
        <f>IF(Table1[[#This Row],[Margin]]&lt;Table1[[#This Row],[Target Margin]], "Yes", "")</f>
        <v/>
      </c>
    </row>
    <row r="313" spans="1:19">
      <c r="A313" t="s">
        <v>358</v>
      </c>
      <c r="B313" s="2">
        <v>46252</v>
      </c>
      <c r="C313" t="s">
        <v>20</v>
      </c>
      <c r="D313" t="s">
        <v>30</v>
      </c>
      <c r="E313">
        <v>1</v>
      </c>
      <c r="F313" t="str">
        <f>_xlfn.XLOOKUP(D313, Products!$A$2:$A$21, Products!$B$2:$B$21, "Not Found")</f>
        <v>Video Game</v>
      </c>
      <c r="G313" t="str">
        <f>_xlfn.XLOOKUP(D313, Products!$A$2:$A$21, Products!$C$2:$C$21,"not found")</f>
        <v>Gaming</v>
      </c>
      <c r="H313" s="4">
        <f>_xlfn.XLOOKUP(D313, Products!$A$2:$A$21, Products!$E$2:$E$21, 0)</f>
        <v>79</v>
      </c>
      <c r="I313" s="4">
        <f>_xlfn.XLOOKUP(D313, Products!$A$2:$A$21, Products!$F$2:$F$21,0)</f>
        <v>52</v>
      </c>
      <c r="J313" t="str">
        <f>_xlfn.XLOOKUP(C313, Stores!$A$2:$A$7, Stores!$D$2:$D$7)</f>
        <v>Sydney West</v>
      </c>
      <c r="K313" s="4">
        <f t="shared" si="8"/>
        <v>79</v>
      </c>
      <c r="L313" s="4">
        <f t="shared" si="9"/>
        <v>27</v>
      </c>
      <c r="M313" s="10">
        <f>IF(Table1[[#This Row],[Revenue]]=0, "", Table1[[#This Row],[Profit]]/Table1[[#This Row],[Revenue]])</f>
        <v>0.34177215189873417</v>
      </c>
      <c r="N313" s="4" t="str">
        <f>IF(Table1[[#This Row],[Margin]]="", "check", IF(Table1[[#This Row],[Margin]]&lt;0.2, "Low", "OK"))</f>
        <v>OK</v>
      </c>
      <c r="O313" s="4" t="str" cm="1">
        <f t="array" ref="O313">_xlfn.IFS(Table1[[#This Row],[Revenue]]=0, "Check", Table1[[#This Row],[Revenue]]&gt;=1000, "Large", Table1[[#This Row],[Revenue]]&gt;=200, "Medium", TRUE, "Small")</f>
        <v>Small</v>
      </c>
      <c r="P313" s="4" t="str">
        <f>IF(AND(Table1[[#This Row],[Margin Flag]]="Low", Table1[[#This Row],[Revenue]]&gt;1000), "Review", "")</f>
        <v/>
      </c>
      <c r="Q313" s="4" t="str">
        <f>IF(OR(Table1[[#This Row],[Qty]]&gt;=5,Table1[[#This Row],[Order Size]] = "Large" ), "Bulk", "")</f>
        <v/>
      </c>
      <c r="R313" s="10">
        <f>_xlfn.XLOOKUP(G313, Lookup!$A$2:$A$7, Lookup!$B$2:$B$7, "")</f>
        <v>0.08</v>
      </c>
      <c r="S313" s="4" t="str">
        <f>IF(Table1[[#This Row],[Margin]]&lt;Table1[[#This Row],[Target Margin]], "Yes", "")</f>
        <v/>
      </c>
    </row>
    <row r="314" spans="1:19">
      <c r="A314" t="s">
        <v>359</v>
      </c>
      <c r="B314" s="2">
        <v>46252</v>
      </c>
      <c r="C314" t="s">
        <v>29</v>
      </c>
      <c r="D314" t="s">
        <v>171</v>
      </c>
      <c r="E314">
        <v>1</v>
      </c>
      <c r="F314" t="str">
        <f>_xlfn.XLOOKUP(D314, Products!$A$2:$A$21, Products!$B$2:$B$21, "Not Found")</f>
        <v>Smartwatch</v>
      </c>
      <c r="G314" t="str">
        <f>_xlfn.XLOOKUP(D314, Products!$A$2:$A$21, Products!$C$2:$C$21,"not found")</f>
        <v>Phones</v>
      </c>
      <c r="H314" s="4">
        <f>_xlfn.XLOOKUP(D314, Products!$A$2:$A$21, Products!$E$2:$E$21, 0)</f>
        <v>649</v>
      </c>
      <c r="I314" s="4">
        <f>_xlfn.XLOOKUP(D314, Products!$A$2:$A$21, Products!$F$2:$F$21,0)</f>
        <v>480</v>
      </c>
      <c r="J314" t="str">
        <f>_xlfn.XLOOKUP(C314, Stores!$A$2:$A$7, Stores!$D$2:$D$7)</f>
        <v>Sydney West</v>
      </c>
      <c r="K314" s="4">
        <f t="shared" si="8"/>
        <v>649</v>
      </c>
      <c r="L314" s="4">
        <f t="shared" si="9"/>
        <v>169</v>
      </c>
      <c r="M314" s="10">
        <f>IF(Table1[[#This Row],[Revenue]]=0, "", Table1[[#This Row],[Profit]]/Table1[[#This Row],[Revenue]])</f>
        <v>0.26040061633281975</v>
      </c>
      <c r="N314" s="4" t="str">
        <f>IF(Table1[[#This Row],[Margin]]="", "check", IF(Table1[[#This Row],[Margin]]&lt;0.2, "Low", "OK"))</f>
        <v>OK</v>
      </c>
      <c r="O314" s="4" t="str" cm="1">
        <f t="array" ref="O314">_xlfn.IFS(Table1[[#This Row],[Revenue]]=0, "Check", Table1[[#This Row],[Revenue]]&gt;=1000, "Large", Table1[[#This Row],[Revenue]]&gt;=200, "Medium", TRUE, "Small")</f>
        <v>Medium</v>
      </c>
      <c r="P314" s="4" t="str">
        <f>IF(AND(Table1[[#This Row],[Margin Flag]]="Low", Table1[[#This Row],[Revenue]]&gt;1000), "Review", "")</f>
        <v/>
      </c>
      <c r="Q314" s="4" t="str">
        <f>IF(OR(Table1[[#This Row],[Qty]]&gt;=5,Table1[[#This Row],[Order Size]] = "Large" ), "Bulk", "")</f>
        <v/>
      </c>
      <c r="R314" s="10">
        <f>_xlfn.XLOOKUP(G314, Lookup!$A$2:$A$7, Lookup!$B$2:$B$7, "")</f>
        <v>0.25</v>
      </c>
      <c r="S314" s="4" t="str">
        <f>IF(Table1[[#This Row],[Margin]]&lt;Table1[[#This Row],[Target Margin]], "Yes", "")</f>
        <v/>
      </c>
    </row>
    <row r="315" spans="1:19">
      <c r="A315" t="s">
        <v>360</v>
      </c>
      <c r="B315" s="2">
        <v>46252</v>
      </c>
      <c r="C315" t="s">
        <v>20</v>
      </c>
      <c r="D315" t="s">
        <v>130</v>
      </c>
      <c r="E315">
        <v>1</v>
      </c>
      <c r="F315" t="str">
        <f>_xlfn.XLOOKUP(D315, Products!$A$2:$A$21, Products!$B$2:$B$21, "Not Found")</f>
        <v>65in TV</v>
      </c>
      <c r="G315" t="str">
        <f>_xlfn.XLOOKUP(D315, Products!$A$2:$A$21, Products!$C$2:$C$21,"not found")</f>
        <v>TV</v>
      </c>
      <c r="H315" s="4">
        <f>_xlfn.XLOOKUP(D315, Products!$A$2:$A$21, Products!$E$2:$E$21, 0)</f>
        <v>1999</v>
      </c>
      <c r="I315" s="4">
        <f>_xlfn.XLOOKUP(D315, Products!$A$2:$A$21, Products!$F$2:$F$21,0)</f>
        <v>1520</v>
      </c>
      <c r="J315" t="str">
        <f>_xlfn.XLOOKUP(C315, Stores!$A$2:$A$7, Stores!$D$2:$D$7)</f>
        <v>Sydney West</v>
      </c>
      <c r="K315" s="4">
        <f t="shared" si="8"/>
        <v>1999</v>
      </c>
      <c r="L315" s="4">
        <f t="shared" si="9"/>
        <v>479</v>
      </c>
      <c r="M315" s="10">
        <f>IF(Table1[[#This Row],[Revenue]]=0, "", Table1[[#This Row],[Profit]]/Table1[[#This Row],[Revenue]])</f>
        <v>0.23961980990495246</v>
      </c>
      <c r="N315" s="4" t="str">
        <f>IF(Table1[[#This Row],[Margin]]="", "check", IF(Table1[[#This Row],[Margin]]&lt;0.2, "Low", "OK"))</f>
        <v>OK</v>
      </c>
      <c r="O315" s="4" t="str" cm="1">
        <f t="array" ref="O315">_xlfn.IFS(Table1[[#This Row],[Revenue]]=0, "Check", Table1[[#This Row],[Revenue]]&gt;=1000, "Large", Table1[[#This Row],[Revenue]]&gt;=200, "Medium", TRUE, "Small")</f>
        <v>Large</v>
      </c>
      <c r="P315" s="4" t="str">
        <f>IF(AND(Table1[[#This Row],[Margin Flag]]="Low", Table1[[#This Row],[Revenue]]&gt;1000), "Review", "")</f>
        <v/>
      </c>
      <c r="Q315" s="4" t="str">
        <f>IF(OR(Table1[[#This Row],[Qty]]&gt;=5,Table1[[#This Row],[Order Size]] = "Large" ), "Bulk", "")</f>
        <v>Bulk</v>
      </c>
      <c r="R315" s="10">
        <f>_xlfn.XLOOKUP(G315, Lookup!$A$2:$A$7, Lookup!$B$2:$B$7, "")</f>
        <v>0.25</v>
      </c>
      <c r="S315" s="4" t="str">
        <f>IF(Table1[[#This Row],[Margin]]&lt;Table1[[#This Row],[Target Margin]], "Yes", "")</f>
        <v>Yes</v>
      </c>
    </row>
    <row r="316" spans="1:19">
      <c r="A316" t="s">
        <v>361</v>
      </c>
      <c r="B316" s="2">
        <v>46253</v>
      </c>
      <c r="C316" t="s">
        <v>29</v>
      </c>
      <c r="D316" t="s">
        <v>38</v>
      </c>
      <c r="E316">
        <v>1</v>
      </c>
      <c r="F316" t="str">
        <f>_xlfn.XLOOKUP(D316, Products!$A$2:$A$21, Products!$B$2:$B$21, "Not Found")</f>
        <v>USB-C Charger</v>
      </c>
      <c r="G316" t="str">
        <f>_xlfn.XLOOKUP(D316, Products!$A$2:$A$21, Products!$C$2:$C$21,"not found")</f>
        <v>Accessories</v>
      </c>
      <c r="H316" s="4">
        <f>_xlfn.XLOOKUP(D316, Products!$A$2:$A$21, Products!$E$2:$E$21, 0)</f>
        <v>49</v>
      </c>
      <c r="I316" s="4">
        <f>_xlfn.XLOOKUP(D316, Products!$A$2:$A$21, Products!$F$2:$F$21,0)</f>
        <v>14</v>
      </c>
      <c r="J316" t="str">
        <f>_xlfn.XLOOKUP(C316, Stores!$A$2:$A$7, Stores!$D$2:$D$7)</f>
        <v>Sydney West</v>
      </c>
      <c r="K316" s="4">
        <f t="shared" si="8"/>
        <v>49</v>
      </c>
      <c r="L316" s="4">
        <f t="shared" si="9"/>
        <v>35</v>
      </c>
      <c r="M316" s="10">
        <f>IF(Table1[[#This Row],[Revenue]]=0, "", Table1[[#This Row],[Profit]]/Table1[[#This Row],[Revenue]])</f>
        <v>0.7142857142857143</v>
      </c>
      <c r="N316" s="4" t="str">
        <f>IF(Table1[[#This Row],[Margin]]="", "check", IF(Table1[[#This Row],[Margin]]&lt;0.2, "Low", "OK"))</f>
        <v>OK</v>
      </c>
      <c r="O316" s="4" t="str" cm="1">
        <f t="array" ref="O316">_xlfn.IFS(Table1[[#This Row],[Revenue]]=0, "Check", Table1[[#This Row],[Revenue]]&gt;=1000, "Large", Table1[[#This Row],[Revenue]]&gt;=200, "Medium", TRUE, "Small")</f>
        <v>Small</v>
      </c>
      <c r="P316" s="4" t="str">
        <f>IF(AND(Table1[[#This Row],[Margin Flag]]="Low", Table1[[#This Row],[Revenue]]&gt;1000), "Review", "")</f>
        <v/>
      </c>
      <c r="Q316" s="4" t="str">
        <f>IF(OR(Table1[[#This Row],[Qty]]&gt;=5,Table1[[#This Row],[Order Size]] = "Large" ), "Bulk", "")</f>
        <v/>
      </c>
      <c r="R316" s="10">
        <f>_xlfn.XLOOKUP(G316, Lookup!$A$2:$A$7, Lookup!$B$2:$B$7, "")</f>
        <v>0.25</v>
      </c>
      <c r="S316" s="4" t="str">
        <f>IF(Table1[[#This Row],[Margin]]&lt;Table1[[#This Row],[Target Margin]], "Yes", "")</f>
        <v/>
      </c>
    </row>
    <row r="317" spans="1:19">
      <c r="A317" t="s">
        <v>362</v>
      </c>
      <c r="B317" s="2">
        <v>46253</v>
      </c>
      <c r="C317" t="s">
        <v>23</v>
      </c>
      <c r="D317" t="s">
        <v>27</v>
      </c>
      <c r="E317">
        <v>3</v>
      </c>
      <c r="F317" t="str">
        <f>_xlfn.XLOOKUP(D317, Products!$A$2:$A$21, Products!$B$2:$B$21, "Not Found")</f>
        <v>Bluetooth Speaker</v>
      </c>
      <c r="G317" t="str">
        <f>_xlfn.XLOOKUP(D317, Products!$A$2:$A$21, Products!$C$2:$C$21,"not found")</f>
        <v>Audio</v>
      </c>
      <c r="H317" s="4">
        <f>_xlfn.XLOOKUP(D317, Products!$A$2:$A$21, Products!$E$2:$E$21, 0)</f>
        <v>179</v>
      </c>
      <c r="I317" s="4">
        <f>_xlfn.XLOOKUP(D317, Products!$A$2:$A$21, Products!$F$2:$F$21,0)</f>
        <v>95</v>
      </c>
      <c r="J317" t="str">
        <f>_xlfn.XLOOKUP(C317, Stores!$A$2:$A$7, Stores!$D$2:$D$7)</f>
        <v>Sydney East</v>
      </c>
      <c r="K317" s="4">
        <f t="shared" si="8"/>
        <v>537</v>
      </c>
      <c r="L317" s="4">
        <f t="shared" si="9"/>
        <v>252</v>
      </c>
      <c r="M317" s="10">
        <f>IF(Table1[[#This Row],[Revenue]]=0, "", Table1[[#This Row],[Profit]]/Table1[[#This Row],[Revenue]])</f>
        <v>0.46927374301675978</v>
      </c>
      <c r="N317" s="4" t="str">
        <f>IF(Table1[[#This Row],[Margin]]="", "check", IF(Table1[[#This Row],[Margin]]&lt;0.2, "Low", "OK"))</f>
        <v>OK</v>
      </c>
      <c r="O317" s="4" t="str" cm="1">
        <f t="array" ref="O317">_xlfn.IFS(Table1[[#This Row],[Revenue]]=0, "Check", Table1[[#This Row],[Revenue]]&gt;=1000, "Large", Table1[[#This Row],[Revenue]]&gt;=200, "Medium", TRUE, "Small")</f>
        <v>Medium</v>
      </c>
      <c r="P317" s="4" t="str">
        <f>IF(AND(Table1[[#This Row],[Margin Flag]]="Low", Table1[[#This Row],[Revenue]]&gt;1000), "Review", "")</f>
        <v/>
      </c>
      <c r="Q317" s="4" t="str">
        <f>IF(OR(Table1[[#This Row],[Qty]]&gt;=5,Table1[[#This Row],[Order Size]] = "Large" ), "Bulk", "")</f>
        <v/>
      </c>
      <c r="R317" s="10">
        <f>_xlfn.XLOOKUP(G317, Lookup!$A$2:$A$7, Lookup!$B$2:$B$7, "")</f>
        <v>0.25</v>
      </c>
      <c r="S317" s="4" t="str">
        <f>IF(Table1[[#This Row],[Margin]]&lt;Table1[[#This Row],[Target Margin]], "Yes", "")</f>
        <v/>
      </c>
    </row>
    <row r="318" spans="1:19">
      <c r="A318" t="s">
        <v>363</v>
      </c>
      <c r="B318" s="2">
        <v>46253</v>
      </c>
      <c r="C318" t="s">
        <v>32</v>
      </c>
      <c r="D318" t="s">
        <v>21</v>
      </c>
      <c r="E318">
        <v>3</v>
      </c>
      <c r="F318" t="str">
        <f>_xlfn.XLOOKUP(D318, Products!$A$2:$A$21, Products!$B$2:$B$21, "Not Found")</f>
        <v>Gaming Mouse</v>
      </c>
      <c r="G318" t="str">
        <f>_xlfn.XLOOKUP(D318, Products!$A$2:$A$21, Products!$C$2:$C$21,"not found")</f>
        <v>Accessories</v>
      </c>
      <c r="H318" s="4">
        <f>_xlfn.XLOOKUP(D318, Products!$A$2:$A$21, Products!$E$2:$E$21, 0)</f>
        <v>89</v>
      </c>
      <c r="I318" s="4">
        <f>_xlfn.XLOOKUP(D318, Products!$A$2:$A$21, Products!$F$2:$F$21,0)</f>
        <v>41</v>
      </c>
      <c r="J318" t="str">
        <f>_xlfn.XLOOKUP(C318, Stores!$A$2:$A$7, Stores!$D$2:$D$7)</f>
        <v>Sydney South</v>
      </c>
      <c r="K318" s="4">
        <f t="shared" si="8"/>
        <v>267</v>
      </c>
      <c r="L318" s="4">
        <f t="shared" si="9"/>
        <v>144</v>
      </c>
      <c r="M318" s="10">
        <f>IF(Table1[[#This Row],[Revenue]]=0, "", Table1[[#This Row],[Profit]]/Table1[[#This Row],[Revenue]])</f>
        <v>0.5393258426966292</v>
      </c>
      <c r="N318" s="4" t="str">
        <f>IF(Table1[[#This Row],[Margin]]="", "check", IF(Table1[[#This Row],[Margin]]&lt;0.2, "Low", "OK"))</f>
        <v>OK</v>
      </c>
      <c r="O318" s="4" t="str" cm="1">
        <f t="array" ref="O318">_xlfn.IFS(Table1[[#This Row],[Revenue]]=0, "Check", Table1[[#This Row],[Revenue]]&gt;=1000, "Large", Table1[[#This Row],[Revenue]]&gt;=200, "Medium", TRUE, "Small")</f>
        <v>Medium</v>
      </c>
      <c r="P318" s="4" t="str">
        <f>IF(AND(Table1[[#This Row],[Margin Flag]]="Low", Table1[[#This Row],[Revenue]]&gt;1000), "Review", "")</f>
        <v/>
      </c>
      <c r="Q318" s="4" t="str">
        <f>IF(OR(Table1[[#This Row],[Qty]]&gt;=5,Table1[[#This Row],[Order Size]] = "Large" ), "Bulk", "")</f>
        <v/>
      </c>
      <c r="R318" s="10">
        <f>_xlfn.XLOOKUP(G318, Lookup!$A$2:$A$7, Lookup!$B$2:$B$7, "")</f>
        <v>0.25</v>
      </c>
      <c r="S318" s="4" t="str">
        <f>IF(Table1[[#This Row],[Margin]]&lt;Table1[[#This Row],[Target Margin]], "Yes", "")</f>
        <v/>
      </c>
    </row>
    <row r="319" spans="1:19">
      <c r="A319" t="s">
        <v>364</v>
      </c>
      <c r="B319" s="2">
        <v>46253</v>
      </c>
      <c r="C319" t="s">
        <v>23</v>
      </c>
      <c r="D319" t="s">
        <v>171</v>
      </c>
      <c r="E319">
        <v>1</v>
      </c>
      <c r="F319" t="str">
        <f>_xlfn.XLOOKUP(D319, Products!$A$2:$A$21, Products!$B$2:$B$21, "Not Found")</f>
        <v>Smartwatch</v>
      </c>
      <c r="G319" t="str">
        <f>_xlfn.XLOOKUP(D319, Products!$A$2:$A$21, Products!$C$2:$C$21,"not found")</f>
        <v>Phones</v>
      </c>
      <c r="H319" s="4">
        <f>_xlfn.XLOOKUP(D319, Products!$A$2:$A$21, Products!$E$2:$E$21, 0)</f>
        <v>649</v>
      </c>
      <c r="I319" s="4">
        <f>_xlfn.XLOOKUP(D319, Products!$A$2:$A$21, Products!$F$2:$F$21,0)</f>
        <v>480</v>
      </c>
      <c r="J319" t="str">
        <f>_xlfn.XLOOKUP(C319, Stores!$A$2:$A$7, Stores!$D$2:$D$7)</f>
        <v>Sydney East</v>
      </c>
      <c r="K319" s="4">
        <f t="shared" si="8"/>
        <v>649</v>
      </c>
      <c r="L319" s="4">
        <f t="shared" si="9"/>
        <v>169</v>
      </c>
      <c r="M319" s="10">
        <f>IF(Table1[[#This Row],[Revenue]]=0, "", Table1[[#This Row],[Profit]]/Table1[[#This Row],[Revenue]])</f>
        <v>0.26040061633281975</v>
      </c>
      <c r="N319" s="4" t="str">
        <f>IF(Table1[[#This Row],[Margin]]="", "check", IF(Table1[[#This Row],[Margin]]&lt;0.2, "Low", "OK"))</f>
        <v>OK</v>
      </c>
      <c r="O319" s="4" t="str" cm="1">
        <f t="array" ref="O319">_xlfn.IFS(Table1[[#This Row],[Revenue]]=0, "Check", Table1[[#This Row],[Revenue]]&gt;=1000, "Large", Table1[[#This Row],[Revenue]]&gt;=200, "Medium", TRUE, "Small")</f>
        <v>Medium</v>
      </c>
      <c r="P319" s="4" t="str">
        <f>IF(AND(Table1[[#This Row],[Margin Flag]]="Low", Table1[[#This Row],[Revenue]]&gt;1000), "Review", "")</f>
        <v/>
      </c>
      <c r="Q319" s="4" t="str">
        <f>IF(OR(Table1[[#This Row],[Qty]]&gt;=5,Table1[[#This Row],[Order Size]] = "Large" ), "Bulk", "")</f>
        <v/>
      </c>
      <c r="R319" s="10">
        <f>_xlfn.XLOOKUP(G319, Lookup!$A$2:$A$7, Lookup!$B$2:$B$7, "")</f>
        <v>0.25</v>
      </c>
      <c r="S319" s="4" t="str">
        <f>IF(Table1[[#This Row],[Margin]]&lt;Table1[[#This Row],[Target Margin]], "Yes", "")</f>
        <v/>
      </c>
    </row>
    <row r="320" spans="1:19">
      <c r="A320" t="s">
        <v>365</v>
      </c>
      <c r="B320" s="2">
        <v>46253</v>
      </c>
      <c r="C320" t="s">
        <v>20</v>
      </c>
      <c r="D320" t="s">
        <v>30</v>
      </c>
      <c r="E320">
        <v>1</v>
      </c>
      <c r="F320" t="str">
        <f>_xlfn.XLOOKUP(D320, Products!$A$2:$A$21, Products!$B$2:$B$21, "Not Found")</f>
        <v>Video Game</v>
      </c>
      <c r="G320" t="str">
        <f>_xlfn.XLOOKUP(D320, Products!$A$2:$A$21, Products!$C$2:$C$21,"not found")</f>
        <v>Gaming</v>
      </c>
      <c r="H320" s="4">
        <f>_xlfn.XLOOKUP(D320, Products!$A$2:$A$21, Products!$E$2:$E$21, 0)</f>
        <v>79</v>
      </c>
      <c r="I320" s="4">
        <f>_xlfn.XLOOKUP(D320, Products!$A$2:$A$21, Products!$F$2:$F$21,0)</f>
        <v>52</v>
      </c>
      <c r="J320" t="str">
        <f>_xlfn.XLOOKUP(C320, Stores!$A$2:$A$7, Stores!$D$2:$D$7)</f>
        <v>Sydney West</v>
      </c>
      <c r="K320" s="4">
        <f t="shared" si="8"/>
        <v>79</v>
      </c>
      <c r="L320" s="4">
        <f t="shared" si="9"/>
        <v>27</v>
      </c>
      <c r="M320" s="10">
        <f>IF(Table1[[#This Row],[Revenue]]=0, "", Table1[[#This Row],[Profit]]/Table1[[#This Row],[Revenue]])</f>
        <v>0.34177215189873417</v>
      </c>
      <c r="N320" s="4" t="str">
        <f>IF(Table1[[#This Row],[Margin]]="", "check", IF(Table1[[#This Row],[Margin]]&lt;0.2, "Low", "OK"))</f>
        <v>OK</v>
      </c>
      <c r="O320" s="4" t="str" cm="1">
        <f t="array" ref="O320">_xlfn.IFS(Table1[[#This Row],[Revenue]]=0, "Check", Table1[[#This Row],[Revenue]]&gt;=1000, "Large", Table1[[#This Row],[Revenue]]&gt;=200, "Medium", TRUE, "Small")</f>
        <v>Small</v>
      </c>
      <c r="P320" s="4" t="str">
        <f>IF(AND(Table1[[#This Row],[Margin Flag]]="Low", Table1[[#This Row],[Revenue]]&gt;1000), "Review", "")</f>
        <v/>
      </c>
      <c r="Q320" s="4" t="str">
        <f>IF(OR(Table1[[#This Row],[Qty]]&gt;=5,Table1[[#This Row],[Order Size]] = "Large" ), "Bulk", "")</f>
        <v/>
      </c>
      <c r="R320" s="10">
        <f>_xlfn.XLOOKUP(G320, Lookup!$A$2:$A$7, Lookup!$B$2:$B$7, "")</f>
        <v>0.08</v>
      </c>
      <c r="S320" s="4" t="str">
        <f>IF(Table1[[#This Row],[Margin]]&lt;Table1[[#This Row],[Target Margin]], "Yes", "")</f>
        <v/>
      </c>
    </row>
    <row r="321" spans="1:19">
      <c r="A321" t="s">
        <v>366</v>
      </c>
      <c r="B321" s="2">
        <v>46253</v>
      </c>
      <c r="C321" t="s">
        <v>32</v>
      </c>
      <c r="D321" t="s">
        <v>58</v>
      </c>
      <c r="E321">
        <v>1</v>
      </c>
      <c r="F321" t="str">
        <f>_xlfn.XLOOKUP(D321, Products!$A$2:$A$21, Products!$B$2:$B$21, "Not Found")</f>
        <v>Mech Keyboard</v>
      </c>
      <c r="G321" t="str">
        <f>_xlfn.XLOOKUP(D321, Products!$A$2:$A$21, Products!$C$2:$C$21,"not found")</f>
        <v>Accessories</v>
      </c>
      <c r="H321" s="4">
        <f>_xlfn.XLOOKUP(D321, Products!$A$2:$A$21, Products!$E$2:$E$21, 0)</f>
        <v>149</v>
      </c>
      <c r="I321" s="4">
        <f>_xlfn.XLOOKUP(D321, Products!$A$2:$A$21, Products!$F$2:$F$21,0)</f>
        <v>72</v>
      </c>
      <c r="J321" t="str">
        <f>_xlfn.XLOOKUP(C321, Stores!$A$2:$A$7, Stores!$D$2:$D$7)</f>
        <v>Sydney South</v>
      </c>
      <c r="K321" s="4">
        <f t="shared" si="8"/>
        <v>149</v>
      </c>
      <c r="L321" s="4">
        <f t="shared" si="9"/>
        <v>77</v>
      </c>
      <c r="M321" s="10">
        <f>IF(Table1[[#This Row],[Revenue]]=0, "", Table1[[#This Row],[Profit]]/Table1[[#This Row],[Revenue]])</f>
        <v>0.51677852348993292</v>
      </c>
      <c r="N321" s="4" t="str">
        <f>IF(Table1[[#This Row],[Margin]]="", "check", IF(Table1[[#This Row],[Margin]]&lt;0.2, "Low", "OK"))</f>
        <v>OK</v>
      </c>
      <c r="O321" s="4" t="str" cm="1">
        <f t="array" ref="O321">_xlfn.IFS(Table1[[#This Row],[Revenue]]=0, "Check", Table1[[#This Row],[Revenue]]&gt;=1000, "Large", Table1[[#This Row],[Revenue]]&gt;=200, "Medium", TRUE, "Small")</f>
        <v>Small</v>
      </c>
      <c r="P321" s="4" t="str">
        <f>IF(AND(Table1[[#This Row],[Margin Flag]]="Low", Table1[[#This Row],[Revenue]]&gt;1000), "Review", "")</f>
        <v/>
      </c>
      <c r="Q321" s="4" t="str">
        <f>IF(OR(Table1[[#This Row],[Qty]]&gt;=5,Table1[[#This Row],[Order Size]] = "Large" ), "Bulk", "")</f>
        <v/>
      </c>
      <c r="R321" s="10">
        <f>_xlfn.XLOOKUP(G321, Lookup!$A$2:$A$7, Lookup!$B$2:$B$7, "")</f>
        <v>0.25</v>
      </c>
      <c r="S321" s="4" t="str">
        <f>IF(Table1[[#This Row],[Margin]]&lt;Table1[[#This Row],[Target Margin]], "Yes", "")</f>
        <v/>
      </c>
    </row>
    <row r="322" spans="1:19">
      <c r="A322" t="s">
        <v>367</v>
      </c>
      <c r="B322" s="2">
        <v>46253</v>
      </c>
      <c r="C322" t="s">
        <v>23</v>
      </c>
      <c r="D322" t="s">
        <v>35</v>
      </c>
      <c r="E322">
        <v>1</v>
      </c>
      <c r="F322" t="str">
        <f>_xlfn.XLOOKUP(D322, Products!$A$2:$A$21, Products!$B$2:$B$21, "Not Found")</f>
        <v>Phone Case</v>
      </c>
      <c r="G322" t="str">
        <f>_xlfn.XLOOKUP(D322, Products!$A$2:$A$21, Products!$C$2:$C$21,"not found")</f>
        <v>Accessories</v>
      </c>
      <c r="H322" s="4">
        <f>_xlfn.XLOOKUP(D322, Products!$A$2:$A$21, Products!$E$2:$E$21, 0)</f>
        <v>39</v>
      </c>
      <c r="I322" s="4">
        <f>_xlfn.XLOOKUP(D322, Products!$A$2:$A$21, Products!$F$2:$F$21,0)</f>
        <v>9</v>
      </c>
      <c r="J322" t="str">
        <f>_xlfn.XLOOKUP(C322, Stores!$A$2:$A$7, Stores!$D$2:$D$7)</f>
        <v>Sydney East</v>
      </c>
      <c r="K322" s="4">
        <f t="shared" si="8"/>
        <v>39</v>
      </c>
      <c r="L322" s="4">
        <f t="shared" si="9"/>
        <v>30</v>
      </c>
      <c r="M322" s="10">
        <f>IF(Table1[[#This Row],[Revenue]]=0, "", Table1[[#This Row],[Profit]]/Table1[[#This Row],[Revenue]])</f>
        <v>0.76923076923076927</v>
      </c>
      <c r="N322" s="4" t="str">
        <f>IF(Table1[[#This Row],[Margin]]="", "check", IF(Table1[[#This Row],[Margin]]&lt;0.2, "Low", "OK"))</f>
        <v>OK</v>
      </c>
      <c r="O322" s="4" t="str" cm="1">
        <f t="array" ref="O322">_xlfn.IFS(Table1[[#This Row],[Revenue]]=0, "Check", Table1[[#This Row],[Revenue]]&gt;=1000, "Large", Table1[[#This Row],[Revenue]]&gt;=200, "Medium", TRUE, "Small")</f>
        <v>Small</v>
      </c>
      <c r="P322" s="4" t="str">
        <f>IF(AND(Table1[[#This Row],[Margin Flag]]="Low", Table1[[#This Row],[Revenue]]&gt;1000), "Review", "")</f>
        <v/>
      </c>
      <c r="Q322" s="4" t="str">
        <f>IF(OR(Table1[[#This Row],[Qty]]&gt;=5,Table1[[#This Row],[Order Size]] = "Large" ), "Bulk", "")</f>
        <v/>
      </c>
      <c r="R322" s="10">
        <f>_xlfn.XLOOKUP(G322, Lookup!$A$2:$A$7, Lookup!$B$2:$B$7, "")</f>
        <v>0.25</v>
      </c>
      <c r="S322" s="4" t="str">
        <f>IF(Table1[[#This Row],[Margin]]&lt;Table1[[#This Row],[Target Margin]], "Yes", "")</f>
        <v/>
      </c>
    </row>
    <row r="323" spans="1:19">
      <c r="A323" t="s">
        <v>368</v>
      </c>
      <c r="B323" s="2">
        <v>46253</v>
      </c>
      <c r="C323" t="s">
        <v>32</v>
      </c>
      <c r="D323" t="s">
        <v>30</v>
      </c>
      <c r="E323">
        <v>3</v>
      </c>
      <c r="F323" t="str">
        <f>_xlfn.XLOOKUP(D323, Products!$A$2:$A$21, Products!$B$2:$B$21, "Not Found")</f>
        <v>Video Game</v>
      </c>
      <c r="G323" t="str">
        <f>_xlfn.XLOOKUP(D323, Products!$A$2:$A$21, Products!$C$2:$C$21,"not found")</f>
        <v>Gaming</v>
      </c>
      <c r="H323" s="4">
        <f>_xlfn.XLOOKUP(D323, Products!$A$2:$A$21, Products!$E$2:$E$21, 0)</f>
        <v>79</v>
      </c>
      <c r="I323" s="4">
        <f>_xlfn.XLOOKUP(D323, Products!$A$2:$A$21, Products!$F$2:$F$21,0)</f>
        <v>52</v>
      </c>
      <c r="J323" t="str">
        <f>_xlfn.XLOOKUP(C323, Stores!$A$2:$A$7, Stores!$D$2:$D$7)</f>
        <v>Sydney South</v>
      </c>
      <c r="K323" s="4">
        <f t="shared" ref="K323:K386" si="10" xml:space="preserve"> E323*H323</f>
        <v>237</v>
      </c>
      <c r="L323" s="4">
        <f t="shared" ref="L323:L386" si="11" xml:space="preserve"> K323 - (E323 * I323)</f>
        <v>81</v>
      </c>
      <c r="M323" s="10">
        <f>IF(Table1[[#This Row],[Revenue]]=0, "", Table1[[#This Row],[Profit]]/Table1[[#This Row],[Revenue]])</f>
        <v>0.34177215189873417</v>
      </c>
      <c r="N323" s="4" t="str">
        <f>IF(Table1[[#This Row],[Margin]]="", "check", IF(Table1[[#This Row],[Margin]]&lt;0.2, "Low", "OK"))</f>
        <v>OK</v>
      </c>
      <c r="O323" s="4" t="str" cm="1">
        <f t="array" ref="O323">_xlfn.IFS(Table1[[#This Row],[Revenue]]=0, "Check", Table1[[#This Row],[Revenue]]&gt;=1000, "Large", Table1[[#This Row],[Revenue]]&gt;=200, "Medium", TRUE, "Small")</f>
        <v>Medium</v>
      </c>
      <c r="P323" s="4" t="str">
        <f>IF(AND(Table1[[#This Row],[Margin Flag]]="Low", Table1[[#This Row],[Revenue]]&gt;1000), "Review", "")</f>
        <v/>
      </c>
      <c r="Q323" s="4" t="str">
        <f>IF(OR(Table1[[#This Row],[Qty]]&gt;=5,Table1[[#This Row],[Order Size]] = "Large" ), "Bulk", "")</f>
        <v/>
      </c>
      <c r="R323" s="10">
        <f>_xlfn.XLOOKUP(G323, Lookup!$A$2:$A$7, Lookup!$B$2:$B$7, "")</f>
        <v>0.08</v>
      </c>
      <c r="S323" s="4" t="str">
        <f>IF(Table1[[#This Row],[Margin]]&lt;Table1[[#This Row],[Target Margin]], "Yes", "")</f>
        <v/>
      </c>
    </row>
    <row r="324" spans="1:19">
      <c r="A324" t="s">
        <v>369</v>
      </c>
      <c r="B324" s="2">
        <v>46254</v>
      </c>
      <c r="C324" t="s">
        <v>26</v>
      </c>
      <c r="D324" t="s">
        <v>38</v>
      </c>
      <c r="E324">
        <v>1</v>
      </c>
      <c r="F324" t="str">
        <f>_xlfn.XLOOKUP(D324, Products!$A$2:$A$21, Products!$B$2:$B$21, "Not Found")</f>
        <v>USB-C Charger</v>
      </c>
      <c r="G324" t="str">
        <f>_xlfn.XLOOKUP(D324, Products!$A$2:$A$21, Products!$C$2:$C$21,"not found")</f>
        <v>Accessories</v>
      </c>
      <c r="H324" s="4">
        <f>_xlfn.XLOOKUP(D324, Products!$A$2:$A$21, Products!$E$2:$E$21, 0)</f>
        <v>49</v>
      </c>
      <c r="I324" s="4">
        <f>_xlfn.XLOOKUP(D324, Products!$A$2:$A$21, Products!$F$2:$F$21,0)</f>
        <v>14</v>
      </c>
      <c r="J324" t="str">
        <f>_xlfn.XLOOKUP(C324, Stores!$A$2:$A$7, Stores!$D$2:$D$7)</f>
        <v>Sydney North</v>
      </c>
      <c r="K324" s="4">
        <f t="shared" si="10"/>
        <v>49</v>
      </c>
      <c r="L324" s="4">
        <f t="shared" si="11"/>
        <v>35</v>
      </c>
      <c r="M324" s="10">
        <f>IF(Table1[[#This Row],[Revenue]]=0, "", Table1[[#This Row],[Profit]]/Table1[[#This Row],[Revenue]])</f>
        <v>0.7142857142857143</v>
      </c>
      <c r="N324" s="4" t="str">
        <f>IF(Table1[[#This Row],[Margin]]="", "check", IF(Table1[[#This Row],[Margin]]&lt;0.2, "Low", "OK"))</f>
        <v>OK</v>
      </c>
      <c r="O324" s="4" t="str" cm="1">
        <f t="array" ref="O324">_xlfn.IFS(Table1[[#This Row],[Revenue]]=0, "Check", Table1[[#This Row],[Revenue]]&gt;=1000, "Large", Table1[[#This Row],[Revenue]]&gt;=200, "Medium", TRUE, "Small")</f>
        <v>Small</v>
      </c>
      <c r="P324" s="4" t="str">
        <f>IF(AND(Table1[[#This Row],[Margin Flag]]="Low", Table1[[#This Row],[Revenue]]&gt;1000), "Review", "")</f>
        <v/>
      </c>
      <c r="Q324" s="4" t="str">
        <f>IF(OR(Table1[[#This Row],[Qty]]&gt;=5,Table1[[#This Row],[Order Size]] = "Large" ), "Bulk", "")</f>
        <v/>
      </c>
      <c r="R324" s="10">
        <f>_xlfn.XLOOKUP(G324, Lookup!$A$2:$A$7, Lookup!$B$2:$B$7, "")</f>
        <v>0.25</v>
      </c>
      <c r="S324" s="4" t="str">
        <f>IF(Table1[[#This Row],[Margin]]&lt;Table1[[#This Row],[Target Margin]], "Yes", "")</f>
        <v/>
      </c>
    </row>
    <row r="325" spans="1:19">
      <c r="A325" t="s">
        <v>370</v>
      </c>
      <c r="B325" s="2">
        <v>46254</v>
      </c>
      <c r="C325" t="s">
        <v>57</v>
      </c>
      <c r="D325" t="s">
        <v>80</v>
      </c>
      <c r="E325">
        <v>1</v>
      </c>
      <c r="F325" t="str">
        <f>_xlfn.XLOOKUP(D325, Products!$A$2:$A$21, Products!$B$2:$B$21, "Not Found")</f>
        <v>Over-Ear Headphones</v>
      </c>
      <c r="G325" t="str">
        <f>_xlfn.XLOOKUP(D325, Products!$A$2:$A$21, Products!$C$2:$C$21,"not found")</f>
        <v>Audio</v>
      </c>
      <c r="H325" s="4">
        <f>_xlfn.XLOOKUP(D325, Products!$A$2:$A$21, Products!$E$2:$E$21, 0)</f>
        <v>499</v>
      </c>
      <c r="I325" s="4">
        <f>_xlfn.XLOOKUP(D325, Products!$A$2:$A$21, Products!$F$2:$F$21,0)</f>
        <v>310</v>
      </c>
      <c r="J325" t="str">
        <f>_xlfn.XLOOKUP(C325, Stores!$A$2:$A$7, Stores!$D$2:$D$7)</f>
        <v>Sydney South</v>
      </c>
      <c r="K325" s="4">
        <f t="shared" si="10"/>
        <v>499</v>
      </c>
      <c r="L325" s="4">
        <f t="shared" si="11"/>
        <v>189</v>
      </c>
      <c r="M325" s="10">
        <f>IF(Table1[[#This Row],[Revenue]]=0, "", Table1[[#This Row],[Profit]]/Table1[[#This Row],[Revenue]])</f>
        <v>0.37875751503006011</v>
      </c>
      <c r="N325" s="4" t="str">
        <f>IF(Table1[[#This Row],[Margin]]="", "check", IF(Table1[[#This Row],[Margin]]&lt;0.2, "Low", "OK"))</f>
        <v>OK</v>
      </c>
      <c r="O325" s="4" t="str" cm="1">
        <f t="array" ref="O325">_xlfn.IFS(Table1[[#This Row],[Revenue]]=0, "Check", Table1[[#This Row],[Revenue]]&gt;=1000, "Large", Table1[[#This Row],[Revenue]]&gt;=200, "Medium", TRUE, "Small")</f>
        <v>Medium</v>
      </c>
      <c r="P325" s="4" t="str">
        <f>IF(AND(Table1[[#This Row],[Margin Flag]]="Low", Table1[[#This Row],[Revenue]]&gt;1000), "Review", "")</f>
        <v/>
      </c>
      <c r="Q325" s="4" t="str">
        <f>IF(OR(Table1[[#This Row],[Qty]]&gt;=5,Table1[[#This Row],[Order Size]] = "Large" ), "Bulk", "")</f>
        <v/>
      </c>
      <c r="R325" s="10">
        <f>_xlfn.XLOOKUP(G325, Lookup!$A$2:$A$7, Lookup!$B$2:$B$7, "")</f>
        <v>0.25</v>
      </c>
      <c r="S325" s="4" t="str">
        <f>IF(Table1[[#This Row],[Margin]]&lt;Table1[[#This Row],[Target Margin]], "Yes", "")</f>
        <v/>
      </c>
    </row>
    <row r="326" spans="1:19">
      <c r="A326" t="s">
        <v>371</v>
      </c>
      <c r="B326" s="2">
        <v>46254</v>
      </c>
      <c r="C326" t="s">
        <v>32</v>
      </c>
      <c r="D326" t="s">
        <v>58</v>
      </c>
      <c r="E326">
        <v>1</v>
      </c>
      <c r="F326" t="str">
        <f>_xlfn.XLOOKUP(D326, Products!$A$2:$A$21, Products!$B$2:$B$21, "Not Found")</f>
        <v>Mech Keyboard</v>
      </c>
      <c r="G326" t="str">
        <f>_xlfn.XLOOKUP(D326, Products!$A$2:$A$21, Products!$C$2:$C$21,"not found")</f>
        <v>Accessories</v>
      </c>
      <c r="H326" s="4">
        <f>_xlfn.XLOOKUP(D326, Products!$A$2:$A$21, Products!$E$2:$E$21, 0)</f>
        <v>149</v>
      </c>
      <c r="I326" s="4">
        <f>_xlfn.XLOOKUP(D326, Products!$A$2:$A$21, Products!$F$2:$F$21,0)</f>
        <v>72</v>
      </c>
      <c r="J326" t="str">
        <f>_xlfn.XLOOKUP(C326, Stores!$A$2:$A$7, Stores!$D$2:$D$7)</f>
        <v>Sydney South</v>
      </c>
      <c r="K326" s="4">
        <f t="shared" si="10"/>
        <v>149</v>
      </c>
      <c r="L326" s="4">
        <f t="shared" si="11"/>
        <v>77</v>
      </c>
      <c r="M326" s="10">
        <f>IF(Table1[[#This Row],[Revenue]]=0, "", Table1[[#This Row],[Profit]]/Table1[[#This Row],[Revenue]])</f>
        <v>0.51677852348993292</v>
      </c>
      <c r="N326" s="4" t="str">
        <f>IF(Table1[[#This Row],[Margin]]="", "check", IF(Table1[[#This Row],[Margin]]&lt;0.2, "Low", "OK"))</f>
        <v>OK</v>
      </c>
      <c r="O326" s="4" t="str" cm="1">
        <f t="array" ref="O326">_xlfn.IFS(Table1[[#This Row],[Revenue]]=0, "Check", Table1[[#This Row],[Revenue]]&gt;=1000, "Large", Table1[[#This Row],[Revenue]]&gt;=200, "Medium", TRUE, "Small")</f>
        <v>Small</v>
      </c>
      <c r="P326" s="4" t="str">
        <f>IF(AND(Table1[[#This Row],[Margin Flag]]="Low", Table1[[#This Row],[Revenue]]&gt;1000), "Review", "")</f>
        <v/>
      </c>
      <c r="Q326" s="4" t="str">
        <f>IF(OR(Table1[[#This Row],[Qty]]&gt;=5,Table1[[#This Row],[Order Size]] = "Large" ), "Bulk", "")</f>
        <v/>
      </c>
      <c r="R326" s="10">
        <f>_xlfn.XLOOKUP(G326, Lookup!$A$2:$A$7, Lookup!$B$2:$B$7, "")</f>
        <v>0.25</v>
      </c>
      <c r="S326" s="4" t="str">
        <f>IF(Table1[[#This Row],[Margin]]&lt;Table1[[#This Row],[Target Margin]], "Yes", "")</f>
        <v/>
      </c>
    </row>
    <row r="327" spans="1:19">
      <c r="A327" t="s">
        <v>372</v>
      </c>
      <c r="B327" s="2">
        <v>46254</v>
      </c>
      <c r="C327" t="s">
        <v>32</v>
      </c>
      <c r="D327" t="s">
        <v>27</v>
      </c>
      <c r="E327">
        <v>2</v>
      </c>
      <c r="F327" t="str">
        <f>_xlfn.XLOOKUP(D327, Products!$A$2:$A$21, Products!$B$2:$B$21, "Not Found")</f>
        <v>Bluetooth Speaker</v>
      </c>
      <c r="G327" t="str">
        <f>_xlfn.XLOOKUP(D327, Products!$A$2:$A$21, Products!$C$2:$C$21,"not found")</f>
        <v>Audio</v>
      </c>
      <c r="H327" s="4">
        <f>_xlfn.XLOOKUP(D327, Products!$A$2:$A$21, Products!$E$2:$E$21, 0)</f>
        <v>179</v>
      </c>
      <c r="I327" s="4">
        <f>_xlfn.XLOOKUP(D327, Products!$A$2:$A$21, Products!$F$2:$F$21,0)</f>
        <v>95</v>
      </c>
      <c r="J327" t="str">
        <f>_xlfn.XLOOKUP(C327, Stores!$A$2:$A$7, Stores!$D$2:$D$7)</f>
        <v>Sydney South</v>
      </c>
      <c r="K327" s="4">
        <f t="shared" si="10"/>
        <v>358</v>
      </c>
      <c r="L327" s="4">
        <f t="shared" si="11"/>
        <v>168</v>
      </c>
      <c r="M327" s="10">
        <f>IF(Table1[[#This Row],[Revenue]]=0, "", Table1[[#This Row],[Profit]]/Table1[[#This Row],[Revenue]])</f>
        <v>0.46927374301675978</v>
      </c>
      <c r="N327" s="4" t="str">
        <f>IF(Table1[[#This Row],[Margin]]="", "check", IF(Table1[[#This Row],[Margin]]&lt;0.2, "Low", "OK"))</f>
        <v>OK</v>
      </c>
      <c r="O327" s="4" t="str" cm="1">
        <f t="array" ref="O327">_xlfn.IFS(Table1[[#This Row],[Revenue]]=0, "Check", Table1[[#This Row],[Revenue]]&gt;=1000, "Large", Table1[[#This Row],[Revenue]]&gt;=200, "Medium", TRUE, "Small")</f>
        <v>Medium</v>
      </c>
      <c r="P327" s="4" t="str">
        <f>IF(AND(Table1[[#This Row],[Margin Flag]]="Low", Table1[[#This Row],[Revenue]]&gt;1000), "Review", "")</f>
        <v/>
      </c>
      <c r="Q327" s="4" t="str">
        <f>IF(OR(Table1[[#This Row],[Qty]]&gt;=5,Table1[[#This Row],[Order Size]] = "Large" ), "Bulk", "")</f>
        <v/>
      </c>
      <c r="R327" s="10">
        <f>_xlfn.XLOOKUP(G327, Lookup!$A$2:$A$7, Lookup!$B$2:$B$7, "")</f>
        <v>0.25</v>
      </c>
      <c r="S327" s="4" t="str">
        <f>IF(Table1[[#This Row],[Margin]]&lt;Table1[[#This Row],[Target Margin]], "Yes", "")</f>
        <v/>
      </c>
    </row>
    <row r="328" spans="1:19">
      <c r="A328" t="s">
        <v>373</v>
      </c>
      <c r="B328" s="2">
        <v>46254</v>
      </c>
      <c r="C328" t="s">
        <v>32</v>
      </c>
      <c r="D328" t="s">
        <v>24</v>
      </c>
      <c r="E328">
        <v>1</v>
      </c>
      <c r="F328" t="str">
        <f>_xlfn.XLOOKUP(D328, Products!$A$2:$A$21, Products!$B$2:$B$21, "Not Found")</f>
        <v>Wireless Earbuds</v>
      </c>
      <c r="G328" t="str">
        <f>_xlfn.XLOOKUP(D328, Products!$A$2:$A$21, Products!$C$2:$C$21,"not found")</f>
        <v>Audio</v>
      </c>
      <c r="H328" s="4">
        <f>_xlfn.XLOOKUP(D328, Products!$A$2:$A$21, Products!$E$2:$E$21, 0)</f>
        <v>249</v>
      </c>
      <c r="I328" s="4">
        <f>_xlfn.XLOOKUP(D328, Products!$A$2:$A$21, Products!$F$2:$F$21,0)</f>
        <v>140</v>
      </c>
      <c r="J328" t="str">
        <f>_xlfn.XLOOKUP(C328, Stores!$A$2:$A$7, Stores!$D$2:$D$7)</f>
        <v>Sydney South</v>
      </c>
      <c r="K328" s="4">
        <f t="shared" si="10"/>
        <v>249</v>
      </c>
      <c r="L328" s="4">
        <f t="shared" si="11"/>
        <v>109</v>
      </c>
      <c r="M328" s="10">
        <f>IF(Table1[[#This Row],[Revenue]]=0, "", Table1[[#This Row],[Profit]]/Table1[[#This Row],[Revenue]])</f>
        <v>0.43775100401606426</v>
      </c>
      <c r="N328" s="4" t="str">
        <f>IF(Table1[[#This Row],[Margin]]="", "check", IF(Table1[[#This Row],[Margin]]&lt;0.2, "Low", "OK"))</f>
        <v>OK</v>
      </c>
      <c r="O328" s="4" t="str" cm="1">
        <f t="array" ref="O328">_xlfn.IFS(Table1[[#This Row],[Revenue]]=0, "Check", Table1[[#This Row],[Revenue]]&gt;=1000, "Large", Table1[[#This Row],[Revenue]]&gt;=200, "Medium", TRUE, "Small")</f>
        <v>Medium</v>
      </c>
      <c r="P328" s="4" t="str">
        <f>IF(AND(Table1[[#This Row],[Margin Flag]]="Low", Table1[[#This Row],[Revenue]]&gt;1000), "Review", "")</f>
        <v/>
      </c>
      <c r="Q328" s="4" t="str">
        <f>IF(OR(Table1[[#This Row],[Qty]]&gt;=5,Table1[[#This Row],[Order Size]] = "Large" ), "Bulk", "")</f>
        <v/>
      </c>
      <c r="R328" s="10">
        <f>_xlfn.XLOOKUP(G328, Lookup!$A$2:$A$7, Lookup!$B$2:$B$7, "")</f>
        <v>0.25</v>
      </c>
      <c r="S328" s="4" t="str">
        <f>IF(Table1[[#This Row],[Margin]]&lt;Table1[[#This Row],[Target Margin]], "Yes", "")</f>
        <v/>
      </c>
    </row>
    <row r="329" spans="1:19">
      <c r="A329" t="s">
        <v>374</v>
      </c>
      <c r="B329" s="2">
        <v>46254</v>
      </c>
      <c r="C329" t="s">
        <v>26</v>
      </c>
      <c r="D329" t="s">
        <v>99</v>
      </c>
      <c r="E329">
        <v>1</v>
      </c>
      <c r="F329" t="str">
        <f>_xlfn.XLOOKUP(D329, Products!$A$2:$A$21, Products!$B$2:$B$21, "Not Found")</f>
        <v>Smartphone 256GB</v>
      </c>
      <c r="G329" t="str">
        <f>_xlfn.XLOOKUP(D329, Products!$A$2:$A$21, Products!$C$2:$C$21,"not found")</f>
        <v>Phones</v>
      </c>
      <c r="H329" s="4">
        <f>_xlfn.XLOOKUP(D329, Products!$A$2:$A$21, Products!$E$2:$E$21, 0)</f>
        <v>1499</v>
      </c>
      <c r="I329" s="4">
        <f>_xlfn.XLOOKUP(D329, Products!$A$2:$A$21, Products!$F$2:$F$21,0)</f>
        <v>1180</v>
      </c>
      <c r="J329" t="str">
        <f>_xlfn.XLOOKUP(C329, Stores!$A$2:$A$7, Stores!$D$2:$D$7)</f>
        <v>Sydney North</v>
      </c>
      <c r="K329" s="4">
        <f t="shared" si="10"/>
        <v>1499</v>
      </c>
      <c r="L329" s="4">
        <f t="shared" si="11"/>
        <v>319</v>
      </c>
      <c r="M329" s="10">
        <f>IF(Table1[[#This Row],[Revenue]]=0, "", Table1[[#This Row],[Profit]]/Table1[[#This Row],[Revenue]])</f>
        <v>0.21280853902601735</v>
      </c>
      <c r="N329" s="4" t="str">
        <f>IF(Table1[[#This Row],[Margin]]="", "check", IF(Table1[[#This Row],[Margin]]&lt;0.2, "Low", "OK"))</f>
        <v>OK</v>
      </c>
      <c r="O329" s="4" t="str" cm="1">
        <f t="array" ref="O329">_xlfn.IFS(Table1[[#This Row],[Revenue]]=0, "Check", Table1[[#This Row],[Revenue]]&gt;=1000, "Large", Table1[[#This Row],[Revenue]]&gt;=200, "Medium", TRUE, "Small")</f>
        <v>Large</v>
      </c>
      <c r="P329" s="4" t="str">
        <f>IF(AND(Table1[[#This Row],[Margin Flag]]="Low", Table1[[#This Row],[Revenue]]&gt;1000), "Review", "")</f>
        <v/>
      </c>
      <c r="Q329" s="4" t="str">
        <f>IF(OR(Table1[[#This Row],[Qty]]&gt;=5,Table1[[#This Row],[Order Size]] = "Large" ), "Bulk", "")</f>
        <v>Bulk</v>
      </c>
      <c r="R329" s="10">
        <f>_xlfn.XLOOKUP(G329, Lookup!$A$2:$A$7, Lookup!$B$2:$B$7, "")</f>
        <v>0.25</v>
      </c>
      <c r="S329" s="4" t="str">
        <f>IF(Table1[[#This Row],[Margin]]&lt;Table1[[#This Row],[Target Margin]], "Yes", "")</f>
        <v>Yes</v>
      </c>
    </row>
    <row r="330" spans="1:19">
      <c r="A330" t="s">
        <v>375</v>
      </c>
      <c r="B330" s="2">
        <v>46254</v>
      </c>
      <c r="C330" t="s">
        <v>29</v>
      </c>
      <c r="D330" t="s">
        <v>27</v>
      </c>
      <c r="E330">
        <v>1</v>
      </c>
      <c r="F330" t="str">
        <f>_xlfn.XLOOKUP(D330, Products!$A$2:$A$21, Products!$B$2:$B$21, "Not Found")</f>
        <v>Bluetooth Speaker</v>
      </c>
      <c r="G330" t="str">
        <f>_xlfn.XLOOKUP(D330, Products!$A$2:$A$21, Products!$C$2:$C$21,"not found")</f>
        <v>Audio</v>
      </c>
      <c r="H330" s="4">
        <f>_xlfn.XLOOKUP(D330, Products!$A$2:$A$21, Products!$E$2:$E$21, 0)</f>
        <v>179</v>
      </c>
      <c r="I330" s="4">
        <f>_xlfn.XLOOKUP(D330, Products!$A$2:$A$21, Products!$F$2:$F$21,0)</f>
        <v>95</v>
      </c>
      <c r="J330" t="str">
        <f>_xlfn.XLOOKUP(C330, Stores!$A$2:$A$7, Stores!$D$2:$D$7)</f>
        <v>Sydney West</v>
      </c>
      <c r="K330" s="4">
        <f t="shared" si="10"/>
        <v>179</v>
      </c>
      <c r="L330" s="4">
        <f t="shared" si="11"/>
        <v>84</v>
      </c>
      <c r="M330" s="10">
        <f>IF(Table1[[#This Row],[Revenue]]=0, "", Table1[[#This Row],[Profit]]/Table1[[#This Row],[Revenue]])</f>
        <v>0.46927374301675978</v>
      </c>
      <c r="N330" s="4" t="str">
        <f>IF(Table1[[#This Row],[Margin]]="", "check", IF(Table1[[#This Row],[Margin]]&lt;0.2, "Low", "OK"))</f>
        <v>OK</v>
      </c>
      <c r="O330" s="4" t="str" cm="1">
        <f t="array" ref="O330">_xlfn.IFS(Table1[[#This Row],[Revenue]]=0, "Check", Table1[[#This Row],[Revenue]]&gt;=1000, "Large", Table1[[#This Row],[Revenue]]&gt;=200, "Medium", TRUE, "Small")</f>
        <v>Small</v>
      </c>
      <c r="P330" s="4" t="str">
        <f>IF(AND(Table1[[#This Row],[Margin Flag]]="Low", Table1[[#This Row],[Revenue]]&gt;1000), "Review", "")</f>
        <v/>
      </c>
      <c r="Q330" s="4" t="str">
        <f>IF(OR(Table1[[#This Row],[Qty]]&gt;=5,Table1[[#This Row],[Order Size]] = "Large" ), "Bulk", "")</f>
        <v/>
      </c>
      <c r="R330" s="10">
        <f>_xlfn.XLOOKUP(G330, Lookup!$A$2:$A$7, Lookup!$B$2:$B$7, "")</f>
        <v>0.25</v>
      </c>
      <c r="S330" s="4" t="str">
        <f>IF(Table1[[#This Row],[Margin]]&lt;Table1[[#This Row],[Target Margin]], "Yes", "")</f>
        <v/>
      </c>
    </row>
    <row r="331" spans="1:19">
      <c r="A331" t="s">
        <v>376</v>
      </c>
      <c r="B331" s="2">
        <v>46254</v>
      </c>
      <c r="C331" t="s">
        <v>29</v>
      </c>
      <c r="D331" t="s">
        <v>30</v>
      </c>
      <c r="E331">
        <v>1</v>
      </c>
      <c r="F331" t="str">
        <f>_xlfn.XLOOKUP(D331, Products!$A$2:$A$21, Products!$B$2:$B$21, "Not Found")</f>
        <v>Video Game</v>
      </c>
      <c r="G331" t="str">
        <f>_xlfn.XLOOKUP(D331, Products!$A$2:$A$21, Products!$C$2:$C$21,"not found")</f>
        <v>Gaming</v>
      </c>
      <c r="H331" s="4">
        <f>_xlfn.XLOOKUP(D331, Products!$A$2:$A$21, Products!$E$2:$E$21, 0)</f>
        <v>79</v>
      </c>
      <c r="I331" s="4">
        <f>_xlfn.XLOOKUP(D331, Products!$A$2:$A$21, Products!$F$2:$F$21,0)</f>
        <v>52</v>
      </c>
      <c r="J331" t="str">
        <f>_xlfn.XLOOKUP(C331, Stores!$A$2:$A$7, Stores!$D$2:$D$7)</f>
        <v>Sydney West</v>
      </c>
      <c r="K331" s="4">
        <f t="shared" si="10"/>
        <v>79</v>
      </c>
      <c r="L331" s="4">
        <f t="shared" si="11"/>
        <v>27</v>
      </c>
      <c r="M331" s="10">
        <f>IF(Table1[[#This Row],[Revenue]]=0, "", Table1[[#This Row],[Profit]]/Table1[[#This Row],[Revenue]])</f>
        <v>0.34177215189873417</v>
      </c>
      <c r="N331" s="4" t="str">
        <f>IF(Table1[[#This Row],[Margin]]="", "check", IF(Table1[[#This Row],[Margin]]&lt;0.2, "Low", "OK"))</f>
        <v>OK</v>
      </c>
      <c r="O331" s="4" t="str" cm="1">
        <f t="array" ref="O331">_xlfn.IFS(Table1[[#This Row],[Revenue]]=0, "Check", Table1[[#This Row],[Revenue]]&gt;=1000, "Large", Table1[[#This Row],[Revenue]]&gt;=200, "Medium", TRUE, "Small")</f>
        <v>Small</v>
      </c>
      <c r="P331" s="4" t="str">
        <f>IF(AND(Table1[[#This Row],[Margin Flag]]="Low", Table1[[#This Row],[Revenue]]&gt;1000), "Review", "")</f>
        <v/>
      </c>
      <c r="Q331" s="4" t="str">
        <f>IF(OR(Table1[[#This Row],[Qty]]&gt;=5,Table1[[#This Row],[Order Size]] = "Large" ), "Bulk", "")</f>
        <v/>
      </c>
      <c r="R331" s="10">
        <f>_xlfn.XLOOKUP(G331, Lookup!$A$2:$A$7, Lookup!$B$2:$B$7, "")</f>
        <v>0.08</v>
      </c>
      <c r="S331" s="4" t="str">
        <f>IF(Table1[[#This Row],[Margin]]&lt;Table1[[#This Row],[Target Margin]], "Yes", "")</f>
        <v/>
      </c>
    </row>
    <row r="332" spans="1:19">
      <c r="A332" t="s">
        <v>377</v>
      </c>
      <c r="B332" s="2">
        <v>46254</v>
      </c>
      <c r="C332" t="s">
        <v>20</v>
      </c>
      <c r="D332" t="s">
        <v>30</v>
      </c>
      <c r="E332">
        <v>1</v>
      </c>
      <c r="F332" t="str">
        <f>_xlfn.XLOOKUP(D332, Products!$A$2:$A$21, Products!$B$2:$B$21, "Not Found")</f>
        <v>Video Game</v>
      </c>
      <c r="G332" t="str">
        <f>_xlfn.XLOOKUP(D332, Products!$A$2:$A$21, Products!$C$2:$C$21,"not found")</f>
        <v>Gaming</v>
      </c>
      <c r="H332" s="4">
        <f>_xlfn.XLOOKUP(D332, Products!$A$2:$A$21, Products!$E$2:$E$21, 0)</f>
        <v>79</v>
      </c>
      <c r="I332" s="4">
        <f>_xlfn.XLOOKUP(D332, Products!$A$2:$A$21, Products!$F$2:$F$21,0)</f>
        <v>52</v>
      </c>
      <c r="J332" t="str">
        <f>_xlfn.XLOOKUP(C332, Stores!$A$2:$A$7, Stores!$D$2:$D$7)</f>
        <v>Sydney West</v>
      </c>
      <c r="K332" s="4">
        <f t="shared" si="10"/>
        <v>79</v>
      </c>
      <c r="L332" s="4">
        <f t="shared" si="11"/>
        <v>27</v>
      </c>
      <c r="M332" s="10">
        <f>IF(Table1[[#This Row],[Revenue]]=0, "", Table1[[#This Row],[Profit]]/Table1[[#This Row],[Revenue]])</f>
        <v>0.34177215189873417</v>
      </c>
      <c r="N332" s="4" t="str">
        <f>IF(Table1[[#This Row],[Margin]]="", "check", IF(Table1[[#This Row],[Margin]]&lt;0.2, "Low", "OK"))</f>
        <v>OK</v>
      </c>
      <c r="O332" s="4" t="str" cm="1">
        <f t="array" ref="O332">_xlfn.IFS(Table1[[#This Row],[Revenue]]=0, "Check", Table1[[#This Row],[Revenue]]&gt;=1000, "Large", Table1[[#This Row],[Revenue]]&gt;=200, "Medium", TRUE, "Small")</f>
        <v>Small</v>
      </c>
      <c r="P332" s="4" t="str">
        <f>IF(AND(Table1[[#This Row],[Margin Flag]]="Low", Table1[[#This Row],[Revenue]]&gt;1000), "Review", "")</f>
        <v/>
      </c>
      <c r="Q332" s="4" t="str">
        <f>IF(OR(Table1[[#This Row],[Qty]]&gt;=5,Table1[[#This Row],[Order Size]] = "Large" ), "Bulk", "")</f>
        <v/>
      </c>
      <c r="R332" s="10">
        <f>_xlfn.XLOOKUP(G332, Lookup!$A$2:$A$7, Lookup!$B$2:$B$7, "")</f>
        <v>0.08</v>
      </c>
      <c r="S332" s="4" t="str">
        <f>IF(Table1[[#This Row],[Margin]]&lt;Table1[[#This Row],[Target Margin]], "Yes", "")</f>
        <v/>
      </c>
    </row>
    <row r="333" spans="1:19">
      <c r="A333" t="s">
        <v>378</v>
      </c>
      <c r="B333" s="2">
        <v>46255</v>
      </c>
      <c r="C333" t="s">
        <v>29</v>
      </c>
      <c r="D333" t="s">
        <v>50</v>
      </c>
      <c r="E333">
        <v>1</v>
      </c>
      <c r="F333" t="str">
        <f>_xlfn.XLOOKUP(D333, Products!$A$2:$A$21, Products!$B$2:$B$21, "Not Found")</f>
        <v>Smartphone 128GB</v>
      </c>
      <c r="G333" t="str">
        <f>_xlfn.XLOOKUP(D333, Products!$A$2:$A$21, Products!$C$2:$C$21,"not found")</f>
        <v>Phones</v>
      </c>
      <c r="H333" s="4">
        <f>_xlfn.XLOOKUP(D333, Products!$A$2:$A$21, Products!$E$2:$E$21, 0)</f>
        <v>1099</v>
      </c>
      <c r="I333" s="4">
        <f>_xlfn.XLOOKUP(D333, Products!$A$2:$A$21, Products!$F$2:$F$21,0)</f>
        <v>860</v>
      </c>
      <c r="J333" t="str">
        <f>_xlfn.XLOOKUP(C333, Stores!$A$2:$A$7, Stores!$D$2:$D$7)</f>
        <v>Sydney West</v>
      </c>
      <c r="K333" s="4">
        <f t="shared" si="10"/>
        <v>1099</v>
      </c>
      <c r="L333" s="4">
        <f t="shared" si="11"/>
        <v>239</v>
      </c>
      <c r="M333" s="10">
        <f>IF(Table1[[#This Row],[Revenue]]=0, "", Table1[[#This Row],[Profit]]/Table1[[#This Row],[Revenue]])</f>
        <v>0.21747042766151045</v>
      </c>
      <c r="N333" s="4" t="str">
        <f>IF(Table1[[#This Row],[Margin]]="", "check", IF(Table1[[#This Row],[Margin]]&lt;0.2, "Low", "OK"))</f>
        <v>OK</v>
      </c>
      <c r="O333" s="4" t="str" cm="1">
        <f t="array" ref="O333">_xlfn.IFS(Table1[[#This Row],[Revenue]]=0, "Check", Table1[[#This Row],[Revenue]]&gt;=1000, "Large", Table1[[#This Row],[Revenue]]&gt;=200, "Medium", TRUE, "Small")</f>
        <v>Large</v>
      </c>
      <c r="P333" s="4" t="str">
        <f>IF(AND(Table1[[#This Row],[Margin Flag]]="Low", Table1[[#This Row],[Revenue]]&gt;1000), "Review", "")</f>
        <v/>
      </c>
      <c r="Q333" s="4" t="str">
        <f>IF(OR(Table1[[#This Row],[Qty]]&gt;=5,Table1[[#This Row],[Order Size]] = "Large" ), "Bulk", "")</f>
        <v>Bulk</v>
      </c>
      <c r="R333" s="10">
        <f>_xlfn.XLOOKUP(G333, Lookup!$A$2:$A$7, Lookup!$B$2:$B$7, "")</f>
        <v>0.25</v>
      </c>
      <c r="S333" s="4" t="str">
        <f>IF(Table1[[#This Row],[Margin]]&lt;Table1[[#This Row],[Target Margin]], "Yes", "")</f>
        <v>Yes</v>
      </c>
    </row>
    <row r="334" spans="1:19">
      <c r="A334" t="s">
        <v>379</v>
      </c>
      <c r="B334" s="2">
        <v>46255</v>
      </c>
      <c r="C334" t="s">
        <v>57</v>
      </c>
      <c r="D334" t="s">
        <v>38</v>
      </c>
      <c r="E334">
        <v>1</v>
      </c>
      <c r="F334" t="str">
        <f>_xlfn.XLOOKUP(D334, Products!$A$2:$A$21, Products!$B$2:$B$21, "Not Found")</f>
        <v>USB-C Charger</v>
      </c>
      <c r="G334" t="str">
        <f>_xlfn.XLOOKUP(D334, Products!$A$2:$A$21, Products!$C$2:$C$21,"not found")</f>
        <v>Accessories</v>
      </c>
      <c r="H334" s="4">
        <f>_xlfn.XLOOKUP(D334, Products!$A$2:$A$21, Products!$E$2:$E$21, 0)</f>
        <v>49</v>
      </c>
      <c r="I334" s="4">
        <f>_xlfn.XLOOKUP(D334, Products!$A$2:$A$21, Products!$F$2:$F$21,0)</f>
        <v>14</v>
      </c>
      <c r="J334" t="str">
        <f>_xlfn.XLOOKUP(C334, Stores!$A$2:$A$7, Stores!$D$2:$D$7)</f>
        <v>Sydney South</v>
      </c>
      <c r="K334" s="4">
        <f t="shared" si="10"/>
        <v>49</v>
      </c>
      <c r="L334" s="4">
        <f t="shared" si="11"/>
        <v>35</v>
      </c>
      <c r="M334" s="10">
        <f>IF(Table1[[#This Row],[Revenue]]=0, "", Table1[[#This Row],[Profit]]/Table1[[#This Row],[Revenue]])</f>
        <v>0.7142857142857143</v>
      </c>
      <c r="N334" s="4" t="str">
        <f>IF(Table1[[#This Row],[Margin]]="", "check", IF(Table1[[#This Row],[Margin]]&lt;0.2, "Low", "OK"))</f>
        <v>OK</v>
      </c>
      <c r="O334" s="4" t="str" cm="1">
        <f t="array" ref="O334">_xlfn.IFS(Table1[[#This Row],[Revenue]]=0, "Check", Table1[[#This Row],[Revenue]]&gt;=1000, "Large", Table1[[#This Row],[Revenue]]&gt;=200, "Medium", TRUE, "Small")</f>
        <v>Small</v>
      </c>
      <c r="P334" s="4" t="str">
        <f>IF(AND(Table1[[#This Row],[Margin Flag]]="Low", Table1[[#This Row],[Revenue]]&gt;1000), "Review", "")</f>
        <v/>
      </c>
      <c r="Q334" s="4" t="str">
        <f>IF(OR(Table1[[#This Row],[Qty]]&gt;=5,Table1[[#This Row],[Order Size]] = "Large" ), "Bulk", "")</f>
        <v/>
      </c>
      <c r="R334" s="10">
        <f>_xlfn.XLOOKUP(G334, Lookup!$A$2:$A$7, Lookup!$B$2:$B$7, "")</f>
        <v>0.25</v>
      </c>
      <c r="S334" s="4" t="str">
        <f>IF(Table1[[#This Row],[Margin]]&lt;Table1[[#This Row],[Target Margin]], "Yes", "")</f>
        <v/>
      </c>
    </row>
    <row r="335" spans="1:19">
      <c r="A335" t="s">
        <v>380</v>
      </c>
      <c r="B335" s="2">
        <v>46255</v>
      </c>
      <c r="C335" t="s">
        <v>26</v>
      </c>
      <c r="D335" t="s">
        <v>43</v>
      </c>
      <c r="E335">
        <v>1</v>
      </c>
      <c r="F335" t="str">
        <f>_xlfn.XLOOKUP(D335, Products!$A$2:$A$21, Products!$B$2:$B$21, "Not Found")</f>
        <v>Console Controller</v>
      </c>
      <c r="G335" t="str">
        <f>_xlfn.XLOOKUP(D335, Products!$A$2:$A$21, Products!$C$2:$C$21,"not found")</f>
        <v>Gaming</v>
      </c>
      <c r="H335" s="4">
        <f>_xlfn.XLOOKUP(D335, Products!$A$2:$A$21, Products!$E$2:$E$21, 0)</f>
        <v>99</v>
      </c>
      <c r="I335" s="4">
        <f>_xlfn.XLOOKUP(D335, Products!$A$2:$A$21, Products!$F$2:$F$21,0)</f>
        <v>58</v>
      </c>
      <c r="J335" t="str">
        <f>_xlfn.XLOOKUP(C335, Stores!$A$2:$A$7, Stores!$D$2:$D$7)</f>
        <v>Sydney North</v>
      </c>
      <c r="K335" s="4">
        <f t="shared" si="10"/>
        <v>99</v>
      </c>
      <c r="L335" s="4">
        <f t="shared" si="11"/>
        <v>41</v>
      </c>
      <c r="M335" s="10">
        <f>IF(Table1[[#This Row],[Revenue]]=0, "", Table1[[#This Row],[Profit]]/Table1[[#This Row],[Revenue]])</f>
        <v>0.41414141414141414</v>
      </c>
      <c r="N335" s="4" t="str">
        <f>IF(Table1[[#This Row],[Margin]]="", "check", IF(Table1[[#This Row],[Margin]]&lt;0.2, "Low", "OK"))</f>
        <v>OK</v>
      </c>
      <c r="O335" s="4" t="str" cm="1">
        <f t="array" ref="O335">_xlfn.IFS(Table1[[#This Row],[Revenue]]=0, "Check", Table1[[#This Row],[Revenue]]&gt;=1000, "Large", Table1[[#This Row],[Revenue]]&gt;=200, "Medium", TRUE, "Small")</f>
        <v>Small</v>
      </c>
      <c r="P335" s="4" t="str">
        <f>IF(AND(Table1[[#This Row],[Margin Flag]]="Low", Table1[[#This Row],[Revenue]]&gt;1000), "Review", "")</f>
        <v/>
      </c>
      <c r="Q335" s="4" t="str">
        <f>IF(OR(Table1[[#This Row],[Qty]]&gt;=5,Table1[[#This Row],[Order Size]] = "Large" ), "Bulk", "")</f>
        <v/>
      </c>
      <c r="R335" s="10">
        <f>_xlfn.XLOOKUP(G335, Lookup!$A$2:$A$7, Lookup!$B$2:$B$7, "")</f>
        <v>0.08</v>
      </c>
      <c r="S335" s="4" t="str">
        <f>IF(Table1[[#This Row],[Margin]]&lt;Table1[[#This Row],[Target Margin]], "Yes", "")</f>
        <v/>
      </c>
    </row>
    <row r="336" spans="1:19">
      <c r="A336" t="s">
        <v>381</v>
      </c>
      <c r="B336" s="2">
        <v>46255</v>
      </c>
      <c r="C336" t="s">
        <v>32</v>
      </c>
      <c r="D336" t="s">
        <v>58</v>
      </c>
      <c r="E336">
        <v>1</v>
      </c>
      <c r="F336" t="str">
        <f>_xlfn.XLOOKUP(D336, Products!$A$2:$A$21, Products!$B$2:$B$21, "Not Found")</f>
        <v>Mech Keyboard</v>
      </c>
      <c r="G336" t="str">
        <f>_xlfn.XLOOKUP(D336, Products!$A$2:$A$21, Products!$C$2:$C$21,"not found")</f>
        <v>Accessories</v>
      </c>
      <c r="H336" s="4">
        <f>_xlfn.XLOOKUP(D336, Products!$A$2:$A$21, Products!$E$2:$E$21, 0)</f>
        <v>149</v>
      </c>
      <c r="I336" s="4">
        <f>_xlfn.XLOOKUP(D336, Products!$A$2:$A$21, Products!$F$2:$F$21,0)</f>
        <v>72</v>
      </c>
      <c r="J336" t="str">
        <f>_xlfn.XLOOKUP(C336, Stores!$A$2:$A$7, Stores!$D$2:$D$7)</f>
        <v>Sydney South</v>
      </c>
      <c r="K336" s="4">
        <f t="shared" si="10"/>
        <v>149</v>
      </c>
      <c r="L336" s="4">
        <f t="shared" si="11"/>
        <v>77</v>
      </c>
      <c r="M336" s="10">
        <f>IF(Table1[[#This Row],[Revenue]]=0, "", Table1[[#This Row],[Profit]]/Table1[[#This Row],[Revenue]])</f>
        <v>0.51677852348993292</v>
      </c>
      <c r="N336" s="4" t="str">
        <f>IF(Table1[[#This Row],[Margin]]="", "check", IF(Table1[[#This Row],[Margin]]&lt;0.2, "Low", "OK"))</f>
        <v>OK</v>
      </c>
      <c r="O336" s="4" t="str" cm="1">
        <f t="array" ref="O336">_xlfn.IFS(Table1[[#This Row],[Revenue]]=0, "Check", Table1[[#This Row],[Revenue]]&gt;=1000, "Large", Table1[[#This Row],[Revenue]]&gt;=200, "Medium", TRUE, "Small")</f>
        <v>Small</v>
      </c>
      <c r="P336" s="4" t="str">
        <f>IF(AND(Table1[[#This Row],[Margin Flag]]="Low", Table1[[#This Row],[Revenue]]&gt;1000), "Review", "")</f>
        <v/>
      </c>
      <c r="Q336" s="4" t="str">
        <f>IF(OR(Table1[[#This Row],[Qty]]&gt;=5,Table1[[#This Row],[Order Size]] = "Large" ), "Bulk", "")</f>
        <v/>
      </c>
      <c r="R336" s="10">
        <f>_xlfn.XLOOKUP(G336, Lookup!$A$2:$A$7, Lookup!$B$2:$B$7, "")</f>
        <v>0.25</v>
      </c>
      <c r="S336" s="4" t="str">
        <f>IF(Table1[[#This Row],[Margin]]&lt;Table1[[#This Row],[Target Margin]], "Yes", "")</f>
        <v/>
      </c>
    </row>
    <row r="337" spans="1:19">
      <c r="A337" t="s">
        <v>382</v>
      </c>
      <c r="B337" s="2">
        <v>46255</v>
      </c>
      <c r="C337" t="s">
        <v>57</v>
      </c>
      <c r="D337" t="s">
        <v>38</v>
      </c>
      <c r="E337">
        <v>1</v>
      </c>
      <c r="F337" t="str">
        <f>_xlfn.XLOOKUP(D337, Products!$A$2:$A$21, Products!$B$2:$B$21, "Not Found")</f>
        <v>USB-C Charger</v>
      </c>
      <c r="G337" t="str">
        <f>_xlfn.XLOOKUP(D337, Products!$A$2:$A$21, Products!$C$2:$C$21,"not found")</f>
        <v>Accessories</v>
      </c>
      <c r="H337" s="4">
        <f>_xlfn.XLOOKUP(D337, Products!$A$2:$A$21, Products!$E$2:$E$21, 0)</f>
        <v>49</v>
      </c>
      <c r="I337" s="4">
        <f>_xlfn.XLOOKUP(D337, Products!$A$2:$A$21, Products!$F$2:$F$21,0)</f>
        <v>14</v>
      </c>
      <c r="J337" t="str">
        <f>_xlfn.XLOOKUP(C337, Stores!$A$2:$A$7, Stores!$D$2:$D$7)</f>
        <v>Sydney South</v>
      </c>
      <c r="K337" s="4">
        <f t="shared" si="10"/>
        <v>49</v>
      </c>
      <c r="L337" s="4">
        <f t="shared" si="11"/>
        <v>35</v>
      </c>
      <c r="M337" s="10">
        <f>IF(Table1[[#This Row],[Revenue]]=0, "", Table1[[#This Row],[Profit]]/Table1[[#This Row],[Revenue]])</f>
        <v>0.7142857142857143</v>
      </c>
      <c r="N337" s="4" t="str">
        <f>IF(Table1[[#This Row],[Margin]]="", "check", IF(Table1[[#This Row],[Margin]]&lt;0.2, "Low", "OK"))</f>
        <v>OK</v>
      </c>
      <c r="O337" s="4" t="str" cm="1">
        <f t="array" ref="O337">_xlfn.IFS(Table1[[#This Row],[Revenue]]=0, "Check", Table1[[#This Row],[Revenue]]&gt;=1000, "Large", Table1[[#This Row],[Revenue]]&gt;=200, "Medium", TRUE, "Small")</f>
        <v>Small</v>
      </c>
      <c r="P337" s="4" t="str">
        <f>IF(AND(Table1[[#This Row],[Margin Flag]]="Low", Table1[[#This Row],[Revenue]]&gt;1000), "Review", "")</f>
        <v/>
      </c>
      <c r="Q337" s="4" t="str">
        <f>IF(OR(Table1[[#This Row],[Qty]]&gt;=5,Table1[[#This Row],[Order Size]] = "Large" ), "Bulk", "")</f>
        <v/>
      </c>
      <c r="R337" s="10">
        <f>_xlfn.XLOOKUP(G337, Lookup!$A$2:$A$7, Lookup!$B$2:$B$7, "")</f>
        <v>0.25</v>
      </c>
      <c r="S337" s="4" t="str">
        <f>IF(Table1[[#This Row],[Margin]]&lt;Table1[[#This Row],[Target Margin]], "Yes", "")</f>
        <v/>
      </c>
    </row>
    <row r="338" spans="1:19">
      <c r="A338" t="s">
        <v>383</v>
      </c>
      <c r="B338" s="2">
        <v>46255</v>
      </c>
      <c r="C338" t="s">
        <v>57</v>
      </c>
      <c r="D338" t="s">
        <v>24</v>
      </c>
      <c r="E338">
        <v>1</v>
      </c>
      <c r="F338" t="str">
        <f>_xlfn.XLOOKUP(D338, Products!$A$2:$A$21, Products!$B$2:$B$21, "Not Found")</f>
        <v>Wireless Earbuds</v>
      </c>
      <c r="G338" t="str">
        <f>_xlfn.XLOOKUP(D338, Products!$A$2:$A$21, Products!$C$2:$C$21,"not found")</f>
        <v>Audio</v>
      </c>
      <c r="H338" s="4">
        <f>_xlfn.XLOOKUP(D338, Products!$A$2:$A$21, Products!$E$2:$E$21, 0)</f>
        <v>249</v>
      </c>
      <c r="I338" s="4">
        <f>_xlfn.XLOOKUP(D338, Products!$A$2:$A$21, Products!$F$2:$F$21,0)</f>
        <v>140</v>
      </c>
      <c r="J338" t="str">
        <f>_xlfn.XLOOKUP(C338, Stores!$A$2:$A$7, Stores!$D$2:$D$7)</f>
        <v>Sydney South</v>
      </c>
      <c r="K338" s="4">
        <f t="shared" si="10"/>
        <v>249</v>
      </c>
      <c r="L338" s="4">
        <f t="shared" si="11"/>
        <v>109</v>
      </c>
      <c r="M338" s="10">
        <f>IF(Table1[[#This Row],[Revenue]]=0, "", Table1[[#This Row],[Profit]]/Table1[[#This Row],[Revenue]])</f>
        <v>0.43775100401606426</v>
      </c>
      <c r="N338" s="4" t="str">
        <f>IF(Table1[[#This Row],[Margin]]="", "check", IF(Table1[[#This Row],[Margin]]&lt;0.2, "Low", "OK"))</f>
        <v>OK</v>
      </c>
      <c r="O338" s="4" t="str" cm="1">
        <f t="array" ref="O338">_xlfn.IFS(Table1[[#This Row],[Revenue]]=0, "Check", Table1[[#This Row],[Revenue]]&gt;=1000, "Large", Table1[[#This Row],[Revenue]]&gt;=200, "Medium", TRUE, "Small")</f>
        <v>Medium</v>
      </c>
      <c r="P338" s="4" t="str">
        <f>IF(AND(Table1[[#This Row],[Margin Flag]]="Low", Table1[[#This Row],[Revenue]]&gt;1000), "Review", "")</f>
        <v/>
      </c>
      <c r="Q338" s="4" t="str">
        <f>IF(OR(Table1[[#This Row],[Qty]]&gt;=5,Table1[[#This Row],[Order Size]] = "Large" ), "Bulk", "")</f>
        <v/>
      </c>
      <c r="R338" s="10">
        <f>_xlfn.XLOOKUP(G338, Lookup!$A$2:$A$7, Lookup!$B$2:$B$7, "")</f>
        <v>0.25</v>
      </c>
      <c r="S338" s="4" t="str">
        <f>IF(Table1[[#This Row],[Margin]]&lt;Table1[[#This Row],[Target Margin]], "Yes", "")</f>
        <v/>
      </c>
    </row>
    <row r="339" spans="1:19">
      <c r="A339" t="s">
        <v>384</v>
      </c>
      <c r="B339" s="2">
        <v>46256</v>
      </c>
      <c r="C339" t="s">
        <v>26</v>
      </c>
      <c r="D339" t="s">
        <v>69</v>
      </c>
      <c r="E339">
        <v>1</v>
      </c>
      <c r="F339" t="str">
        <f>_xlfn.XLOOKUP(D339, Products!$A$2:$A$21, Products!$B$2:$B$21, "Not Found")</f>
        <v>27in Monitor</v>
      </c>
      <c r="G339" t="str">
        <f>_xlfn.XLOOKUP(D339, Products!$A$2:$A$21, Products!$C$2:$C$21,"not found")</f>
        <v>Computers</v>
      </c>
      <c r="H339" s="4">
        <f>_xlfn.XLOOKUP(D339, Products!$A$2:$A$21, Products!$E$2:$E$21, 0)</f>
        <v>399</v>
      </c>
      <c r="I339" s="4">
        <f>_xlfn.XLOOKUP(D339, Products!$A$2:$A$21, Products!$F$2:$F$21,0)</f>
        <v>290</v>
      </c>
      <c r="J339" t="str">
        <f>_xlfn.XLOOKUP(C339, Stores!$A$2:$A$7, Stores!$D$2:$D$7)</f>
        <v>Sydney North</v>
      </c>
      <c r="K339" s="4">
        <f t="shared" si="10"/>
        <v>399</v>
      </c>
      <c r="L339" s="4">
        <f t="shared" si="11"/>
        <v>109</v>
      </c>
      <c r="M339" s="10">
        <f>IF(Table1[[#This Row],[Revenue]]=0, "", Table1[[#This Row],[Profit]]/Table1[[#This Row],[Revenue]])</f>
        <v>0.27318295739348369</v>
      </c>
      <c r="N339" s="4" t="str">
        <f>IF(Table1[[#This Row],[Margin]]="", "check", IF(Table1[[#This Row],[Margin]]&lt;0.2, "Low", "OK"))</f>
        <v>OK</v>
      </c>
      <c r="O339" s="4" t="str" cm="1">
        <f t="array" ref="O339">_xlfn.IFS(Table1[[#This Row],[Revenue]]=0, "Check", Table1[[#This Row],[Revenue]]&gt;=1000, "Large", Table1[[#This Row],[Revenue]]&gt;=200, "Medium", TRUE, "Small")</f>
        <v>Medium</v>
      </c>
      <c r="P339" s="4" t="str">
        <f>IF(AND(Table1[[#This Row],[Margin Flag]]="Low", Table1[[#This Row],[Revenue]]&gt;1000), "Review", "")</f>
        <v/>
      </c>
      <c r="Q339" s="4" t="str">
        <f>IF(OR(Table1[[#This Row],[Qty]]&gt;=5,Table1[[#This Row],[Order Size]] = "Large" ), "Bulk", "")</f>
        <v/>
      </c>
      <c r="R339" s="10">
        <f>_xlfn.XLOOKUP(G339, Lookup!$A$2:$A$7, Lookup!$B$2:$B$7, "")</f>
        <v>0.25</v>
      </c>
      <c r="S339" s="4" t="str">
        <f>IF(Table1[[#This Row],[Margin]]&lt;Table1[[#This Row],[Target Margin]], "Yes", "")</f>
        <v/>
      </c>
    </row>
    <row r="340" spans="1:19">
      <c r="A340" t="s">
        <v>385</v>
      </c>
      <c r="B340" s="2">
        <v>46256</v>
      </c>
      <c r="C340" t="s">
        <v>20</v>
      </c>
      <c r="D340" t="s">
        <v>54</v>
      </c>
      <c r="E340">
        <v>1</v>
      </c>
      <c r="F340" t="str">
        <f>_xlfn.XLOOKUP(D340, Products!$A$2:$A$21, Products!$B$2:$B$21, "Not Found")</f>
        <v>Tablet 11in</v>
      </c>
      <c r="G340" t="str">
        <f>_xlfn.XLOOKUP(D340, Products!$A$2:$A$21, Products!$C$2:$C$21,"not found")</f>
        <v>Computers</v>
      </c>
      <c r="H340" s="4">
        <f>_xlfn.XLOOKUP(D340, Products!$A$2:$A$21, Products!$E$2:$E$21, 0)</f>
        <v>899</v>
      </c>
      <c r="I340" s="4">
        <f>_xlfn.XLOOKUP(D340, Products!$A$2:$A$21, Products!$F$2:$F$21,0)</f>
        <v>690</v>
      </c>
      <c r="J340" t="str">
        <f>_xlfn.XLOOKUP(C340, Stores!$A$2:$A$7, Stores!$D$2:$D$7)</f>
        <v>Sydney West</v>
      </c>
      <c r="K340" s="4">
        <f t="shared" si="10"/>
        <v>899</v>
      </c>
      <c r="L340" s="4">
        <f t="shared" si="11"/>
        <v>209</v>
      </c>
      <c r="M340" s="10">
        <f>IF(Table1[[#This Row],[Revenue]]=0, "", Table1[[#This Row],[Profit]]/Table1[[#This Row],[Revenue]])</f>
        <v>0.2324805339265851</v>
      </c>
      <c r="N340" s="4" t="str">
        <f>IF(Table1[[#This Row],[Margin]]="", "check", IF(Table1[[#This Row],[Margin]]&lt;0.2, "Low", "OK"))</f>
        <v>OK</v>
      </c>
      <c r="O340" s="4" t="str" cm="1">
        <f t="array" ref="O340">_xlfn.IFS(Table1[[#This Row],[Revenue]]=0, "Check", Table1[[#This Row],[Revenue]]&gt;=1000, "Large", Table1[[#This Row],[Revenue]]&gt;=200, "Medium", TRUE, "Small")</f>
        <v>Medium</v>
      </c>
      <c r="P340" s="4" t="str">
        <f>IF(AND(Table1[[#This Row],[Margin Flag]]="Low", Table1[[#This Row],[Revenue]]&gt;1000), "Review", "")</f>
        <v/>
      </c>
      <c r="Q340" s="4" t="str">
        <f>IF(OR(Table1[[#This Row],[Qty]]&gt;=5,Table1[[#This Row],[Order Size]] = "Large" ), "Bulk", "")</f>
        <v/>
      </c>
      <c r="R340" s="10">
        <f>_xlfn.XLOOKUP(G340, Lookup!$A$2:$A$7, Lookup!$B$2:$B$7, "")</f>
        <v>0.25</v>
      </c>
      <c r="S340" s="4" t="str">
        <f>IF(Table1[[#This Row],[Margin]]&lt;Table1[[#This Row],[Target Margin]], "Yes", "")</f>
        <v>Yes</v>
      </c>
    </row>
    <row r="341" spans="1:19">
      <c r="A341" t="s">
        <v>386</v>
      </c>
      <c r="B341" s="2">
        <v>46256</v>
      </c>
      <c r="C341" t="s">
        <v>23</v>
      </c>
      <c r="D341" t="s">
        <v>58</v>
      </c>
      <c r="E341">
        <v>1</v>
      </c>
      <c r="F341" t="str">
        <f>_xlfn.XLOOKUP(D341, Products!$A$2:$A$21, Products!$B$2:$B$21, "Not Found")</f>
        <v>Mech Keyboard</v>
      </c>
      <c r="G341" t="str">
        <f>_xlfn.XLOOKUP(D341, Products!$A$2:$A$21, Products!$C$2:$C$21,"not found")</f>
        <v>Accessories</v>
      </c>
      <c r="H341" s="4">
        <f>_xlfn.XLOOKUP(D341, Products!$A$2:$A$21, Products!$E$2:$E$21, 0)</f>
        <v>149</v>
      </c>
      <c r="I341" s="4">
        <f>_xlfn.XLOOKUP(D341, Products!$A$2:$A$21, Products!$F$2:$F$21,0)</f>
        <v>72</v>
      </c>
      <c r="J341" t="str">
        <f>_xlfn.XLOOKUP(C341, Stores!$A$2:$A$7, Stores!$D$2:$D$7)</f>
        <v>Sydney East</v>
      </c>
      <c r="K341" s="4">
        <f t="shared" si="10"/>
        <v>149</v>
      </c>
      <c r="L341" s="4">
        <f t="shared" si="11"/>
        <v>77</v>
      </c>
      <c r="M341" s="10">
        <f>IF(Table1[[#This Row],[Revenue]]=0, "", Table1[[#This Row],[Profit]]/Table1[[#This Row],[Revenue]])</f>
        <v>0.51677852348993292</v>
      </c>
      <c r="N341" s="4" t="str">
        <f>IF(Table1[[#This Row],[Margin]]="", "check", IF(Table1[[#This Row],[Margin]]&lt;0.2, "Low", "OK"))</f>
        <v>OK</v>
      </c>
      <c r="O341" s="4" t="str" cm="1">
        <f t="array" ref="O341">_xlfn.IFS(Table1[[#This Row],[Revenue]]=0, "Check", Table1[[#This Row],[Revenue]]&gt;=1000, "Large", Table1[[#This Row],[Revenue]]&gt;=200, "Medium", TRUE, "Small")</f>
        <v>Small</v>
      </c>
      <c r="P341" s="4" t="str">
        <f>IF(AND(Table1[[#This Row],[Margin Flag]]="Low", Table1[[#This Row],[Revenue]]&gt;1000), "Review", "")</f>
        <v/>
      </c>
      <c r="Q341" s="4" t="str">
        <f>IF(OR(Table1[[#This Row],[Qty]]&gt;=5,Table1[[#This Row],[Order Size]] = "Large" ), "Bulk", "")</f>
        <v/>
      </c>
      <c r="R341" s="10">
        <f>_xlfn.XLOOKUP(G341, Lookup!$A$2:$A$7, Lookup!$B$2:$B$7, "")</f>
        <v>0.25</v>
      </c>
      <c r="S341" s="4" t="str">
        <f>IF(Table1[[#This Row],[Margin]]&lt;Table1[[#This Row],[Target Margin]], "Yes", "")</f>
        <v/>
      </c>
    </row>
    <row r="342" spans="1:19">
      <c r="A342" t="s">
        <v>387</v>
      </c>
      <c r="B342" s="2">
        <v>46256</v>
      </c>
      <c r="C342" t="s">
        <v>57</v>
      </c>
      <c r="D342" t="s">
        <v>60</v>
      </c>
      <c r="E342">
        <v>1</v>
      </c>
      <c r="F342" t="str">
        <f>_xlfn.XLOOKUP(D342, Products!$A$2:$A$21, Products!$B$2:$B$21, "Not Found")</f>
        <v>55in TV</v>
      </c>
      <c r="G342" t="str">
        <f>_xlfn.XLOOKUP(D342, Products!$A$2:$A$21, Products!$C$2:$C$21,"not found")</f>
        <v>TV</v>
      </c>
      <c r="H342" s="4">
        <f>_xlfn.XLOOKUP(D342, Products!$A$2:$A$21, Products!$E$2:$E$21, 0)</f>
        <v>1299</v>
      </c>
      <c r="I342" s="4">
        <f>_xlfn.XLOOKUP(D342, Products!$A$2:$A$21, Products!$F$2:$F$21,0)</f>
        <v>980</v>
      </c>
      <c r="J342" t="str">
        <f>_xlfn.XLOOKUP(C342, Stores!$A$2:$A$7, Stores!$D$2:$D$7)</f>
        <v>Sydney South</v>
      </c>
      <c r="K342" s="4">
        <f t="shared" si="10"/>
        <v>1299</v>
      </c>
      <c r="L342" s="4">
        <f t="shared" si="11"/>
        <v>319</v>
      </c>
      <c r="M342" s="10">
        <f>IF(Table1[[#This Row],[Revenue]]=0, "", Table1[[#This Row],[Profit]]/Table1[[#This Row],[Revenue]])</f>
        <v>0.2455735180908391</v>
      </c>
      <c r="N342" s="4" t="str">
        <f>IF(Table1[[#This Row],[Margin]]="", "check", IF(Table1[[#This Row],[Margin]]&lt;0.2, "Low", "OK"))</f>
        <v>OK</v>
      </c>
      <c r="O342" s="4" t="str" cm="1">
        <f t="array" ref="O342">_xlfn.IFS(Table1[[#This Row],[Revenue]]=0, "Check", Table1[[#This Row],[Revenue]]&gt;=1000, "Large", Table1[[#This Row],[Revenue]]&gt;=200, "Medium", TRUE, "Small")</f>
        <v>Large</v>
      </c>
      <c r="P342" s="4" t="str">
        <f>IF(AND(Table1[[#This Row],[Margin Flag]]="Low", Table1[[#This Row],[Revenue]]&gt;1000), "Review", "")</f>
        <v/>
      </c>
      <c r="Q342" s="4" t="str">
        <f>IF(OR(Table1[[#This Row],[Qty]]&gt;=5,Table1[[#This Row],[Order Size]] = "Large" ), "Bulk", "")</f>
        <v>Bulk</v>
      </c>
      <c r="R342" s="10">
        <f>_xlfn.XLOOKUP(G342, Lookup!$A$2:$A$7, Lookup!$B$2:$B$7, "")</f>
        <v>0.25</v>
      </c>
      <c r="S342" s="4" t="str">
        <f>IF(Table1[[#This Row],[Margin]]&lt;Table1[[#This Row],[Target Margin]], "Yes", "")</f>
        <v>Yes</v>
      </c>
    </row>
    <row r="343" spans="1:19">
      <c r="A343" t="s">
        <v>388</v>
      </c>
      <c r="B343" s="2">
        <v>46256</v>
      </c>
      <c r="C343" t="s">
        <v>57</v>
      </c>
      <c r="D343" t="s">
        <v>27</v>
      </c>
      <c r="E343">
        <v>1</v>
      </c>
      <c r="F343" t="str">
        <f>_xlfn.XLOOKUP(D343, Products!$A$2:$A$21, Products!$B$2:$B$21, "Not Found")</f>
        <v>Bluetooth Speaker</v>
      </c>
      <c r="G343" t="str">
        <f>_xlfn.XLOOKUP(D343, Products!$A$2:$A$21, Products!$C$2:$C$21,"not found")</f>
        <v>Audio</v>
      </c>
      <c r="H343" s="4">
        <f>_xlfn.XLOOKUP(D343, Products!$A$2:$A$21, Products!$E$2:$E$21, 0)</f>
        <v>179</v>
      </c>
      <c r="I343" s="4">
        <f>_xlfn.XLOOKUP(D343, Products!$A$2:$A$21, Products!$F$2:$F$21,0)</f>
        <v>95</v>
      </c>
      <c r="J343" t="str">
        <f>_xlfn.XLOOKUP(C343, Stores!$A$2:$A$7, Stores!$D$2:$D$7)</f>
        <v>Sydney South</v>
      </c>
      <c r="K343" s="4">
        <f t="shared" si="10"/>
        <v>179</v>
      </c>
      <c r="L343" s="4">
        <f t="shared" si="11"/>
        <v>84</v>
      </c>
      <c r="M343" s="10">
        <f>IF(Table1[[#This Row],[Revenue]]=0, "", Table1[[#This Row],[Profit]]/Table1[[#This Row],[Revenue]])</f>
        <v>0.46927374301675978</v>
      </c>
      <c r="N343" s="4" t="str">
        <f>IF(Table1[[#This Row],[Margin]]="", "check", IF(Table1[[#This Row],[Margin]]&lt;0.2, "Low", "OK"))</f>
        <v>OK</v>
      </c>
      <c r="O343" s="4" t="str" cm="1">
        <f t="array" ref="O343">_xlfn.IFS(Table1[[#This Row],[Revenue]]=0, "Check", Table1[[#This Row],[Revenue]]&gt;=1000, "Large", Table1[[#This Row],[Revenue]]&gt;=200, "Medium", TRUE, "Small")</f>
        <v>Small</v>
      </c>
      <c r="P343" s="4" t="str">
        <f>IF(AND(Table1[[#This Row],[Margin Flag]]="Low", Table1[[#This Row],[Revenue]]&gt;1000), "Review", "")</f>
        <v/>
      </c>
      <c r="Q343" s="4" t="str">
        <f>IF(OR(Table1[[#This Row],[Qty]]&gt;=5,Table1[[#This Row],[Order Size]] = "Large" ), "Bulk", "")</f>
        <v/>
      </c>
      <c r="R343" s="10">
        <f>_xlfn.XLOOKUP(G343, Lookup!$A$2:$A$7, Lookup!$B$2:$B$7, "")</f>
        <v>0.25</v>
      </c>
      <c r="S343" s="4" t="str">
        <f>IF(Table1[[#This Row],[Margin]]&lt;Table1[[#This Row],[Target Margin]], "Yes", "")</f>
        <v/>
      </c>
    </row>
    <row r="344" spans="1:19">
      <c r="A344" t="s">
        <v>389</v>
      </c>
      <c r="B344" s="2">
        <v>46256</v>
      </c>
      <c r="C344" t="s">
        <v>26</v>
      </c>
      <c r="D344" t="s">
        <v>24</v>
      </c>
      <c r="E344">
        <v>1</v>
      </c>
      <c r="F344" t="str">
        <f>_xlfn.XLOOKUP(D344, Products!$A$2:$A$21, Products!$B$2:$B$21, "Not Found")</f>
        <v>Wireless Earbuds</v>
      </c>
      <c r="G344" t="str">
        <f>_xlfn.XLOOKUP(D344, Products!$A$2:$A$21, Products!$C$2:$C$21,"not found")</f>
        <v>Audio</v>
      </c>
      <c r="H344" s="4">
        <f>_xlfn.XLOOKUP(D344, Products!$A$2:$A$21, Products!$E$2:$E$21, 0)</f>
        <v>249</v>
      </c>
      <c r="I344" s="4">
        <f>_xlfn.XLOOKUP(D344, Products!$A$2:$A$21, Products!$F$2:$F$21,0)</f>
        <v>140</v>
      </c>
      <c r="J344" t="str">
        <f>_xlfn.XLOOKUP(C344, Stores!$A$2:$A$7, Stores!$D$2:$D$7)</f>
        <v>Sydney North</v>
      </c>
      <c r="K344" s="4">
        <f t="shared" si="10"/>
        <v>249</v>
      </c>
      <c r="L344" s="4">
        <f t="shared" si="11"/>
        <v>109</v>
      </c>
      <c r="M344" s="10">
        <f>IF(Table1[[#This Row],[Revenue]]=0, "", Table1[[#This Row],[Profit]]/Table1[[#This Row],[Revenue]])</f>
        <v>0.43775100401606426</v>
      </c>
      <c r="N344" s="4" t="str">
        <f>IF(Table1[[#This Row],[Margin]]="", "check", IF(Table1[[#This Row],[Margin]]&lt;0.2, "Low", "OK"))</f>
        <v>OK</v>
      </c>
      <c r="O344" s="4" t="str" cm="1">
        <f t="array" ref="O344">_xlfn.IFS(Table1[[#This Row],[Revenue]]=0, "Check", Table1[[#This Row],[Revenue]]&gt;=1000, "Large", Table1[[#This Row],[Revenue]]&gt;=200, "Medium", TRUE, "Small")</f>
        <v>Medium</v>
      </c>
      <c r="P344" s="4" t="str">
        <f>IF(AND(Table1[[#This Row],[Margin Flag]]="Low", Table1[[#This Row],[Revenue]]&gt;1000), "Review", "")</f>
        <v/>
      </c>
      <c r="Q344" s="4" t="str">
        <f>IF(OR(Table1[[#This Row],[Qty]]&gt;=5,Table1[[#This Row],[Order Size]] = "Large" ), "Bulk", "")</f>
        <v/>
      </c>
      <c r="R344" s="10">
        <f>_xlfn.XLOOKUP(G344, Lookup!$A$2:$A$7, Lookup!$B$2:$B$7, "")</f>
        <v>0.25</v>
      </c>
      <c r="S344" s="4" t="str">
        <f>IF(Table1[[#This Row],[Margin]]&lt;Table1[[#This Row],[Target Margin]], "Yes", "")</f>
        <v/>
      </c>
    </row>
    <row r="345" spans="1:19">
      <c r="A345" t="s">
        <v>390</v>
      </c>
      <c r="B345" s="2">
        <v>46256</v>
      </c>
      <c r="C345" t="s">
        <v>20</v>
      </c>
      <c r="D345" t="s">
        <v>54</v>
      </c>
      <c r="E345">
        <v>1</v>
      </c>
      <c r="F345" t="str">
        <f>_xlfn.XLOOKUP(D345, Products!$A$2:$A$21, Products!$B$2:$B$21, "Not Found")</f>
        <v>Tablet 11in</v>
      </c>
      <c r="G345" t="str">
        <f>_xlfn.XLOOKUP(D345, Products!$A$2:$A$21, Products!$C$2:$C$21,"not found")</f>
        <v>Computers</v>
      </c>
      <c r="H345" s="4">
        <f>_xlfn.XLOOKUP(D345, Products!$A$2:$A$21, Products!$E$2:$E$21, 0)</f>
        <v>899</v>
      </c>
      <c r="I345" s="4">
        <f>_xlfn.XLOOKUP(D345, Products!$A$2:$A$21, Products!$F$2:$F$21,0)</f>
        <v>690</v>
      </c>
      <c r="J345" t="str">
        <f>_xlfn.XLOOKUP(C345, Stores!$A$2:$A$7, Stores!$D$2:$D$7)</f>
        <v>Sydney West</v>
      </c>
      <c r="K345" s="4">
        <f t="shared" si="10"/>
        <v>899</v>
      </c>
      <c r="L345" s="4">
        <f t="shared" si="11"/>
        <v>209</v>
      </c>
      <c r="M345" s="10">
        <f>IF(Table1[[#This Row],[Revenue]]=0, "", Table1[[#This Row],[Profit]]/Table1[[#This Row],[Revenue]])</f>
        <v>0.2324805339265851</v>
      </c>
      <c r="N345" s="4" t="str">
        <f>IF(Table1[[#This Row],[Margin]]="", "check", IF(Table1[[#This Row],[Margin]]&lt;0.2, "Low", "OK"))</f>
        <v>OK</v>
      </c>
      <c r="O345" s="4" t="str" cm="1">
        <f t="array" ref="O345">_xlfn.IFS(Table1[[#This Row],[Revenue]]=0, "Check", Table1[[#This Row],[Revenue]]&gt;=1000, "Large", Table1[[#This Row],[Revenue]]&gt;=200, "Medium", TRUE, "Small")</f>
        <v>Medium</v>
      </c>
      <c r="P345" s="4" t="str">
        <f>IF(AND(Table1[[#This Row],[Margin Flag]]="Low", Table1[[#This Row],[Revenue]]&gt;1000), "Review", "")</f>
        <v/>
      </c>
      <c r="Q345" s="4" t="str">
        <f>IF(OR(Table1[[#This Row],[Qty]]&gt;=5,Table1[[#This Row],[Order Size]] = "Large" ), "Bulk", "")</f>
        <v/>
      </c>
      <c r="R345" s="10">
        <f>_xlfn.XLOOKUP(G345, Lookup!$A$2:$A$7, Lookup!$B$2:$B$7, "")</f>
        <v>0.25</v>
      </c>
      <c r="S345" s="4" t="str">
        <f>IF(Table1[[#This Row],[Margin]]&lt;Table1[[#This Row],[Target Margin]], "Yes", "")</f>
        <v>Yes</v>
      </c>
    </row>
    <row r="346" spans="1:19">
      <c r="A346" t="s">
        <v>391</v>
      </c>
      <c r="B346" s="2">
        <v>46256</v>
      </c>
      <c r="C346" t="s">
        <v>20</v>
      </c>
      <c r="D346" t="s">
        <v>58</v>
      </c>
      <c r="E346">
        <v>1</v>
      </c>
      <c r="F346" t="str">
        <f>_xlfn.XLOOKUP(D346, Products!$A$2:$A$21, Products!$B$2:$B$21, "Not Found")</f>
        <v>Mech Keyboard</v>
      </c>
      <c r="G346" t="str">
        <f>_xlfn.XLOOKUP(D346, Products!$A$2:$A$21, Products!$C$2:$C$21,"not found")</f>
        <v>Accessories</v>
      </c>
      <c r="H346" s="4">
        <f>_xlfn.XLOOKUP(D346, Products!$A$2:$A$21, Products!$E$2:$E$21, 0)</f>
        <v>149</v>
      </c>
      <c r="I346" s="4">
        <f>_xlfn.XLOOKUP(D346, Products!$A$2:$A$21, Products!$F$2:$F$21,0)</f>
        <v>72</v>
      </c>
      <c r="J346" t="str">
        <f>_xlfn.XLOOKUP(C346, Stores!$A$2:$A$7, Stores!$D$2:$D$7)</f>
        <v>Sydney West</v>
      </c>
      <c r="K346" s="4">
        <f t="shared" si="10"/>
        <v>149</v>
      </c>
      <c r="L346" s="4">
        <f t="shared" si="11"/>
        <v>77</v>
      </c>
      <c r="M346" s="10">
        <f>IF(Table1[[#This Row],[Revenue]]=0, "", Table1[[#This Row],[Profit]]/Table1[[#This Row],[Revenue]])</f>
        <v>0.51677852348993292</v>
      </c>
      <c r="N346" s="4" t="str">
        <f>IF(Table1[[#This Row],[Margin]]="", "check", IF(Table1[[#This Row],[Margin]]&lt;0.2, "Low", "OK"))</f>
        <v>OK</v>
      </c>
      <c r="O346" s="4" t="str" cm="1">
        <f t="array" ref="O346">_xlfn.IFS(Table1[[#This Row],[Revenue]]=0, "Check", Table1[[#This Row],[Revenue]]&gt;=1000, "Large", Table1[[#This Row],[Revenue]]&gt;=200, "Medium", TRUE, "Small")</f>
        <v>Small</v>
      </c>
      <c r="P346" s="4" t="str">
        <f>IF(AND(Table1[[#This Row],[Margin Flag]]="Low", Table1[[#This Row],[Revenue]]&gt;1000), "Review", "")</f>
        <v/>
      </c>
      <c r="Q346" s="4" t="str">
        <f>IF(OR(Table1[[#This Row],[Qty]]&gt;=5,Table1[[#This Row],[Order Size]] = "Large" ), "Bulk", "")</f>
        <v/>
      </c>
      <c r="R346" s="10">
        <f>_xlfn.XLOOKUP(G346, Lookup!$A$2:$A$7, Lookup!$B$2:$B$7, "")</f>
        <v>0.25</v>
      </c>
      <c r="S346" s="4" t="str">
        <f>IF(Table1[[#This Row],[Margin]]&lt;Table1[[#This Row],[Target Margin]], "Yes", "")</f>
        <v/>
      </c>
    </row>
    <row r="347" spans="1:19">
      <c r="A347" t="s">
        <v>392</v>
      </c>
      <c r="B347" s="2">
        <v>46257</v>
      </c>
      <c r="C347" t="s">
        <v>20</v>
      </c>
      <c r="D347" t="s">
        <v>67</v>
      </c>
      <c r="E347">
        <v>1</v>
      </c>
      <c r="F347" t="str">
        <f>_xlfn.XLOOKUP(D347, Products!$A$2:$A$21, Products!$B$2:$B$21, "Not Found")</f>
        <v>Soundbar</v>
      </c>
      <c r="G347" t="str">
        <f>_xlfn.XLOOKUP(D347, Products!$A$2:$A$21, Products!$C$2:$C$21,"not found")</f>
        <v>Audio</v>
      </c>
      <c r="H347" s="4">
        <f>_xlfn.XLOOKUP(D347, Products!$A$2:$A$21, Products!$E$2:$E$21, 0)</f>
        <v>699</v>
      </c>
      <c r="I347" s="4">
        <f>_xlfn.XLOOKUP(D347, Products!$A$2:$A$21, Products!$F$2:$F$21,0)</f>
        <v>450</v>
      </c>
      <c r="J347" t="str">
        <f>_xlfn.XLOOKUP(C347, Stores!$A$2:$A$7, Stores!$D$2:$D$7)</f>
        <v>Sydney West</v>
      </c>
      <c r="K347" s="4">
        <f t="shared" si="10"/>
        <v>699</v>
      </c>
      <c r="L347" s="4">
        <f t="shared" si="11"/>
        <v>249</v>
      </c>
      <c r="M347" s="10">
        <f>IF(Table1[[#This Row],[Revenue]]=0, "", Table1[[#This Row],[Profit]]/Table1[[#This Row],[Revenue]])</f>
        <v>0.35622317596566522</v>
      </c>
      <c r="N347" s="4" t="str">
        <f>IF(Table1[[#This Row],[Margin]]="", "check", IF(Table1[[#This Row],[Margin]]&lt;0.2, "Low", "OK"))</f>
        <v>OK</v>
      </c>
      <c r="O347" s="4" t="str" cm="1">
        <f t="array" ref="O347">_xlfn.IFS(Table1[[#This Row],[Revenue]]=0, "Check", Table1[[#This Row],[Revenue]]&gt;=1000, "Large", Table1[[#This Row],[Revenue]]&gt;=200, "Medium", TRUE, "Small")</f>
        <v>Medium</v>
      </c>
      <c r="P347" s="4" t="str">
        <f>IF(AND(Table1[[#This Row],[Margin Flag]]="Low", Table1[[#This Row],[Revenue]]&gt;1000), "Review", "")</f>
        <v/>
      </c>
      <c r="Q347" s="4" t="str">
        <f>IF(OR(Table1[[#This Row],[Qty]]&gt;=5,Table1[[#This Row],[Order Size]] = "Large" ), "Bulk", "")</f>
        <v/>
      </c>
      <c r="R347" s="10">
        <f>_xlfn.XLOOKUP(G347, Lookup!$A$2:$A$7, Lookup!$B$2:$B$7, "")</f>
        <v>0.25</v>
      </c>
      <c r="S347" s="4" t="str">
        <f>IF(Table1[[#This Row],[Margin]]&lt;Table1[[#This Row],[Target Margin]], "Yes", "")</f>
        <v/>
      </c>
    </row>
    <row r="348" spans="1:19">
      <c r="A348" t="s">
        <v>393</v>
      </c>
      <c r="B348" s="2">
        <v>46257</v>
      </c>
      <c r="C348" t="s">
        <v>57</v>
      </c>
      <c r="D348" t="s">
        <v>50</v>
      </c>
      <c r="E348">
        <v>1</v>
      </c>
      <c r="F348" t="str">
        <f>_xlfn.XLOOKUP(D348, Products!$A$2:$A$21, Products!$B$2:$B$21, "Not Found")</f>
        <v>Smartphone 128GB</v>
      </c>
      <c r="G348" t="str">
        <f>_xlfn.XLOOKUP(D348, Products!$A$2:$A$21, Products!$C$2:$C$21,"not found")</f>
        <v>Phones</v>
      </c>
      <c r="H348" s="4">
        <f>_xlfn.XLOOKUP(D348, Products!$A$2:$A$21, Products!$E$2:$E$21, 0)</f>
        <v>1099</v>
      </c>
      <c r="I348" s="4">
        <f>_xlfn.XLOOKUP(D348, Products!$A$2:$A$21, Products!$F$2:$F$21,0)</f>
        <v>860</v>
      </c>
      <c r="J348" t="str">
        <f>_xlfn.XLOOKUP(C348, Stores!$A$2:$A$7, Stores!$D$2:$D$7)</f>
        <v>Sydney South</v>
      </c>
      <c r="K348" s="4">
        <f t="shared" si="10"/>
        <v>1099</v>
      </c>
      <c r="L348" s="4">
        <f t="shared" si="11"/>
        <v>239</v>
      </c>
      <c r="M348" s="10">
        <f>IF(Table1[[#This Row],[Revenue]]=0, "", Table1[[#This Row],[Profit]]/Table1[[#This Row],[Revenue]])</f>
        <v>0.21747042766151045</v>
      </c>
      <c r="N348" s="4" t="str">
        <f>IF(Table1[[#This Row],[Margin]]="", "check", IF(Table1[[#This Row],[Margin]]&lt;0.2, "Low", "OK"))</f>
        <v>OK</v>
      </c>
      <c r="O348" s="4" t="str" cm="1">
        <f t="array" ref="O348">_xlfn.IFS(Table1[[#This Row],[Revenue]]=0, "Check", Table1[[#This Row],[Revenue]]&gt;=1000, "Large", Table1[[#This Row],[Revenue]]&gt;=200, "Medium", TRUE, "Small")</f>
        <v>Large</v>
      </c>
      <c r="P348" s="4" t="str">
        <f>IF(AND(Table1[[#This Row],[Margin Flag]]="Low", Table1[[#This Row],[Revenue]]&gt;1000), "Review", "")</f>
        <v/>
      </c>
      <c r="Q348" s="4" t="str">
        <f>IF(OR(Table1[[#This Row],[Qty]]&gt;=5,Table1[[#This Row],[Order Size]] = "Large" ), "Bulk", "")</f>
        <v>Bulk</v>
      </c>
      <c r="R348" s="10">
        <f>_xlfn.XLOOKUP(G348, Lookup!$A$2:$A$7, Lookup!$B$2:$B$7, "")</f>
        <v>0.25</v>
      </c>
      <c r="S348" s="4" t="str">
        <f>IF(Table1[[#This Row],[Margin]]&lt;Table1[[#This Row],[Target Margin]], "Yes", "")</f>
        <v>Yes</v>
      </c>
    </row>
    <row r="349" spans="1:19">
      <c r="A349" t="s">
        <v>394</v>
      </c>
      <c r="B349" s="2">
        <v>46257</v>
      </c>
      <c r="C349" t="s">
        <v>57</v>
      </c>
      <c r="D349" t="s">
        <v>152</v>
      </c>
      <c r="E349">
        <v>3</v>
      </c>
      <c r="F349" t="str">
        <f>_xlfn.XLOOKUP(D349, Products!$A$2:$A$21, Products!$B$2:$B$21, "Not Found")</f>
        <v>Game Console</v>
      </c>
      <c r="G349" t="str">
        <f>_xlfn.XLOOKUP(D349, Products!$A$2:$A$21, Products!$C$2:$C$21,"not found")</f>
        <v>Gaming</v>
      </c>
      <c r="H349" s="4">
        <f>_xlfn.XLOOKUP(D349, Products!$A$2:$A$21, Products!$E$2:$E$21, 0)</f>
        <v>499</v>
      </c>
      <c r="I349" s="4">
        <f>_xlfn.XLOOKUP(D349, Products!$A$2:$A$21, Products!$F$2:$F$21,0)</f>
        <v>420</v>
      </c>
      <c r="J349" t="str">
        <f>_xlfn.XLOOKUP(C349, Stores!$A$2:$A$7, Stores!$D$2:$D$7)</f>
        <v>Sydney South</v>
      </c>
      <c r="K349" s="4">
        <f t="shared" si="10"/>
        <v>1497</v>
      </c>
      <c r="L349" s="4">
        <f t="shared" si="11"/>
        <v>237</v>
      </c>
      <c r="M349" s="10">
        <f>IF(Table1[[#This Row],[Revenue]]=0, "", Table1[[#This Row],[Profit]]/Table1[[#This Row],[Revenue]])</f>
        <v>0.15831663326653306</v>
      </c>
      <c r="N349" s="4" t="str">
        <f>IF(Table1[[#This Row],[Margin]]="", "check", IF(Table1[[#This Row],[Margin]]&lt;0.2, "Low", "OK"))</f>
        <v>Low</v>
      </c>
      <c r="O349" s="4" t="str" cm="1">
        <f t="array" ref="O349">_xlfn.IFS(Table1[[#This Row],[Revenue]]=0, "Check", Table1[[#This Row],[Revenue]]&gt;=1000, "Large", Table1[[#This Row],[Revenue]]&gt;=200, "Medium", TRUE, "Small")</f>
        <v>Large</v>
      </c>
      <c r="P349" s="4" t="str">
        <f>IF(AND(Table1[[#This Row],[Margin Flag]]="Low", Table1[[#This Row],[Revenue]]&gt;1000), "Review", "")</f>
        <v>Review</v>
      </c>
      <c r="Q349" s="4" t="str">
        <f>IF(OR(Table1[[#This Row],[Qty]]&gt;=5,Table1[[#This Row],[Order Size]] = "Large" ), "Bulk", "")</f>
        <v>Bulk</v>
      </c>
      <c r="R349" s="10">
        <f>_xlfn.XLOOKUP(G349, Lookup!$A$2:$A$7, Lookup!$B$2:$B$7, "")</f>
        <v>0.08</v>
      </c>
      <c r="S349" s="4" t="str">
        <f>IF(Table1[[#This Row],[Margin]]&lt;Table1[[#This Row],[Target Margin]], "Yes", "")</f>
        <v/>
      </c>
    </row>
    <row r="350" spans="1:19">
      <c r="A350" t="s">
        <v>395</v>
      </c>
      <c r="B350" s="2">
        <v>46257</v>
      </c>
      <c r="C350" t="s">
        <v>23</v>
      </c>
      <c r="D350" t="s">
        <v>80</v>
      </c>
      <c r="E350">
        <v>2</v>
      </c>
      <c r="F350" t="str">
        <f>_xlfn.XLOOKUP(D350, Products!$A$2:$A$21, Products!$B$2:$B$21, "Not Found")</f>
        <v>Over-Ear Headphones</v>
      </c>
      <c r="G350" t="str">
        <f>_xlfn.XLOOKUP(D350, Products!$A$2:$A$21, Products!$C$2:$C$21,"not found")</f>
        <v>Audio</v>
      </c>
      <c r="H350" s="4">
        <f>_xlfn.XLOOKUP(D350, Products!$A$2:$A$21, Products!$E$2:$E$21, 0)</f>
        <v>499</v>
      </c>
      <c r="I350" s="4">
        <f>_xlfn.XLOOKUP(D350, Products!$A$2:$A$21, Products!$F$2:$F$21,0)</f>
        <v>310</v>
      </c>
      <c r="J350" t="str">
        <f>_xlfn.XLOOKUP(C350, Stores!$A$2:$A$7, Stores!$D$2:$D$7)</f>
        <v>Sydney East</v>
      </c>
      <c r="K350" s="4">
        <f t="shared" si="10"/>
        <v>998</v>
      </c>
      <c r="L350" s="4">
        <f t="shared" si="11"/>
        <v>378</v>
      </c>
      <c r="M350" s="10">
        <f>IF(Table1[[#This Row],[Revenue]]=0, "", Table1[[#This Row],[Profit]]/Table1[[#This Row],[Revenue]])</f>
        <v>0.37875751503006011</v>
      </c>
      <c r="N350" s="4" t="str">
        <f>IF(Table1[[#This Row],[Margin]]="", "check", IF(Table1[[#This Row],[Margin]]&lt;0.2, "Low", "OK"))</f>
        <v>OK</v>
      </c>
      <c r="O350" s="4" t="str" cm="1">
        <f t="array" ref="O350">_xlfn.IFS(Table1[[#This Row],[Revenue]]=0, "Check", Table1[[#This Row],[Revenue]]&gt;=1000, "Large", Table1[[#This Row],[Revenue]]&gt;=200, "Medium", TRUE, "Small")</f>
        <v>Medium</v>
      </c>
      <c r="P350" s="4" t="str">
        <f>IF(AND(Table1[[#This Row],[Margin Flag]]="Low", Table1[[#This Row],[Revenue]]&gt;1000), "Review", "")</f>
        <v/>
      </c>
      <c r="Q350" s="4" t="str">
        <f>IF(OR(Table1[[#This Row],[Qty]]&gt;=5,Table1[[#This Row],[Order Size]] = "Large" ), "Bulk", "")</f>
        <v/>
      </c>
      <c r="R350" s="10">
        <f>_xlfn.XLOOKUP(G350, Lookup!$A$2:$A$7, Lookup!$B$2:$B$7, "")</f>
        <v>0.25</v>
      </c>
      <c r="S350" s="4" t="str">
        <f>IF(Table1[[#This Row],[Margin]]&lt;Table1[[#This Row],[Target Margin]], "Yes", "")</f>
        <v/>
      </c>
    </row>
    <row r="351" spans="1:19">
      <c r="A351" t="s">
        <v>396</v>
      </c>
      <c r="B351" s="2">
        <v>46257</v>
      </c>
      <c r="C351" t="s">
        <v>32</v>
      </c>
      <c r="D351" t="s">
        <v>27</v>
      </c>
      <c r="E351">
        <v>1</v>
      </c>
      <c r="F351" t="str">
        <f>_xlfn.XLOOKUP(D351, Products!$A$2:$A$21, Products!$B$2:$B$21, "Not Found")</f>
        <v>Bluetooth Speaker</v>
      </c>
      <c r="G351" t="str">
        <f>_xlfn.XLOOKUP(D351, Products!$A$2:$A$21, Products!$C$2:$C$21,"not found")</f>
        <v>Audio</v>
      </c>
      <c r="H351" s="4">
        <f>_xlfn.XLOOKUP(D351, Products!$A$2:$A$21, Products!$E$2:$E$21, 0)</f>
        <v>179</v>
      </c>
      <c r="I351" s="4">
        <f>_xlfn.XLOOKUP(D351, Products!$A$2:$A$21, Products!$F$2:$F$21,0)</f>
        <v>95</v>
      </c>
      <c r="J351" t="str">
        <f>_xlfn.XLOOKUP(C351, Stores!$A$2:$A$7, Stores!$D$2:$D$7)</f>
        <v>Sydney South</v>
      </c>
      <c r="K351" s="4">
        <f t="shared" si="10"/>
        <v>179</v>
      </c>
      <c r="L351" s="4">
        <f t="shared" si="11"/>
        <v>84</v>
      </c>
      <c r="M351" s="10">
        <f>IF(Table1[[#This Row],[Revenue]]=0, "", Table1[[#This Row],[Profit]]/Table1[[#This Row],[Revenue]])</f>
        <v>0.46927374301675978</v>
      </c>
      <c r="N351" s="4" t="str">
        <f>IF(Table1[[#This Row],[Margin]]="", "check", IF(Table1[[#This Row],[Margin]]&lt;0.2, "Low", "OK"))</f>
        <v>OK</v>
      </c>
      <c r="O351" s="4" t="str" cm="1">
        <f t="array" ref="O351">_xlfn.IFS(Table1[[#This Row],[Revenue]]=0, "Check", Table1[[#This Row],[Revenue]]&gt;=1000, "Large", Table1[[#This Row],[Revenue]]&gt;=200, "Medium", TRUE, "Small")</f>
        <v>Small</v>
      </c>
      <c r="P351" s="4" t="str">
        <f>IF(AND(Table1[[#This Row],[Margin Flag]]="Low", Table1[[#This Row],[Revenue]]&gt;1000), "Review", "")</f>
        <v/>
      </c>
      <c r="Q351" s="4" t="str">
        <f>IF(OR(Table1[[#This Row],[Qty]]&gt;=5,Table1[[#This Row],[Order Size]] = "Large" ), "Bulk", "")</f>
        <v/>
      </c>
      <c r="R351" s="10">
        <f>_xlfn.XLOOKUP(G351, Lookup!$A$2:$A$7, Lookup!$B$2:$B$7, "")</f>
        <v>0.25</v>
      </c>
      <c r="S351" s="4" t="str">
        <f>IF(Table1[[#This Row],[Margin]]&lt;Table1[[#This Row],[Target Margin]], "Yes", "")</f>
        <v/>
      </c>
    </row>
    <row r="352" spans="1:19">
      <c r="A352" t="s">
        <v>397</v>
      </c>
      <c r="B352" s="2">
        <v>46257</v>
      </c>
      <c r="C352" t="s">
        <v>32</v>
      </c>
      <c r="D352" t="s">
        <v>21</v>
      </c>
      <c r="E352">
        <v>1</v>
      </c>
      <c r="F352" t="str">
        <f>_xlfn.XLOOKUP(D352, Products!$A$2:$A$21, Products!$B$2:$B$21, "Not Found")</f>
        <v>Gaming Mouse</v>
      </c>
      <c r="G352" t="str">
        <f>_xlfn.XLOOKUP(D352, Products!$A$2:$A$21, Products!$C$2:$C$21,"not found")</f>
        <v>Accessories</v>
      </c>
      <c r="H352" s="4">
        <f>_xlfn.XLOOKUP(D352, Products!$A$2:$A$21, Products!$E$2:$E$21, 0)</f>
        <v>89</v>
      </c>
      <c r="I352" s="4">
        <f>_xlfn.XLOOKUP(D352, Products!$A$2:$A$21, Products!$F$2:$F$21,0)</f>
        <v>41</v>
      </c>
      <c r="J352" t="str">
        <f>_xlfn.XLOOKUP(C352, Stores!$A$2:$A$7, Stores!$D$2:$D$7)</f>
        <v>Sydney South</v>
      </c>
      <c r="K352" s="4">
        <f t="shared" si="10"/>
        <v>89</v>
      </c>
      <c r="L352" s="4">
        <f t="shared" si="11"/>
        <v>48</v>
      </c>
      <c r="M352" s="10">
        <f>IF(Table1[[#This Row],[Revenue]]=0, "", Table1[[#This Row],[Profit]]/Table1[[#This Row],[Revenue]])</f>
        <v>0.5393258426966292</v>
      </c>
      <c r="N352" s="4" t="str">
        <f>IF(Table1[[#This Row],[Margin]]="", "check", IF(Table1[[#This Row],[Margin]]&lt;0.2, "Low", "OK"))</f>
        <v>OK</v>
      </c>
      <c r="O352" s="4" t="str" cm="1">
        <f t="array" ref="O352">_xlfn.IFS(Table1[[#This Row],[Revenue]]=0, "Check", Table1[[#This Row],[Revenue]]&gt;=1000, "Large", Table1[[#This Row],[Revenue]]&gt;=200, "Medium", TRUE, "Small")</f>
        <v>Small</v>
      </c>
      <c r="P352" s="4" t="str">
        <f>IF(AND(Table1[[#This Row],[Margin Flag]]="Low", Table1[[#This Row],[Revenue]]&gt;1000), "Review", "")</f>
        <v/>
      </c>
      <c r="Q352" s="4" t="str">
        <f>IF(OR(Table1[[#This Row],[Qty]]&gt;=5,Table1[[#This Row],[Order Size]] = "Large" ), "Bulk", "")</f>
        <v/>
      </c>
      <c r="R352" s="10">
        <f>_xlfn.XLOOKUP(G352, Lookup!$A$2:$A$7, Lookup!$B$2:$B$7, "")</f>
        <v>0.25</v>
      </c>
      <c r="S352" s="4" t="str">
        <f>IF(Table1[[#This Row],[Margin]]&lt;Table1[[#This Row],[Target Margin]], "Yes", "")</f>
        <v/>
      </c>
    </row>
    <row r="353" spans="1:19">
      <c r="A353" t="s">
        <v>398</v>
      </c>
      <c r="B353" s="2">
        <v>46257</v>
      </c>
      <c r="C353" t="s">
        <v>26</v>
      </c>
      <c r="D353" t="s">
        <v>35</v>
      </c>
      <c r="E353">
        <v>2</v>
      </c>
      <c r="F353" t="str">
        <f>_xlfn.XLOOKUP(D353, Products!$A$2:$A$21, Products!$B$2:$B$21, "Not Found")</f>
        <v>Phone Case</v>
      </c>
      <c r="G353" t="str">
        <f>_xlfn.XLOOKUP(D353, Products!$A$2:$A$21, Products!$C$2:$C$21,"not found")</f>
        <v>Accessories</v>
      </c>
      <c r="H353" s="4">
        <f>_xlfn.XLOOKUP(D353, Products!$A$2:$A$21, Products!$E$2:$E$21, 0)</f>
        <v>39</v>
      </c>
      <c r="I353" s="4">
        <f>_xlfn.XLOOKUP(D353, Products!$A$2:$A$21, Products!$F$2:$F$21,0)</f>
        <v>9</v>
      </c>
      <c r="J353" t="str">
        <f>_xlfn.XLOOKUP(C353, Stores!$A$2:$A$7, Stores!$D$2:$D$7)</f>
        <v>Sydney North</v>
      </c>
      <c r="K353" s="4">
        <f t="shared" si="10"/>
        <v>78</v>
      </c>
      <c r="L353" s="4">
        <f t="shared" si="11"/>
        <v>60</v>
      </c>
      <c r="M353" s="10">
        <f>IF(Table1[[#This Row],[Revenue]]=0, "", Table1[[#This Row],[Profit]]/Table1[[#This Row],[Revenue]])</f>
        <v>0.76923076923076927</v>
      </c>
      <c r="N353" s="4" t="str">
        <f>IF(Table1[[#This Row],[Margin]]="", "check", IF(Table1[[#This Row],[Margin]]&lt;0.2, "Low", "OK"))</f>
        <v>OK</v>
      </c>
      <c r="O353" s="4" t="str" cm="1">
        <f t="array" ref="O353">_xlfn.IFS(Table1[[#This Row],[Revenue]]=0, "Check", Table1[[#This Row],[Revenue]]&gt;=1000, "Large", Table1[[#This Row],[Revenue]]&gt;=200, "Medium", TRUE, "Small")</f>
        <v>Small</v>
      </c>
      <c r="P353" s="4" t="str">
        <f>IF(AND(Table1[[#This Row],[Margin Flag]]="Low", Table1[[#This Row],[Revenue]]&gt;1000), "Review", "")</f>
        <v/>
      </c>
      <c r="Q353" s="4" t="str">
        <f>IF(OR(Table1[[#This Row],[Qty]]&gt;=5,Table1[[#This Row],[Order Size]] = "Large" ), "Bulk", "")</f>
        <v/>
      </c>
      <c r="R353" s="10">
        <f>_xlfn.XLOOKUP(G353, Lookup!$A$2:$A$7, Lookup!$B$2:$B$7, "")</f>
        <v>0.25</v>
      </c>
      <c r="S353" s="4" t="str">
        <f>IF(Table1[[#This Row],[Margin]]&lt;Table1[[#This Row],[Target Margin]], "Yes", "")</f>
        <v/>
      </c>
    </row>
    <row r="354" spans="1:19">
      <c r="A354" t="s">
        <v>399</v>
      </c>
      <c r="B354" s="2">
        <v>46257</v>
      </c>
      <c r="C354" t="s">
        <v>20</v>
      </c>
      <c r="D354" t="s">
        <v>67</v>
      </c>
      <c r="E354">
        <v>2</v>
      </c>
      <c r="F354" t="str">
        <f>_xlfn.XLOOKUP(D354, Products!$A$2:$A$21, Products!$B$2:$B$21, "Not Found")</f>
        <v>Soundbar</v>
      </c>
      <c r="G354" t="str">
        <f>_xlfn.XLOOKUP(D354, Products!$A$2:$A$21, Products!$C$2:$C$21,"not found")</f>
        <v>Audio</v>
      </c>
      <c r="H354" s="4">
        <f>_xlfn.XLOOKUP(D354, Products!$A$2:$A$21, Products!$E$2:$E$21, 0)</f>
        <v>699</v>
      </c>
      <c r="I354" s="4">
        <f>_xlfn.XLOOKUP(D354, Products!$A$2:$A$21, Products!$F$2:$F$21,0)</f>
        <v>450</v>
      </c>
      <c r="J354" t="str">
        <f>_xlfn.XLOOKUP(C354, Stores!$A$2:$A$7, Stores!$D$2:$D$7)</f>
        <v>Sydney West</v>
      </c>
      <c r="K354" s="4">
        <f t="shared" si="10"/>
        <v>1398</v>
      </c>
      <c r="L354" s="4">
        <f t="shared" si="11"/>
        <v>498</v>
      </c>
      <c r="M354" s="10">
        <f>IF(Table1[[#This Row],[Revenue]]=0, "", Table1[[#This Row],[Profit]]/Table1[[#This Row],[Revenue]])</f>
        <v>0.35622317596566522</v>
      </c>
      <c r="N354" s="4" t="str">
        <f>IF(Table1[[#This Row],[Margin]]="", "check", IF(Table1[[#This Row],[Margin]]&lt;0.2, "Low", "OK"))</f>
        <v>OK</v>
      </c>
      <c r="O354" s="4" t="str" cm="1">
        <f t="array" ref="O354">_xlfn.IFS(Table1[[#This Row],[Revenue]]=0, "Check", Table1[[#This Row],[Revenue]]&gt;=1000, "Large", Table1[[#This Row],[Revenue]]&gt;=200, "Medium", TRUE, "Small")</f>
        <v>Large</v>
      </c>
      <c r="P354" s="4" t="str">
        <f>IF(AND(Table1[[#This Row],[Margin Flag]]="Low", Table1[[#This Row],[Revenue]]&gt;1000), "Review", "")</f>
        <v/>
      </c>
      <c r="Q354" s="4" t="str">
        <f>IF(OR(Table1[[#This Row],[Qty]]&gt;=5,Table1[[#This Row],[Order Size]] = "Large" ), "Bulk", "")</f>
        <v>Bulk</v>
      </c>
      <c r="R354" s="10">
        <f>_xlfn.XLOOKUP(G354, Lookup!$A$2:$A$7, Lookup!$B$2:$B$7, "")</f>
        <v>0.25</v>
      </c>
      <c r="S354" s="4" t="str">
        <f>IF(Table1[[#This Row],[Margin]]&lt;Table1[[#This Row],[Target Margin]], "Yes", "")</f>
        <v/>
      </c>
    </row>
    <row r="355" spans="1:19">
      <c r="A355" t="s">
        <v>400</v>
      </c>
      <c r="B355" s="2">
        <v>46257</v>
      </c>
      <c r="C355" t="s">
        <v>29</v>
      </c>
      <c r="D355" t="s">
        <v>38</v>
      </c>
      <c r="E355">
        <v>1</v>
      </c>
      <c r="F355" t="str">
        <f>_xlfn.XLOOKUP(D355, Products!$A$2:$A$21, Products!$B$2:$B$21, "Not Found")</f>
        <v>USB-C Charger</v>
      </c>
      <c r="G355" t="str">
        <f>_xlfn.XLOOKUP(D355, Products!$A$2:$A$21, Products!$C$2:$C$21,"not found")</f>
        <v>Accessories</v>
      </c>
      <c r="H355" s="4">
        <f>_xlfn.XLOOKUP(D355, Products!$A$2:$A$21, Products!$E$2:$E$21, 0)</f>
        <v>49</v>
      </c>
      <c r="I355" s="4">
        <f>_xlfn.XLOOKUP(D355, Products!$A$2:$A$21, Products!$F$2:$F$21,0)</f>
        <v>14</v>
      </c>
      <c r="J355" t="str">
        <f>_xlfn.XLOOKUP(C355, Stores!$A$2:$A$7, Stores!$D$2:$D$7)</f>
        <v>Sydney West</v>
      </c>
      <c r="K355" s="4">
        <f t="shared" si="10"/>
        <v>49</v>
      </c>
      <c r="L355" s="4">
        <f t="shared" si="11"/>
        <v>35</v>
      </c>
      <c r="M355" s="10">
        <f>IF(Table1[[#This Row],[Revenue]]=0, "", Table1[[#This Row],[Profit]]/Table1[[#This Row],[Revenue]])</f>
        <v>0.7142857142857143</v>
      </c>
      <c r="N355" s="4" t="str">
        <f>IF(Table1[[#This Row],[Margin]]="", "check", IF(Table1[[#This Row],[Margin]]&lt;0.2, "Low", "OK"))</f>
        <v>OK</v>
      </c>
      <c r="O355" s="4" t="str" cm="1">
        <f t="array" ref="O355">_xlfn.IFS(Table1[[#This Row],[Revenue]]=0, "Check", Table1[[#This Row],[Revenue]]&gt;=1000, "Large", Table1[[#This Row],[Revenue]]&gt;=200, "Medium", TRUE, "Small")</f>
        <v>Small</v>
      </c>
      <c r="P355" s="4" t="str">
        <f>IF(AND(Table1[[#This Row],[Margin Flag]]="Low", Table1[[#This Row],[Revenue]]&gt;1000), "Review", "")</f>
        <v/>
      </c>
      <c r="Q355" s="4" t="str">
        <f>IF(OR(Table1[[#This Row],[Qty]]&gt;=5,Table1[[#This Row],[Order Size]] = "Large" ), "Bulk", "")</f>
        <v/>
      </c>
      <c r="R355" s="10">
        <f>_xlfn.XLOOKUP(G355, Lookup!$A$2:$A$7, Lookup!$B$2:$B$7, "")</f>
        <v>0.25</v>
      </c>
      <c r="S355" s="4" t="str">
        <f>IF(Table1[[#This Row],[Margin]]&lt;Table1[[#This Row],[Target Margin]], "Yes", "")</f>
        <v/>
      </c>
    </row>
    <row r="356" spans="1:19">
      <c r="A356" t="s">
        <v>401</v>
      </c>
      <c r="B356" s="2">
        <v>46257</v>
      </c>
      <c r="C356" t="s">
        <v>57</v>
      </c>
      <c r="D356" t="s">
        <v>60</v>
      </c>
      <c r="E356">
        <v>2</v>
      </c>
      <c r="F356" t="str">
        <f>_xlfn.XLOOKUP(D356, Products!$A$2:$A$21, Products!$B$2:$B$21, "Not Found")</f>
        <v>55in TV</v>
      </c>
      <c r="G356" t="str">
        <f>_xlfn.XLOOKUP(D356, Products!$A$2:$A$21, Products!$C$2:$C$21,"not found")</f>
        <v>TV</v>
      </c>
      <c r="H356" s="4">
        <f>_xlfn.XLOOKUP(D356, Products!$A$2:$A$21, Products!$E$2:$E$21, 0)</f>
        <v>1299</v>
      </c>
      <c r="I356" s="4">
        <f>_xlfn.XLOOKUP(D356, Products!$A$2:$A$21, Products!$F$2:$F$21,0)</f>
        <v>980</v>
      </c>
      <c r="J356" t="str">
        <f>_xlfn.XLOOKUP(C356, Stores!$A$2:$A$7, Stores!$D$2:$D$7)</f>
        <v>Sydney South</v>
      </c>
      <c r="K356" s="4">
        <f t="shared" si="10"/>
        <v>2598</v>
      </c>
      <c r="L356" s="4">
        <f t="shared" si="11"/>
        <v>638</v>
      </c>
      <c r="M356" s="10">
        <f>IF(Table1[[#This Row],[Revenue]]=0, "", Table1[[#This Row],[Profit]]/Table1[[#This Row],[Revenue]])</f>
        <v>0.2455735180908391</v>
      </c>
      <c r="N356" s="4" t="str">
        <f>IF(Table1[[#This Row],[Margin]]="", "check", IF(Table1[[#This Row],[Margin]]&lt;0.2, "Low", "OK"))</f>
        <v>OK</v>
      </c>
      <c r="O356" s="4" t="str" cm="1">
        <f t="array" ref="O356">_xlfn.IFS(Table1[[#This Row],[Revenue]]=0, "Check", Table1[[#This Row],[Revenue]]&gt;=1000, "Large", Table1[[#This Row],[Revenue]]&gt;=200, "Medium", TRUE, "Small")</f>
        <v>Large</v>
      </c>
      <c r="P356" s="4" t="str">
        <f>IF(AND(Table1[[#This Row],[Margin Flag]]="Low", Table1[[#This Row],[Revenue]]&gt;1000), "Review", "")</f>
        <v/>
      </c>
      <c r="Q356" s="4" t="str">
        <f>IF(OR(Table1[[#This Row],[Qty]]&gt;=5,Table1[[#This Row],[Order Size]] = "Large" ), "Bulk", "")</f>
        <v>Bulk</v>
      </c>
      <c r="R356" s="10">
        <f>_xlfn.XLOOKUP(G356, Lookup!$A$2:$A$7, Lookup!$B$2:$B$7, "")</f>
        <v>0.25</v>
      </c>
      <c r="S356" s="4" t="str">
        <f>IF(Table1[[#This Row],[Margin]]&lt;Table1[[#This Row],[Target Margin]], "Yes", "")</f>
        <v>Yes</v>
      </c>
    </row>
    <row r="357" spans="1:19">
      <c r="A357" t="s">
        <v>402</v>
      </c>
      <c r="B357" s="2">
        <v>46257</v>
      </c>
      <c r="C357" t="s">
        <v>26</v>
      </c>
      <c r="D357" t="s">
        <v>35</v>
      </c>
      <c r="E357">
        <v>1</v>
      </c>
      <c r="F357" t="str">
        <f>_xlfn.XLOOKUP(D357, Products!$A$2:$A$21, Products!$B$2:$B$21, "Not Found")</f>
        <v>Phone Case</v>
      </c>
      <c r="G357" t="str">
        <f>_xlfn.XLOOKUP(D357, Products!$A$2:$A$21, Products!$C$2:$C$21,"not found")</f>
        <v>Accessories</v>
      </c>
      <c r="H357" s="4">
        <f>_xlfn.XLOOKUP(D357, Products!$A$2:$A$21, Products!$E$2:$E$21, 0)</f>
        <v>39</v>
      </c>
      <c r="I357" s="4">
        <f>_xlfn.XLOOKUP(D357, Products!$A$2:$A$21, Products!$F$2:$F$21,0)</f>
        <v>9</v>
      </c>
      <c r="J357" t="str">
        <f>_xlfn.XLOOKUP(C357, Stores!$A$2:$A$7, Stores!$D$2:$D$7)</f>
        <v>Sydney North</v>
      </c>
      <c r="K357" s="4">
        <f t="shared" si="10"/>
        <v>39</v>
      </c>
      <c r="L357" s="4">
        <f t="shared" si="11"/>
        <v>30</v>
      </c>
      <c r="M357" s="10">
        <f>IF(Table1[[#This Row],[Revenue]]=0, "", Table1[[#This Row],[Profit]]/Table1[[#This Row],[Revenue]])</f>
        <v>0.76923076923076927</v>
      </c>
      <c r="N357" s="4" t="str">
        <f>IF(Table1[[#This Row],[Margin]]="", "check", IF(Table1[[#This Row],[Margin]]&lt;0.2, "Low", "OK"))</f>
        <v>OK</v>
      </c>
      <c r="O357" s="4" t="str" cm="1">
        <f t="array" ref="O357">_xlfn.IFS(Table1[[#This Row],[Revenue]]=0, "Check", Table1[[#This Row],[Revenue]]&gt;=1000, "Large", Table1[[#This Row],[Revenue]]&gt;=200, "Medium", TRUE, "Small")</f>
        <v>Small</v>
      </c>
      <c r="P357" s="4" t="str">
        <f>IF(AND(Table1[[#This Row],[Margin Flag]]="Low", Table1[[#This Row],[Revenue]]&gt;1000), "Review", "")</f>
        <v/>
      </c>
      <c r="Q357" s="4" t="str">
        <f>IF(OR(Table1[[#This Row],[Qty]]&gt;=5,Table1[[#This Row],[Order Size]] = "Large" ), "Bulk", "")</f>
        <v/>
      </c>
      <c r="R357" s="10">
        <f>_xlfn.XLOOKUP(G357, Lookup!$A$2:$A$7, Lookup!$B$2:$B$7, "")</f>
        <v>0.25</v>
      </c>
      <c r="S357" s="4" t="str">
        <f>IF(Table1[[#This Row],[Margin]]&lt;Table1[[#This Row],[Target Margin]], "Yes", "")</f>
        <v/>
      </c>
    </row>
    <row r="358" spans="1:19">
      <c r="A358" t="s">
        <v>403</v>
      </c>
      <c r="B358" s="2">
        <v>46258</v>
      </c>
      <c r="C358" t="s">
        <v>32</v>
      </c>
      <c r="D358" t="s">
        <v>69</v>
      </c>
      <c r="E358">
        <v>1</v>
      </c>
      <c r="F358" t="str">
        <f>_xlfn.XLOOKUP(D358, Products!$A$2:$A$21, Products!$B$2:$B$21, "Not Found")</f>
        <v>27in Monitor</v>
      </c>
      <c r="G358" t="str">
        <f>_xlfn.XLOOKUP(D358, Products!$A$2:$A$21, Products!$C$2:$C$21,"not found")</f>
        <v>Computers</v>
      </c>
      <c r="H358" s="4">
        <f>_xlfn.XLOOKUP(D358, Products!$A$2:$A$21, Products!$E$2:$E$21, 0)</f>
        <v>399</v>
      </c>
      <c r="I358" s="4">
        <f>_xlfn.XLOOKUP(D358, Products!$A$2:$A$21, Products!$F$2:$F$21,0)</f>
        <v>290</v>
      </c>
      <c r="J358" t="str">
        <f>_xlfn.XLOOKUP(C358, Stores!$A$2:$A$7, Stores!$D$2:$D$7)</f>
        <v>Sydney South</v>
      </c>
      <c r="K358" s="4">
        <f t="shared" si="10"/>
        <v>399</v>
      </c>
      <c r="L358" s="4">
        <f t="shared" si="11"/>
        <v>109</v>
      </c>
      <c r="M358" s="10">
        <f>IF(Table1[[#This Row],[Revenue]]=0, "", Table1[[#This Row],[Profit]]/Table1[[#This Row],[Revenue]])</f>
        <v>0.27318295739348369</v>
      </c>
      <c r="N358" s="4" t="str">
        <f>IF(Table1[[#This Row],[Margin]]="", "check", IF(Table1[[#This Row],[Margin]]&lt;0.2, "Low", "OK"))</f>
        <v>OK</v>
      </c>
      <c r="O358" s="4" t="str" cm="1">
        <f t="array" ref="O358">_xlfn.IFS(Table1[[#This Row],[Revenue]]=0, "Check", Table1[[#This Row],[Revenue]]&gt;=1000, "Large", Table1[[#This Row],[Revenue]]&gt;=200, "Medium", TRUE, "Small")</f>
        <v>Medium</v>
      </c>
      <c r="P358" s="4" t="str">
        <f>IF(AND(Table1[[#This Row],[Margin Flag]]="Low", Table1[[#This Row],[Revenue]]&gt;1000), "Review", "")</f>
        <v/>
      </c>
      <c r="Q358" s="4" t="str">
        <f>IF(OR(Table1[[#This Row],[Qty]]&gt;=5,Table1[[#This Row],[Order Size]] = "Large" ), "Bulk", "")</f>
        <v/>
      </c>
      <c r="R358" s="10">
        <f>_xlfn.XLOOKUP(G358, Lookup!$A$2:$A$7, Lookup!$B$2:$B$7, "")</f>
        <v>0.25</v>
      </c>
      <c r="S358" s="4" t="str">
        <f>IF(Table1[[#This Row],[Margin]]&lt;Table1[[#This Row],[Target Margin]], "Yes", "")</f>
        <v/>
      </c>
    </row>
    <row r="359" spans="1:19">
      <c r="A359" t="s">
        <v>404</v>
      </c>
      <c r="B359" s="2">
        <v>46258</v>
      </c>
      <c r="C359" t="s">
        <v>32</v>
      </c>
      <c r="D359" t="s">
        <v>130</v>
      </c>
      <c r="E359">
        <v>1</v>
      </c>
      <c r="F359" t="str">
        <f>_xlfn.XLOOKUP(D359, Products!$A$2:$A$21, Products!$B$2:$B$21, "Not Found")</f>
        <v>65in TV</v>
      </c>
      <c r="G359" t="str">
        <f>_xlfn.XLOOKUP(D359, Products!$A$2:$A$21, Products!$C$2:$C$21,"not found")</f>
        <v>TV</v>
      </c>
      <c r="H359" s="4">
        <f>_xlfn.XLOOKUP(D359, Products!$A$2:$A$21, Products!$E$2:$E$21, 0)</f>
        <v>1999</v>
      </c>
      <c r="I359" s="4">
        <f>_xlfn.XLOOKUP(D359, Products!$A$2:$A$21, Products!$F$2:$F$21,0)</f>
        <v>1520</v>
      </c>
      <c r="J359" t="str">
        <f>_xlfn.XLOOKUP(C359, Stores!$A$2:$A$7, Stores!$D$2:$D$7)</f>
        <v>Sydney South</v>
      </c>
      <c r="K359" s="4">
        <f t="shared" si="10"/>
        <v>1999</v>
      </c>
      <c r="L359" s="4">
        <f t="shared" si="11"/>
        <v>479</v>
      </c>
      <c r="M359" s="10">
        <f>IF(Table1[[#This Row],[Revenue]]=0, "", Table1[[#This Row],[Profit]]/Table1[[#This Row],[Revenue]])</f>
        <v>0.23961980990495246</v>
      </c>
      <c r="N359" s="4" t="str">
        <f>IF(Table1[[#This Row],[Margin]]="", "check", IF(Table1[[#This Row],[Margin]]&lt;0.2, "Low", "OK"))</f>
        <v>OK</v>
      </c>
      <c r="O359" s="4" t="str" cm="1">
        <f t="array" ref="O359">_xlfn.IFS(Table1[[#This Row],[Revenue]]=0, "Check", Table1[[#This Row],[Revenue]]&gt;=1000, "Large", Table1[[#This Row],[Revenue]]&gt;=200, "Medium", TRUE, "Small")</f>
        <v>Large</v>
      </c>
      <c r="P359" s="4" t="str">
        <f>IF(AND(Table1[[#This Row],[Margin Flag]]="Low", Table1[[#This Row],[Revenue]]&gt;1000), "Review", "")</f>
        <v/>
      </c>
      <c r="Q359" s="4" t="str">
        <f>IF(OR(Table1[[#This Row],[Qty]]&gt;=5,Table1[[#This Row],[Order Size]] = "Large" ), "Bulk", "")</f>
        <v>Bulk</v>
      </c>
      <c r="R359" s="10">
        <f>_xlfn.XLOOKUP(G359, Lookup!$A$2:$A$7, Lookup!$B$2:$B$7, "")</f>
        <v>0.25</v>
      </c>
      <c r="S359" s="4" t="str">
        <f>IF(Table1[[#This Row],[Margin]]&lt;Table1[[#This Row],[Target Margin]], "Yes", "")</f>
        <v>Yes</v>
      </c>
    </row>
    <row r="360" spans="1:19">
      <c r="A360" t="s">
        <v>405</v>
      </c>
      <c r="B360" s="2">
        <v>46258</v>
      </c>
      <c r="C360" t="s">
        <v>29</v>
      </c>
      <c r="D360" t="s">
        <v>54</v>
      </c>
      <c r="E360">
        <v>2</v>
      </c>
      <c r="F360" t="str">
        <f>_xlfn.XLOOKUP(D360, Products!$A$2:$A$21, Products!$B$2:$B$21, "Not Found")</f>
        <v>Tablet 11in</v>
      </c>
      <c r="G360" t="str">
        <f>_xlfn.XLOOKUP(D360, Products!$A$2:$A$21, Products!$C$2:$C$21,"not found")</f>
        <v>Computers</v>
      </c>
      <c r="H360" s="4">
        <f>_xlfn.XLOOKUP(D360, Products!$A$2:$A$21, Products!$E$2:$E$21, 0)</f>
        <v>899</v>
      </c>
      <c r="I360" s="4">
        <f>_xlfn.XLOOKUP(D360, Products!$A$2:$A$21, Products!$F$2:$F$21,0)</f>
        <v>690</v>
      </c>
      <c r="J360" t="str">
        <f>_xlfn.XLOOKUP(C360, Stores!$A$2:$A$7, Stores!$D$2:$D$7)</f>
        <v>Sydney West</v>
      </c>
      <c r="K360" s="4">
        <f t="shared" si="10"/>
        <v>1798</v>
      </c>
      <c r="L360" s="4">
        <f t="shared" si="11"/>
        <v>418</v>
      </c>
      <c r="M360" s="10">
        <f>IF(Table1[[#This Row],[Revenue]]=0, "", Table1[[#This Row],[Profit]]/Table1[[#This Row],[Revenue]])</f>
        <v>0.2324805339265851</v>
      </c>
      <c r="N360" s="4" t="str">
        <f>IF(Table1[[#This Row],[Margin]]="", "check", IF(Table1[[#This Row],[Margin]]&lt;0.2, "Low", "OK"))</f>
        <v>OK</v>
      </c>
      <c r="O360" s="4" t="str" cm="1">
        <f t="array" ref="O360">_xlfn.IFS(Table1[[#This Row],[Revenue]]=0, "Check", Table1[[#This Row],[Revenue]]&gt;=1000, "Large", Table1[[#This Row],[Revenue]]&gt;=200, "Medium", TRUE, "Small")</f>
        <v>Large</v>
      </c>
      <c r="P360" s="4" t="str">
        <f>IF(AND(Table1[[#This Row],[Margin Flag]]="Low", Table1[[#This Row],[Revenue]]&gt;1000), "Review", "")</f>
        <v/>
      </c>
      <c r="Q360" s="4" t="str">
        <f>IF(OR(Table1[[#This Row],[Qty]]&gt;=5,Table1[[#This Row],[Order Size]] = "Large" ), "Bulk", "")</f>
        <v>Bulk</v>
      </c>
      <c r="R360" s="10">
        <f>_xlfn.XLOOKUP(G360, Lookup!$A$2:$A$7, Lookup!$B$2:$B$7, "")</f>
        <v>0.25</v>
      </c>
      <c r="S360" s="4" t="str">
        <f>IF(Table1[[#This Row],[Margin]]&lt;Table1[[#This Row],[Target Margin]], "Yes", "")</f>
        <v>Yes</v>
      </c>
    </row>
    <row r="361" spans="1:19">
      <c r="A361" t="s">
        <v>406</v>
      </c>
      <c r="B361" s="2">
        <v>46258</v>
      </c>
      <c r="C361" t="s">
        <v>29</v>
      </c>
      <c r="D361" t="s">
        <v>35</v>
      </c>
      <c r="E361">
        <v>1</v>
      </c>
      <c r="F361" t="str">
        <f>_xlfn.XLOOKUP(D361, Products!$A$2:$A$21, Products!$B$2:$B$21, "Not Found")</f>
        <v>Phone Case</v>
      </c>
      <c r="G361" t="str">
        <f>_xlfn.XLOOKUP(D361, Products!$A$2:$A$21, Products!$C$2:$C$21,"not found")</f>
        <v>Accessories</v>
      </c>
      <c r="H361" s="4">
        <f>_xlfn.XLOOKUP(D361, Products!$A$2:$A$21, Products!$E$2:$E$21, 0)</f>
        <v>39</v>
      </c>
      <c r="I361" s="4">
        <f>_xlfn.XLOOKUP(D361, Products!$A$2:$A$21, Products!$F$2:$F$21,0)</f>
        <v>9</v>
      </c>
      <c r="J361" t="str">
        <f>_xlfn.XLOOKUP(C361, Stores!$A$2:$A$7, Stores!$D$2:$D$7)</f>
        <v>Sydney West</v>
      </c>
      <c r="K361" s="4">
        <f t="shared" si="10"/>
        <v>39</v>
      </c>
      <c r="L361" s="4">
        <f t="shared" si="11"/>
        <v>30</v>
      </c>
      <c r="M361" s="10">
        <f>IF(Table1[[#This Row],[Revenue]]=0, "", Table1[[#This Row],[Profit]]/Table1[[#This Row],[Revenue]])</f>
        <v>0.76923076923076927</v>
      </c>
      <c r="N361" s="4" t="str">
        <f>IF(Table1[[#This Row],[Margin]]="", "check", IF(Table1[[#This Row],[Margin]]&lt;0.2, "Low", "OK"))</f>
        <v>OK</v>
      </c>
      <c r="O361" s="4" t="str" cm="1">
        <f t="array" ref="O361">_xlfn.IFS(Table1[[#This Row],[Revenue]]=0, "Check", Table1[[#This Row],[Revenue]]&gt;=1000, "Large", Table1[[#This Row],[Revenue]]&gt;=200, "Medium", TRUE, "Small")</f>
        <v>Small</v>
      </c>
      <c r="P361" s="4" t="str">
        <f>IF(AND(Table1[[#This Row],[Margin Flag]]="Low", Table1[[#This Row],[Revenue]]&gt;1000), "Review", "")</f>
        <v/>
      </c>
      <c r="Q361" s="4" t="str">
        <f>IF(OR(Table1[[#This Row],[Qty]]&gt;=5,Table1[[#This Row],[Order Size]] = "Large" ), "Bulk", "")</f>
        <v/>
      </c>
      <c r="R361" s="10">
        <f>_xlfn.XLOOKUP(G361, Lookup!$A$2:$A$7, Lookup!$B$2:$B$7, "")</f>
        <v>0.25</v>
      </c>
      <c r="S361" s="4" t="str">
        <f>IF(Table1[[#This Row],[Margin]]&lt;Table1[[#This Row],[Target Margin]], "Yes", "")</f>
        <v/>
      </c>
    </row>
    <row r="362" spans="1:19">
      <c r="A362" t="s">
        <v>407</v>
      </c>
      <c r="B362" s="2">
        <v>46258</v>
      </c>
      <c r="C362" t="s">
        <v>20</v>
      </c>
      <c r="D362" t="s">
        <v>152</v>
      </c>
      <c r="E362">
        <v>1</v>
      </c>
      <c r="F362" t="str">
        <f>_xlfn.XLOOKUP(D362, Products!$A$2:$A$21, Products!$B$2:$B$21, "Not Found")</f>
        <v>Game Console</v>
      </c>
      <c r="G362" t="str">
        <f>_xlfn.XLOOKUP(D362, Products!$A$2:$A$21, Products!$C$2:$C$21,"not found")</f>
        <v>Gaming</v>
      </c>
      <c r="H362" s="4">
        <f>_xlfn.XLOOKUP(D362, Products!$A$2:$A$21, Products!$E$2:$E$21, 0)</f>
        <v>499</v>
      </c>
      <c r="I362" s="4">
        <f>_xlfn.XLOOKUP(D362, Products!$A$2:$A$21, Products!$F$2:$F$21,0)</f>
        <v>420</v>
      </c>
      <c r="J362" t="str">
        <f>_xlfn.XLOOKUP(C362, Stores!$A$2:$A$7, Stores!$D$2:$D$7)</f>
        <v>Sydney West</v>
      </c>
      <c r="K362" s="4">
        <f t="shared" si="10"/>
        <v>499</v>
      </c>
      <c r="L362" s="4">
        <f t="shared" si="11"/>
        <v>79</v>
      </c>
      <c r="M362" s="10">
        <f>IF(Table1[[#This Row],[Revenue]]=0, "", Table1[[#This Row],[Profit]]/Table1[[#This Row],[Revenue]])</f>
        <v>0.15831663326653306</v>
      </c>
      <c r="N362" s="4" t="str">
        <f>IF(Table1[[#This Row],[Margin]]="", "check", IF(Table1[[#This Row],[Margin]]&lt;0.2, "Low", "OK"))</f>
        <v>Low</v>
      </c>
      <c r="O362" s="4" t="str" cm="1">
        <f t="array" ref="O362">_xlfn.IFS(Table1[[#This Row],[Revenue]]=0, "Check", Table1[[#This Row],[Revenue]]&gt;=1000, "Large", Table1[[#This Row],[Revenue]]&gt;=200, "Medium", TRUE, "Small")</f>
        <v>Medium</v>
      </c>
      <c r="P362" s="4" t="str">
        <f>IF(AND(Table1[[#This Row],[Margin Flag]]="Low", Table1[[#This Row],[Revenue]]&gt;1000), "Review", "")</f>
        <v/>
      </c>
      <c r="Q362" s="4" t="str">
        <f>IF(OR(Table1[[#This Row],[Qty]]&gt;=5,Table1[[#This Row],[Order Size]] = "Large" ), "Bulk", "")</f>
        <v/>
      </c>
      <c r="R362" s="10">
        <f>_xlfn.XLOOKUP(G362, Lookup!$A$2:$A$7, Lookup!$B$2:$B$7, "")</f>
        <v>0.08</v>
      </c>
      <c r="S362" s="4" t="str">
        <f>IF(Table1[[#This Row],[Margin]]&lt;Table1[[#This Row],[Target Margin]], "Yes", "")</f>
        <v/>
      </c>
    </row>
    <row r="363" spans="1:19">
      <c r="A363" t="s">
        <v>408</v>
      </c>
      <c r="B363" s="2">
        <v>46259</v>
      </c>
      <c r="C363" t="s">
        <v>20</v>
      </c>
      <c r="D363" t="s">
        <v>60</v>
      </c>
      <c r="E363">
        <v>3</v>
      </c>
      <c r="F363" t="str">
        <f>_xlfn.XLOOKUP(D363, Products!$A$2:$A$21, Products!$B$2:$B$21, "Not Found")</f>
        <v>55in TV</v>
      </c>
      <c r="G363" t="str">
        <f>_xlfn.XLOOKUP(D363, Products!$A$2:$A$21, Products!$C$2:$C$21,"not found")</f>
        <v>TV</v>
      </c>
      <c r="H363" s="4">
        <f>_xlfn.XLOOKUP(D363, Products!$A$2:$A$21, Products!$E$2:$E$21, 0)</f>
        <v>1299</v>
      </c>
      <c r="I363" s="4">
        <f>_xlfn.XLOOKUP(D363, Products!$A$2:$A$21, Products!$F$2:$F$21,0)</f>
        <v>980</v>
      </c>
      <c r="J363" t="str">
        <f>_xlfn.XLOOKUP(C363, Stores!$A$2:$A$7, Stores!$D$2:$D$7)</f>
        <v>Sydney West</v>
      </c>
      <c r="K363" s="4">
        <f t="shared" si="10"/>
        <v>3897</v>
      </c>
      <c r="L363" s="4">
        <f t="shared" si="11"/>
        <v>957</v>
      </c>
      <c r="M363" s="10">
        <f>IF(Table1[[#This Row],[Revenue]]=0, "", Table1[[#This Row],[Profit]]/Table1[[#This Row],[Revenue]])</f>
        <v>0.2455735180908391</v>
      </c>
      <c r="N363" s="4" t="str">
        <f>IF(Table1[[#This Row],[Margin]]="", "check", IF(Table1[[#This Row],[Margin]]&lt;0.2, "Low", "OK"))</f>
        <v>OK</v>
      </c>
      <c r="O363" s="4" t="str" cm="1">
        <f t="array" ref="O363">_xlfn.IFS(Table1[[#This Row],[Revenue]]=0, "Check", Table1[[#This Row],[Revenue]]&gt;=1000, "Large", Table1[[#This Row],[Revenue]]&gt;=200, "Medium", TRUE, "Small")</f>
        <v>Large</v>
      </c>
      <c r="P363" s="4" t="str">
        <f>IF(AND(Table1[[#This Row],[Margin Flag]]="Low", Table1[[#This Row],[Revenue]]&gt;1000), "Review", "")</f>
        <v/>
      </c>
      <c r="Q363" s="4" t="str">
        <f>IF(OR(Table1[[#This Row],[Qty]]&gt;=5,Table1[[#This Row],[Order Size]] = "Large" ), "Bulk", "")</f>
        <v>Bulk</v>
      </c>
      <c r="R363" s="10">
        <f>_xlfn.XLOOKUP(G363, Lookup!$A$2:$A$7, Lookup!$B$2:$B$7, "")</f>
        <v>0.25</v>
      </c>
      <c r="S363" s="4" t="str">
        <f>IF(Table1[[#This Row],[Margin]]&lt;Table1[[#This Row],[Target Margin]], "Yes", "")</f>
        <v>Yes</v>
      </c>
    </row>
    <row r="364" spans="1:19">
      <c r="A364" t="s">
        <v>409</v>
      </c>
      <c r="B364" s="2">
        <v>46259</v>
      </c>
      <c r="C364" t="s">
        <v>32</v>
      </c>
      <c r="D364" t="s">
        <v>35</v>
      </c>
      <c r="E364">
        <v>1</v>
      </c>
      <c r="F364" t="str">
        <f>_xlfn.XLOOKUP(D364, Products!$A$2:$A$21, Products!$B$2:$B$21, "Not Found")</f>
        <v>Phone Case</v>
      </c>
      <c r="G364" t="str">
        <f>_xlfn.XLOOKUP(D364, Products!$A$2:$A$21, Products!$C$2:$C$21,"not found")</f>
        <v>Accessories</v>
      </c>
      <c r="H364" s="4">
        <f>_xlfn.XLOOKUP(D364, Products!$A$2:$A$21, Products!$E$2:$E$21, 0)</f>
        <v>39</v>
      </c>
      <c r="I364" s="4">
        <f>_xlfn.XLOOKUP(D364, Products!$A$2:$A$21, Products!$F$2:$F$21,0)</f>
        <v>9</v>
      </c>
      <c r="J364" t="str">
        <f>_xlfn.XLOOKUP(C364, Stores!$A$2:$A$7, Stores!$D$2:$D$7)</f>
        <v>Sydney South</v>
      </c>
      <c r="K364" s="4">
        <f t="shared" si="10"/>
        <v>39</v>
      </c>
      <c r="L364" s="4">
        <f t="shared" si="11"/>
        <v>30</v>
      </c>
      <c r="M364" s="10">
        <f>IF(Table1[[#This Row],[Revenue]]=0, "", Table1[[#This Row],[Profit]]/Table1[[#This Row],[Revenue]])</f>
        <v>0.76923076923076927</v>
      </c>
      <c r="N364" s="4" t="str">
        <f>IF(Table1[[#This Row],[Margin]]="", "check", IF(Table1[[#This Row],[Margin]]&lt;0.2, "Low", "OK"))</f>
        <v>OK</v>
      </c>
      <c r="O364" s="4" t="str" cm="1">
        <f t="array" ref="O364">_xlfn.IFS(Table1[[#This Row],[Revenue]]=0, "Check", Table1[[#This Row],[Revenue]]&gt;=1000, "Large", Table1[[#This Row],[Revenue]]&gt;=200, "Medium", TRUE, "Small")</f>
        <v>Small</v>
      </c>
      <c r="P364" s="4" t="str">
        <f>IF(AND(Table1[[#This Row],[Margin Flag]]="Low", Table1[[#This Row],[Revenue]]&gt;1000), "Review", "")</f>
        <v/>
      </c>
      <c r="Q364" s="4" t="str">
        <f>IF(OR(Table1[[#This Row],[Qty]]&gt;=5,Table1[[#This Row],[Order Size]] = "Large" ), "Bulk", "")</f>
        <v/>
      </c>
      <c r="R364" s="10">
        <f>_xlfn.XLOOKUP(G364, Lookup!$A$2:$A$7, Lookup!$B$2:$B$7, "")</f>
        <v>0.25</v>
      </c>
      <c r="S364" s="4" t="str">
        <f>IF(Table1[[#This Row],[Margin]]&lt;Table1[[#This Row],[Target Margin]], "Yes", "")</f>
        <v/>
      </c>
    </row>
    <row r="365" spans="1:19">
      <c r="A365" t="s">
        <v>410</v>
      </c>
      <c r="B365" s="2">
        <v>46259</v>
      </c>
      <c r="C365" t="s">
        <v>29</v>
      </c>
      <c r="D365" t="s">
        <v>130</v>
      </c>
      <c r="E365">
        <v>1</v>
      </c>
      <c r="F365" t="str">
        <f>_xlfn.XLOOKUP(D365, Products!$A$2:$A$21, Products!$B$2:$B$21, "Not Found")</f>
        <v>65in TV</v>
      </c>
      <c r="G365" t="str">
        <f>_xlfn.XLOOKUP(D365, Products!$A$2:$A$21, Products!$C$2:$C$21,"not found")</f>
        <v>TV</v>
      </c>
      <c r="H365" s="4">
        <f>_xlfn.XLOOKUP(D365, Products!$A$2:$A$21, Products!$E$2:$E$21, 0)</f>
        <v>1999</v>
      </c>
      <c r="I365" s="4">
        <f>_xlfn.XLOOKUP(D365, Products!$A$2:$A$21, Products!$F$2:$F$21,0)</f>
        <v>1520</v>
      </c>
      <c r="J365" t="str">
        <f>_xlfn.XLOOKUP(C365, Stores!$A$2:$A$7, Stores!$D$2:$D$7)</f>
        <v>Sydney West</v>
      </c>
      <c r="K365" s="4">
        <f t="shared" si="10"/>
        <v>1999</v>
      </c>
      <c r="L365" s="4">
        <f t="shared" si="11"/>
        <v>479</v>
      </c>
      <c r="M365" s="10">
        <f>IF(Table1[[#This Row],[Revenue]]=0, "", Table1[[#This Row],[Profit]]/Table1[[#This Row],[Revenue]])</f>
        <v>0.23961980990495246</v>
      </c>
      <c r="N365" s="4" t="str">
        <f>IF(Table1[[#This Row],[Margin]]="", "check", IF(Table1[[#This Row],[Margin]]&lt;0.2, "Low", "OK"))</f>
        <v>OK</v>
      </c>
      <c r="O365" s="4" t="str" cm="1">
        <f t="array" ref="O365">_xlfn.IFS(Table1[[#This Row],[Revenue]]=0, "Check", Table1[[#This Row],[Revenue]]&gt;=1000, "Large", Table1[[#This Row],[Revenue]]&gt;=200, "Medium", TRUE, "Small")</f>
        <v>Large</v>
      </c>
      <c r="P365" s="4" t="str">
        <f>IF(AND(Table1[[#This Row],[Margin Flag]]="Low", Table1[[#This Row],[Revenue]]&gt;1000), "Review", "")</f>
        <v/>
      </c>
      <c r="Q365" s="4" t="str">
        <f>IF(OR(Table1[[#This Row],[Qty]]&gt;=5,Table1[[#This Row],[Order Size]] = "Large" ), "Bulk", "")</f>
        <v>Bulk</v>
      </c>
      <c r="R365" s="10">
        <f>_xlfn.XLOOKUP(G365, Lookup!$A$2:$A$7, Lookup!$B$2:$B$7, "")</f>
        <v>0.25</v>
      </c>
      <c r="S365" s="4" t="str">
        <f>IF(Table1[[#This Row],[Margin]]&lt;Table1[[#This Row],[Target Margin]], "Yes", "")</f>
        <v>Yes</v>
      </c>
    </row>
    <row r="366" spans="1:19">
      <c r="A366" t="s">
        <v>411</v>
      </c>
      <c r="B366" s="2">
        <v>46259</v>
      </c>
      <c r="C366" t="s">
        <v>29</v>
      </c>
      <c r="D366" t="s">
        <v>35</v>
      </c>
      <c r="E366">
        <v>3</v>
      </c>
      <c r="F366" t="str">
        <f>_xlfn.XLOOKUP(D366, Products!$A$2:$A$21, Products!$B$2:$B$21, "Not Found")</f>
        <v>Phone Case</v>
      </c>
      <c r="G366" t="str">
        <f>_xlfn.XLOOKUP(D366, Products!$A$2:$A$21, Products!$C$2:$C$21,"not found")</f>
        <v>Accessories</v>
      </c>
      <c r="H366" s="4">
        <f>_xlfn.XLOOKUP(D366, Products!$A$2:$A$21, Products!$E$2:$E$21, 0)</f>
        <v>39</v>
      </c>
      <c r="I366" s="4">
        <f>_xlfn.XLOOKUP(D366, Products!$A$2:$A$21, Products!$F$2:$F$21,0)</f>
        <v>9</v>
      </c>
      <c r="J366" t="str">
        <f>_xlfn.XLOOKUP(C366, Stores!$A$2:$A$7, Stores!$D$2:$D$7)</f>
        <v>Sydney West</v>
      </c>
      <c r="K366" s="4">
        <f t="shared" si="10"/>
        <v>117</v>
      </c>
      <c r="L366" s="4">
        <f t="shared" si="11"/>
        <v>90</v>
      </c>
      <c r="M366" s="10">
        <f>IF(Table1[[#This Row],[Revenue]]=0, "", Table1[[#This Row],[Profit]]/Table1[[#This Row],[Revenue]])</f>
        <v>0.76923076923076927</v>
      </c>
      <c r="N366" s="4" t="str">
        <f>IF(Table1[[#This Row],[Margin]]="", "check", IF(Table1[[#This Row],[Margin]]&lt;0.2, "Low", "OK"))</f>
        <v>OK</v>
      </c>
      <c r="O366" s="4" t="str" cm="1">
        <f t="array" ref="O366">_xlfn.IFS(Table1[[#This Row],[Revenue]]=0, "Check", Table1[[#This Row],[Revenue]]&gt;=1000, "Large", Table1[[#This Row],[Revenue]]&gt;=200, "Medium", TRUE, "Small")</f>
        <v>Small</v>
      </c>
      <c r="P366" s="4" t="str">
        <f>IF(AND(Table1[[#This Row],[Margin Flag]]="Low", Table1[[#This Row],[Revenue]]&gt;1000), "Review", "")</f>
        <v/>
      </c>
      <c r="Q366" s="4" t="str">
        <f>IF(OR(Table1[[#This Row],[Qty]]&gt;=5,Table1[[#This Row],[Order Size]] = "Large" ), "Bulk", "")</f>
        <v/>
      </c>
      <c r="R366" s="10">
        <f>_xlfn.XLOOKUP(G366, Lookup!$A$2:$A$7, Lookup!$B$2:$B$7, "")</f>
        <v>0.25</v>
      </c>
      <c r="S366" s="4" t="str">
        <f>IF(Table1[[#This Row],[Margin]]&lt;Table1[[#This Row],[Target Margin]], "Yes", "")</f>
        <v/>
      </c>
    </row>
    <row r="367" spans="1:19">
      <c r="A367" t="s">
        <v>412</v>
      </c>
      <c r="B367" s="2">
        <v>46259</v>
      </c>
      <c r="C367" t="s">
        <v>23</v>
      </c>
      <c r="D367" t="s">
        <v>35</v>
      </c>
      <c r="E367">
        <v>4</v>
      </c>
      <c r="F367" t="str">
        <f>_xlfn.XLOOKUP(D367, Products!$A$2:$A$21, Products!$B$2:$B$21, "Not Found")</f>
        <v>Phone Case</v>
      </c>
      <c r="G367" t="str">
        <f>_xlfn.XLOOKUP(D367, Products!$A$2:$A$21, Products!$C$2:$C$21,"not found")</f>
        <v>Accessories</v>
      </c>
      <c r="H367" s="4">
        <f>_xlfn.XLOOKUP(D367, Products!$A$2:$A$21, Products!$E$2:$E$21, 0)</f>
        <v>39</v>
      </c>
      <c r="I367" s="4">
        <f>_xlfn.XLOOKUP(D367, Products!$A$2:$A$21, Products!$F$2:$F$21,0)</f>
        <v>9</v>
      </c>
      <c r="J367" t="str">
        <f>_xlfn.XLOOKUP(C367, Stores!$A$2:$A$7, Stores!$D$2:$D$7)</f>
        <v>Sydney East</v>
      </c>
      <c r="K367" s="4">
        <f t="shared" si="10"/>
        <v>156</v>
      </c>
      <c r="L367" s="4">
        <f t="shared" si="11"/>
        <v>120</v>
      </c>
      <c r="M367" s="10">
        <f>IF(Table1[[#This Row],[Revenue]]=0, "", Table1[[#This Row],[Profit]]/Table1[[#This Row],[Revenue]])</f>
        <v>0.76923076923076927</v>
      </c>
      <c r="N367" s="4" t="str">
        <f>IF(Table1[[#This Row],[Margin]]="", "check", IF(Table1[[#This Row],[Margin]]&lt;0.2, "Low", "OK"))</f>
        <v>OK</v>
      </c>
      <c r="O367" s="4" t="str" cm="1">
        <f t="array" ref="O367">_xlfn.IFS(Table1[[#This Row],[Revenue]]=0, "Check", Table1[[#This Row],[Revenue]]&gt;=1000, "Large", Table1[[#This Row],[Revenue]]&gt;=200, "Medium", TRUE, "Small")</f>
        <v>Small</v>
      </c>
      <c r="P367" s="4" t="str">
        <f>IF(AND(Table1[[#This Row],[Margin Flag]]="Low", Table1[[#This Row],[Revenue]]&gt;1000), "Review", "")</f>
        <v/>
      </c>
      <c r="Q367" s="4" t="str">
        <f>IF(OR(Table1[[#This Row],[Qty]]&gt;=5,Table1[[#This Row],[Order Size]] = "Large" ), "Bulk", "")</f>
        <v/>
      </c>
      <c r="R367" s="10">
        <f>_xlfn.XLOOKUP(G367, Lookup!$A$2:$A$7, Lookup!$B$2:$B$7, "")</f>
        <v>0.25</v>
      </c>
      <c r="S367" s="4" t="str">
        <f>IF(Table1[[#This Row],[Margin]]&lt;Table1[[#This Row],[Target Margin]], "Yes", "")</f>
        <v/>
      </c>
    </row>
    <row r="368" spans="1:19">
      <c r="A368" t="s">
        <v>413</v>
      </c>
      <c r="B368" s="2">
        <v>46260</v>
      </c>
      <c r="C368" t="s">
        <v>57</v>
      </c>
      <c r="D368" t="s">
        <v>24</v>
      </c>
      <c r="E368">
        <v>1</v>
      </c>
      <c r="F368" t="str">
        <f>_xlfn.XLOOKUP(D368, Products!$A$2:$A$21, Products!$B$2:$B$21, "Not Found")</f>
        <v>Wireless Earbuds</v>
      </c>
      <c r="G368" t="str">
        <f>_xlfn.XLOOKUP(D368, Products!$A$2:$A$21, Products!$C$2:$C$21,"not found")</f>
        <v>Audio</v>
      </c>
      <c r="H368" s="4">
        <f>_xlfn.XLOOKUP(D368, Products!$A$2:$A$21, Products!$E$2:$E$21, 0)</f>
        <v>249</v>
      </c>
      <c r="I368" s="4">
        <f>_xlfn.XLOOKUP(D368, Products!$A$2:$A$21, Products!$F$2:$F$21,0)</f>
        <v>140</v>
      </c>
      <c r="J368" t="str">
        <f>_xlfn.XLOOKUP(C368, Stores!$A$2:$A$7, Stores!$D$2:$D$7)</f>
        <v>Sydney South</v>
      </c>
      <c r="K368" s="4">
        <f t="shared" si="10"/>
        <v>249</v>
      </c>
      <c r="L368" s="4">
        <f t="shared" si="11"/>
        <v>109</v>
      </c>
      <c r="M368" s="10">
        <f>IF(Table1[[#This Row],[Revenue]]=0, "", Table1[[#This Row],[Profit]]/Table1[[#This Row],[Revenue]])</f>
        <v>0.43775100401606426</v>
      </c>
      <c r="N368" s="4" t="str">
        <f>IF(Table1[[#This Row],[Margin]]="", "check", IF(Table1[[#This Row],[Margin]]&lt;0.2, "Low", "OK"))</f>
        <v>OK</v>
      </c>
      <c r="O368" s="4" t="str" cm="1">
        <f t="array" ref="O368">_xlfn.IFS(Table1[[#This Row],[Revenue]]=0, "Check", Table1[[#This Row],[Revenue]]&gt;=1000, "Large", Table1[[#This Row],[Revenue]]&gt;=200, "Medium", TRUE, "Small")</f>
        <v>Medium</v>
      </c>
      <c r="P368" s="4" t="str">
        <f>IF(AND(Table1[[#This Row],[Margin Flag]]="Low", Table1[[#This Row],[Revenue]]&gt;1000), "Review", "")</f>
        <v/>
      </c>
      <c r="Q368" s="4" t="str">
        <f>IF(OR(Table1[[#This Row],[Qty]]&gt;=5,Table1[[#This Row],[Order Size]] = "Large" ), "Bulk", "")</f>
        <v/>
      </c>
      <c r="R368" s="10">
        <f>_xlfn.XLOOKUP(G368, Lookup!$A$2:$A$7, Lookup!$B$2:$B$7, "")</f>
        <v>0.25</v>
      </c>
      <c r="S368" s="4" t="str">
        <f>IF(Table1[[#This Row],[Margin]]&lt;Table1[[#This Row],[Target Margin]], "Yes", "")</f>
        <v/>
      </c>
    </row>
    <row r="369" spans="1:19">
      <c r="A369" t="s">
        <v>414</v>
      </c>
      <c r="B369" s="2">
        <v>46261</v>
      </c>
      <c r="C369" t="s">
        <v>23</v>
      </c>
      <c r="D369" t="s">
        <v>27</v>
      </c>
      <c r="E369">
        <v>1</v>
      </c>
      <c r="F369" t="str">
        <f>_xlfn.XLOOKUP(D369, Products!$A$2:$A$21, Products!$B$2:$B$21, "Not Found")</f>
        <v>Bluetooth Speaker</v>
      </c>
      <c r="G369" t="str">
        <f>_xlfn.XLOOKUP(D369, Products!$A$2:$A$21, Products!$C$2:$C$21,"not found")</f>
        <v>Audio</v>
      </c>
      <c r="H369" s="4">
        <f>_xlfn.XLOOKUP(D369, Products!$A$2:$A$21, Products!$E$2:$E$21, 0)</f>
        <v>179</v>
      </c>
      <c r="I369" s="4">
        <f>_xlfn.XLOOKUP(D369, Products!$A$2:$A$21, Products!$F$2:$F$21,0)</f>
        <v>95</v>
      </c>
      <c r="J369" t="str">
        <f>_xlfn.XLOOKUP(C369, Stores!$A$2:$A$7, Stores!$D$2:$D$7)</f>
        <v>Sydney East</v>
      </c>
      <c r="K369" s="4">
        <f t="shared" si="10"/>
        <v>179</v>
      </c>
      <c r="L369" s="4">
        <f t="shared" si="11"/>
        <v>84</v>
      </c>
      <c r="M369" s="10">
        <f>IF(Table1[[#This Row],[Revenue]]=0, "", Table1[[#This Row],[Profit]]/Table1[[#This Row],[Revenue]])</f>
        <v>0.46927374301675978</v>
      </c>
      <c r="N369" s="4" t="str">
        <f>IF(Table1[[#This Row],[Margin]]="", "check", IF(Table1[[#This Row],[Margin]]&lt;0.2, "Low", "OK"))</f>
        <v>OK</v>
      </c>
      <c r="O369" s="4" t="str" cm="1">
        <f t="array" ref="O369">_xlfn.IFS(Table1[[#This Row],[Revenue]]=0, "Check", Table1[[#This Row],[Revenue]]&gt;=1000, "Large", Table1[[#This Row],[Revenue]]&gt;=200, "Medium", TRUE, "Small")</f>
        <v>Small</v>
      </c>
      <c r="P369" s="4" t="str">
        <f>IF(AND(Table1[[#This Row],[Margin Flag]]="Low", Table1[[#This Row],[Revenue]]&gt;1000), "Review", "")</f>
        <v/>
      </c>
      <c r="Q369" s="4" t="str">
        <f>IF(OR(Table1[[#This Row],[Qty]]&gt;=5,Table1[[#This Row],[Order Size]] = "Large" ), "Bulk", "")</f>
        <v/>
      </c>
      <c r="R369" s="10">
        <f>_xlfn.XLOOKUP(G369, Lookup!$A$2:$A$7, Lookup!$B$2:$B$7, "")</f>
        <v>0.25</v>
      </c>
      <c r="S369" s="4" t="str">
        <f>IF(Table1[[#This Row],[Margin]]&lt;Table1[[#This Row],[Target Margin]], "Yes", "")</f>
        <v/>
      </c>
    </row>
    <row r="370" spans="1:19">
      <c r="A370" t="s">
        <v>415</v>
      </c>
      <c r="B370" s="2">
        <v>46261</v>
      </c>
      <c r="C370" t="s">
        <v>23</v>
      </c>
      <c r="D370" t="s">
        <v>43</v>
      </c>
      <c r="E370">
        <v>4</v>
      </c>
      <c r="F370" t="str">
        <f>_xlfn.XLOOKUP(D370, Products!$A$2:$A$21, Products!$B$2:$B$21, "Not Found")</f>
        <v>Console Controller</v>
      </c>
      <c r="G370" t="str">
        <f>_xlfn.XLOOKUP(D370, Products!$A$2:$A$21, Products!$C$2:$C$21,"not found")</f>
        <v>Gaming</v>
      </c>
      <c r="H370" s="4">
        <f>_xlfn.XLOOKUP(D370, Products!$A$2:$A$21, Products!$E$2:$E$21, 0)</f>
        <v>99</v>
      </c>
      <c r="I370" s="4">
        <f>_xlfn.XLOOKUP(D370, Products!$A$2:$A$21, Products!$F$2:$F$21,0)</f>
        <v>58</v>
      </c>
      <c r="J370" t="str">
        <f>_xlfn.XLOOKUP(C370, Stores!$A$2:$A$7, Stores!$D$2:$D$7)</f>
        <v>Sydney East</v>
      </c>
      <c r="K370" s="4">
        <f t="shared" si="10"/>
        <v>396</v>
      </c>
      <c r="L370" s="4">
        <f t="shared" si="11"/>
        <v>164</v>
      </c>
      <c r="M370" s="10">
        <f>IF(Table1[[#This Row],[Revenue]]=0, "", Table1[[#This Row],[Profit]]/Table1[[#This Row],[Revenue]])</f>
        <v>0.41414141414141414</v>
      </c>
      <c r="N370" s="4" t="str">
        <f>IF(Table1[[#This Row],[Margin]]="", "check", IF(Table1[[#This Row],[Margin]]&lt;0.2, "Low", "OK"))</f>
        <v>OK</v>
      </c>
      <c r="O370" s="4" t="str" cm="1">
        <f t="array" ref="O370">_xlfn.IFS(Table1[[#This Row],[Revenue]]=0, "Check", Table1[[#This Row],[Revenue]]&gt;=1000, "Large", Table1[[#This Row],[Revenue]]&gt;=200, "Medium", TRUE, "Small")</f>
        <v>Medium</v>
      </c>
      <c r="P370" s="4" t="str">
        <f>IF(AND(Table1[[#This Row],[Margin Flag]]="Low", Table1[[#This Row],[Revenue]]&gt;1000), "Review", "")</f>
        <v/>
      </c>
      <c r="Q370" s="4" t="str">
        <f>IF(OR(Table1[[#This Row],[Qty]]&gt;=5,Table1[[#This Row],[Order Size]] = "Large" ), "Bulk", "")</f>
        <v/>
      </c>
      <c r="R370" s="10">
        <f>_xlfn.XLOOKUP(G370, Lookup!$A$2:$A$7, Lookup!$B$2:$B$7, "")</f>
        <v>0.08</v>
      </c>
      <c r="S370" s="4" t="str">
        <f>IF(Table1[[#This Row],[Margin]]&lt;Table1[[#This Row],[Target Margin]], "Yes", "")</f>
        <v/>
      </c>
    </row>
    <row r="371" spans="1:19">
      <c r="A371" t="s">
        <v>416</v>
      </c>
      <c r="B371" s="2">
        <v>46261</v>
      </c>
      <c r="C371" t="s">
        <v>57</v>
      </c>
      <c r="D371" t="s">
        <v>21</v>
      </c>
      <c r="E371">
        <v>1</v>
      </c>
      <c r="F371" t="str">
        <f>_xlfn.XLOOKUP(D371, Products!$A$2:$A$21, Products!$B$2:$B$21, "Not Found")</f>
        <v>Gaming Mouse</v>
      </c>
      <c r="G371" t="str">
        <f>_xlfn.XLOOKUP(D371, Products!$A$2:$A$21, Products!$C$2:$C$21,"not found")</f>
        <v>Accessories</v>
      </c>
      <c r="H371" s="4">
        <f>_xlfn.XLOOKUP(D371, Products!$A$2:$A$21, Products!$E$2:$E$21, 0)</f>
        <v>89</v>
      </c>
      <c r="I371" s="4">
        <f>_xlfn.XLOOKUP(D371, Products!$A$2:$A$21, Products!$F$2:$F$21,0)</f>
        <v>41</v>
      </c>
      <c r="J371" t="str">
        <f>_xlfn.XLOOKUP(C371, Stores!$A$2:$A$7, Stores!$D$2:$D$7)</f>
        <v>Sydney South</v>
      </c>
      <c r="K371" s="4">
        <f t="shared" si="10"/>
        <v>89</v>
      </c>
      <c r="L371" s="4">
        <f t="shared" si="11"/>
        <v>48</v>
      </c>
      <c r="M371" s="10">
        <f>IF(Table1[[#This Row],[Revenue]]=0, "", Table1[[#This Row],[Profit]]/Table1[[#This Row],[Revenue]])</f>
        <v>0.5393258426966292</v>
      </c>
      <c r="N371" s="4" t="str">
        <f>IF(Table1[[#This Row],[Margin]]="", "check", IF(Table1[[#This Row],[Margin]]&lt;0.2, "Low", "OK"))</f>
        <v>OK</v>
      </c>
      <c r="O371" s="4" t="str" cm="1">
        <f t="array" ref="O371">_xlfn.IFS(Table1[[#This Row],[Revenue]]=0, "Check", Table1[[#This Row],[Revenue]]&gt;=1000, "Large", Table1[[#This Row],[Revenue]]&gt;=200, "Medium", TRUE, "Small")</f>
        <v>Small</v>
      </c>
      <c r="P371" s="4" t="str">
        <f>IF(AND(Table1[[#This Row],[Margin Flag]]="Low", Table1[[#This Row],[Revenue]]&gt;1000), "Review", "")</f>
        <v/>
      </c>
      <c r="Q371" s="4" t="str">
        <f>IF(OR(Table1[[#This Row],[Qty]]&gt;=5,Table1[[#This Row],[Order Size]] = "Large" ), "Bulk", "")</f>
        <v/>
      </c>
      <c r="R371" s="10">
        <f>_xlfn.XLOOKUP(G371, Lookup!$A$2:$A$7, Lookup!$B$2:$B$7, "")</f>
        <v>0.25</v>
      </c>
      <c r="S371" s="4" t="str">
        <f>IF(Table1[[#This Row],[Margin]]&lt;Table1[[#This Row],[Target Margin]], "Yes", "")</f>
        <v/>
      </c>
    </row>
    <row r="372" spans="1:19">
      <c r="A372" t="s">
        <v>417</v>
      </c>
      <c r="B372" s="2">
        <v>46261</v>
      </c>
      <c r="C372" t="s">
        <v>20</v>
      </c>
      <c r="D372" t="s">
        <v>54</v>
      </c>
      <c r="E372">
        <v>1</v>
      </c>
      <c r="F372" t="str">
        <f>_xlfn.XLOOKUP(D372, Products!$A$2:$A$21, Products!$B$2:$B$21, "Not Found")</f>
        <v>Tablet 11in</v>
      </c>
      <c r="G372" t="str">
        <f>_xlfn.XLOOKUP(D372, Products!$A$2:$A$21, Products!$C$2:$C$21,"not found")</f>
        <v>Computers</v>
      </c>
      <c r="H372" s="4">
        <f>_xlfn.XLOOKUP(D372, Products!$A$2:$A$21, Products!$E$2:$E$21, 0)</f>
        <v>899</v>
      </c>
      <c r="I372" s="4">
        <f>_xlfn.XLOOKUP(D372, Products!$A$2:$A$21, Products!$F$2:$F$21,0)</f>
        <v>690</v>
      </c>
      <c r="J372" t="str">
        <f>_xlfn.XLOOKUP(C372, Stores!$A$2:$A$7, Stores!$D$2:$D$7)</f>
        <v>Sydney West</v>
      </c>
      <c r="K372" s="4">
        <f t="shared" si="10"/>
        <v>899</v>
      </c>
      <c r="L372" s="4">
        <f t="shared" si="11"/>
        <v>209</v>
      </c>
      <c r="M372" s="10">
        <f>IF(Table1[[#This Row],[Revenue]]=0, "", Table1[[#This Row],[Profit]]/Table1[[#This Row],[Revenue]])</f>
        <v>0.2324805339265851</v>
      </c>
      <c r="N372" s="4" t="str">
        <f>IF(Table1[[#This Row],[Margin]]="", "check", IF(Table1[[#This Row],[Margin]]&lt;0.2, "Low", "OK"))</f>
        <v>OK</v>
      </c>
      <c r="O372" s="4" t="str" cm="1">
        <f t="array" ref="O372">_xlfn.IFS(Table1[[#This Row],[Revenue]]=0, "Check", Table1[[#This Row],[Revenue]]&gt;=1000, "Large", Table1[[#This Row],[Revenue]]&gt;=200, "Medium", TRUE, "Small")</f>
        <v>Medium</v>
      </c>
      <c r="P372" s="4" t="str">
        <f>IF(AND(Table1[[#This Row],[Margin Flag]]="Low", Table1[[#This Row],[Revenue]]&gt;1000), "Review", "")</f>
        <v/>
      </c>
      <c r="Q372" s="4" t="str">
        <f>IF(OR(Table1[[#This Row],[Qty]]&gt;=5,Table1[[#This Row],[Order Size]] = "Large" ), "Bulk", "")</f>
        <v/>
      </c>
      <c r="R372" s="10">
        <f>_xlfn.XLOOKUP(G372, Lookup!$A$2:$A$7, Lookup!$B$2:$B$7, "")</f>
        <v>0.25</v>
      </c>
      <c r="S372" s="4" t="str">
        <f>IF(Table1[[#This Row],[Margin]]&lt;Table1[[#This Row],[Target Margin]], "Yes", "")</f>
        <v>Yes</v>
      </c>
    </row>
    <row r="373" spans="1:19">
      <c r="A373" t="s">
        <v>418</v>
      </c>
      <c r="B373" s="2">
        <v>46261</v>
      </c>
      <c r="C373" t="s">
        <v>26</v>
      </c>
      <c r="D373" t="s">
        <v>69</v>
      </c>
      <c r="E373">
        <v>3</v>
      </c>
      <c r="F373" t="str">
        <f>_xlfn.XLOOKUP(D373, Products!$A$2:$A$21, Products!$B$2:$B$21, "Not Found")</f>
        <v>27in Monitor</v>
      </c>
      <c r="G373" t="str">
        <f>_xlfn.XLOOKUP(D373, Products!$A$2:$A$21, Products!$C$2:$C$21,"not found")</f>
        <v>Computers</v>
      </c>
      <c r="H373" s="4">
        <f>_xlfn.XLOOKUP(D373, Products!$A$2:$A$21, Products!$E$2:$E$21, 0)</f>
        <v>399</v>
      </c>
      <c r="I373" s="4">
        <f>_xlfn.XLOOKUP(D373, Products!$A$2:$A$21, Products!$F$2:$F$21,0)</f>
        <v>290</v>
      </c>
      <c r="J373" t="str">
        <f>_xlfn.XLOOKUP(C373, Stores!$A$2:$A$7, Stores!$D$2:$D$7)</f>
        <v>Sydney North</v>
      </c>
      <c r="K373" s="4">
        <f t="shared" si="10"/>
        <v>1197</v>
      </c>
      <c r="L373" s="4">
        <f t="shared" si="11"/>
        <v>327</v>
      </c>
      <c r="M373" s="10">
        <f>IF(Table1[[#This Row],[Revenue]]=0, "", Table1[[#This Row],[Profit]]/Table1[[#This Row],[Revenue]])</f>
        <v>0.27318295739348369</v>
      </c>
      <c r="N373" s="4" t="str">
        <f>IF(Table1[[#This Row],[Margin]]="", "check", IF(Table1[[#This Row],[Margin]]&lt;0.2, "Low", "OK"))</f>
        <v>OK</v>
      </c>
      <c r="O373" s="4" t="str" cm="1">
        <f t="array" ref="O373">_xlfn.IFS(Table1[[#This Row],[Revenue]]=0, "Check", Table1[[#This Row],[Revenue]]&gt;=1000, "Large", Table1[[#This Row],[Revenue]]&gt;=200, "Medium", TRUE, "Small")</f>
        <v>Large</v>
      </c>
      <c r="P373" s="4" t="str">
        <f>IF(AND(Table1[[#This Row],[Margin Flag]]="Low", Table1[[#This Row],[Revenue]]&gt;1000), "Review", "")</f>
        <v/>
      </c>
      <c r="Q373" s="4" t="str">
        <f>IF(OR(Table1[[#This Row],[Qty]]&gt;=5,Table1[[#This Row],[Order Size]] = "Large" ), "Bulk", "")</f>
        <v>Bulk</v>
      </c>
      <c r="R373" s="10">
        <f>_xlfn.XLOOKUP(G373, Lookup!$A$2:$A$7, Lookup!$B$2:$B$7, "")</f>
        <v>0.25</v>
      </c>
      <c r="S373" s="4" t="str">
        <f>IF(Table1[[#This Row],[Margin]]&lt;Table1[[#This Row],[Target Margin]], "Yes", "")</f>
        <v/>
      </c>
    </row>
    <row r="374" spans="1:19">
      <c r="A374" t="s">
        <v>419</v>
      </c>
      <c r="B374" s="2">
        <v>46261</v>
      </c>
      <c r="C374" t="s">
        <v>23</v>
      </c>
      <c r="D374" t="s">
        <v>54</v>
      </c>
      <c r="E374">
        <v>1</v>
      </c>
      <c r="F374" t="str">
        <f>_xlfn.XLOOKUP(D374, Products!$A$2:$A$21, Products!$B$2:$B$21, "Not Found")</f>
        <v>Tablet 11in</v>
      </c>
      <c r="G374" t="str">
        <f>_xlfn.XLOOKUP(D374, Products!$A$2:$A$21, Products!$C$2:$C$21,"not found")</f>
        <v>Computers</v>
      </c>
      <c r="H374" s="4">
        <f>_xlfn.XLOOKUP(D374, Products!$A$2:$A$21, Products!$E$2:$E$21, 0)</f>
        <v>899</v>
      </c>
      <c r="I374" s="4">
        <f>_xlfn.XLOOKUP(D374, Products!$A$2:$A$21, Products!$F$2:$F$21,0)</f>
        <v>690</v>
      </c>
      <c r="J374" t="str">
        <f>_xlfn.XLOOKUP(C374, Stores!$A$2:$A$7, Stores!$D$2:$D$7)</f>
        <v>Sydney East</v>
      </c>
      <c r="K374" s="4">
        <f t="shared" si="10"/>
        <v>899</v>
      </c>
      <c r="L374" s="4">
        <f t="shared" si="11"/>
        <v>209</v>
      </c>
      <c r="M374" s="10">
        <f>IF(Table1[[#This Row],[Revenue]]=0, "", Table1[[#This Row],[Profit]]/Table1[[#This Row],[Revenue]])</f>
        <v>0.2324805339265851</v>
      </c>
      <c r="N374" s="4" t="str">
        <f>IF(Table1[[#This Row],[Margin]]="", "check", IF(Table1[[#This Row],[Margin]]&lt;0.2, "Low", "OK"))</f>
        <v>OK</v>
      </c>
      <c r="O374" s="4" t="str" cm="1">
        <f t="array" ref="O374">_xlfn.IFS(Table1[[#This Row],[Revenue]]=0, "Check", Table1[[#This Row],[Revenue]]&gt;=1000, "Large", Table1[[#This Row],[Revenue]]&gt;=200, "Medium", TRUE, "Small")</f>
        <v>Medium</v>
      </c>
      <c r="P374" s="4" t="str">
        <f>IF(AND(Table1[[#This Row],[Margin Flag]]="Low", Table1[[#This Row],[Revenue]]&gt;1000), "Review", "")</f>
        <v/>
      </c>
      <c r="Q374" s="4" t="str">
        <f>IF(OR(Table1[[#This Row],[Qty]]&gt;=5,Table1[[#This Row],[Order Size]] = "Large" ), "Bulk", "")</f>
        <v/>
      </c>
      <c r="R374" s="10">
        <f>_xlfn.XLOOKUP(G374, Lookup!$A$2:$A$7, Lookup!$B$2:$B$7, "")</f>
        <v>0.25</v>
      </c>
      <c r="S374" s="4" t="str">
        <f>IF(Table1[[#This Row],[Margin]]&lt;Table1[[#This Row],[Target Margin]], "Yes", "")</f>
        <v>Yes</v>
      </c>
    </row>
    <row r="375" spans="1:19">
      <c r="A375" t="s">
        <v>420</v>
      </c>
      <c r="B375" s="2">
        <v>46261</v>
      </c>
      <c r="C375" t="s">
        <v>57</v>
      </c>
      <c r="D375" t="s">
        <v>43</v>
      </c>
      <c r="E375">
        <v>1</v>
      </c>
      <c r="F375" t="str">
        <f>_xlfn.XLOOKUP(D375, Products!$A$2:$A$21, Products!$B$2:$B$21, "Not Found")</f>
        <v>Console Controller</v>
      </c>
      <c r="G375" t="str">
        <f>_xlfn.XLOOKUP(D375, Products!$A$2:$A$21, Products!$C$2:$C$21,"not found")</f>
        <v>Gaming</v>
      </c>
      <c r="H375" s="4">
        <f>_xlfn.XLOOKUP(D375, Products!$A$2:$A$21, Products!$E$2:$E$21, 0)</f>
        <v>99</v>
      </c>
      <c r="I375" s="4">
        <f>_xlfn.XLOOKUP(D375, Products!$A$2:$A$21, Products!$F$2:$F$21,0)</f>
        <v>58</v>
      </c>
      <c r="J375" t="str">
        <f>_xlfn.XLOOKUP(C375, Stores!$A$2:$A$7, Stores!$D$2:$D$7)</f>
        <v>Sydney South</v>
      </c>
      <c r="K375" s="4">
        <f t="shared" si="10"/>
        <v>99</v>
      </c>
      <c r="L375" s="4">
        <f t="shared" si="11"/>
        <v>41</v>
      </c>
      <c r="M375" s="10">
        <f>IF(Table1[[#This Row],[Revenue]]=0, "", Table1[[#This Row],[Profit]]/Table1[[#This Row],[Revenue]])</f>
        <v>0.41414141414141414</v>
      </c>
      <c r="N375" s="4" t="str">
        <f>IF(Table1[[#This Row],[Margin]]="", "check", IF(Table1[[#This Row],[Margin]]&lt;0.2, "Low", "OK"))</f>
        <v>OK</v>
      </c>
      <c r="O375" s="4" t="str" cm="1">
        <f t="array" ref="O375">_xlfn.IFS(Table1[[#This Row],[Revenue]]=0, "Check", Table1[[#This Row],[Revenue]]&gt;=1000, "Large", Table1[[#This Row],[Revenue]]&gt;=200, "Medium", TRUE, "Small")</f>
        <v>Small</v>
      </c>
      <c r="P375" s="4" t="str">
        <f>IF(AND(Table1[[#This Row],[Margin Flag]]="Low", Table1[[#This Row],[Revenue]]&gt;1000), "Review", "")</f>
        <v/>
      </c>
      <c r="Q375" s="4" t="str">
        <f>IF(OR(Table1[[#This Row],[Qty]]&gt;=5,Table1[[#This Row],[Order Size]] = "Large" ), "Bulk", "")</f>
        <v/>
      </c>
      <c r="R375" s="10">
        <f>_xlfn.XLOOKUP(G375, Lookup!$A$2:$A$7, Lookup!$B$2:$B$7, "")</f>
        <v>0.08</v>
      </c>
      <c r="S375" s="4" t="str">
        <f>IF(Table1[[#This Row],[Margin]]&lt;Table1[[#This Row],[Target Margin]], "Yes", "")</f>
        <v/>
      </c>
    </row>
    <row r="376" spans="1:19">
      <c r="A376" t="s">
        <v>421</v>
      </c>
      <c r="B376" s="2">
        <v>46261</v>
      </c>
      <c r="C376" t="s">
        <v>23</v>
      </c>
      <c r="D376" t="s">
        <v>38</v>
      </c>
      <c r="E376">
        <v>1</v>
      </c>
      <c r="F376" t="str">
        <f>_xlfn.XLOOKUP(D376, Products!$A$2:$A$21, Products!$B$2:$B$21, "Not Found")</f>
        <v>USB-C Charger</v>
      </c>
      <c r="G376" t="str">
        <f>_xlfn.XLOOKUP(D376, Products!$A$2:$A$21, Products!$C$2:$C$21,"not found")</f>
        <v>Accessories</v>
      </c>
      <c r="H376" s="4">
        <f>_xlfn.XLOOKUP(D376, Products!$A$2:$A$21, Products!$E$2:$E$21, 0)</f>
        <v>49</v>
      </c>
      <c r="I376" s="4">
        <f>_xlfn.XLOOKUP(D376, Products!$A$2:$A$21, Products!$F$2:$F$21,0)</f>
        <v>14</v>
      </c>
      <c r="J376" t="str">
        <f>_xlfn.XLOOKUP(C376, Stores!$A$2:$A$7, Stores!$D$2:$D$7)</f>
        <v>Sydney East</v>
      </c>
      <c r="K376" s="4">
        <f t="shared" si="10"/>
        <v>49</v>
      </c>
      <c r="L376" s="4">
        <f t="shared" si="11"/>
        <v>35</v>
      </c>
      <c r="M376" s="10">
        <f>IF(Table1[[#This Row],[Revenue]]=0, "", Table1[[#This Row],[Profit]]/Table1[[#This Row],[Revenue]])</f>
        <v>0.7142857142857143</v>
      </c>
      <c r="N376" s="4" t="str">
        <f>IF(Table1[[#This Row],[Margin]]="", "check", IF(Table1[[#This Row],[Margin]]&lt;0.2, "Low", "OK"))</f>
        <v>OK</v>
      </c>
      <c r="O376" s="4" t="str" cm="1">
        <f t="array" ref="O376">_xlfn.IFS(Table1[[#This Row],[Revenue]]=0, "Check", Table1[[#This Row],[Revenue]]&gt;=1000, "Large", Table1[[#This Row],[Revenue]]&gt;=200, "Medium", TRUE, "Small")</f>
        <v>Small</v>
      </c>
      <c r="P376" s="4" t="str">
        <f>IF(AND(Table1[[#This Row],[Margin Flag]]="Low", Table1[[#This Row],[Revenue]]&gt;1000), "Review", "")</f>
        <v/>
      </c>
      <c r="Q376" s="4" t="str">
        <f>IF(OR(Table1[[#This Row],[Qty]]&gt;=5,Table1[[#This Row],[Order Size]] = "Large" ), "Bulk", "")</f>
        <v/>
      </c>
      <c r="R376" s="10">
        <f>_xlfn.XLOOKUP(G376, Lookup!$A$2:$A$7, Lookup!$B$2:$B$7, "")</f>
        <v>0.25</v>
      </c>
      <c r="S376" s="4" t="str">
        <f>IF(Table1[[#This Row],[Margin]]&lt;Table1[[#This Row],[Target Margin]], "Yes", "")</f>
        <v/>
      </c>
    </row>
    <row r="377" spans="1:19">
      <c r="A377" t="s">
        <v>422</v>
      </c>
      <c r="B377" s="2">
        <v>46261</v>
      </c>
      <c r="C377" t="s">
        <v>23</v>
      </c>
      <c r="D377" t="s">
        <v>27</v>
      </c>
      <c r="E377">
        <v>2</v>
      </c>
      <c r="F377" t="str">
        <f>_xlfn.XLOOKUP(D377, Products!$A$2:$A$21, Products!$B$2:$B$21, "Not Found")</f>
        <v>Bluetooth Speaker</v>
      </c>
      <c r="G377" t="str">
        <f>_xlfn.XLOOKUP(D377, Products!$A$2:$A$21, Products!$C$2:$C$21,"not found")</f>
        <v>Audio</v>
      </c>
      <c r="H377" s="4">
        <f>_xlfn.XLOOKUP(D377, Products!$A$2:$A$21, Products!$E$2:$E$21, 0)</f>
        <v>179</v>
      </c>
      <c r="I377" s="4">
        <f>_xlfn.XLOOKUP(D377, Products!$A$2:$A$21, Products!$F$2:$F$21,0)</f>
        <v>95</v>
      </c>
      <c r="J377" t="str">
        <f>_xlfn.XLOOKUP(C377, Stores!$A$2:$A$7, Stores!$D$2:$D$7)</f>
        <v>Sydney East</v>
      </c>
      <c r="K377" s="4">
        <f t="shared" si="10"/>
        <v>358</v>
      </c>
      <c r="L377" s="4">
        <f t="shared" si="11"/>
        <v>168</v>
      </c>
      <c r="M377" s="10">
        <f>IF(Table1[[#This Row],[Revenue]]=0, "", Table1[[#This Row],[Profit]]/Table1[[#This Row],[Revenue]])</f>
        <v>0.46927374301675978</v>
      </c>
      <c r="N377" s="4" t="str">
        <f>IF(Table1[[#This Row],[Margin]]="", "check", IF(Table1[[#This Row],[Margin]]&lt;0.2, "Low", "OK"))</f>
        <v>OK</v>
      </c>
      <c r="O377" s="4" t="str" cm="1">
        <f t="array" ref="O377">_xlfn.IFS(Table1[[#This Row],[Revenue]]=0, "Check", Table1[[#This Row],[Revenue]]&gt;=1000, "Large", Table1[[#This Row],[Revenue]]&gt;=200, "Medium", TRUE, "Small")</f>
        <v>Medium</v>
      </c>
      <c r="P377" s="4" t="str">
        <f>IF(AND(Table1[[#This Row],[Margin Flag]]="Low", Table1[[#This Row],[Revenue]]&gt;1000), "Review", "")</f>
        <v/>
      </c>
      <c r="Q377" s="4" t="str">
        <f>IF(OR(Table1[[#This Row],[Qty]]&gt;=5,Table1[[#This Row],[Order Size]] = "Large" ), "Bulk", "")</f>
        <v/>
      </c>
      <c r="R377" s="10">
        <f>_xlfn.XLOOKUP(G377, Lookup!$A$2:$A$7, Lookup!$B$2:$B$7, "")</f>
        <v>0.25</v>
      </c>
      <c r="S377" s="4" t="str">
        <f>IF(Table1[[#This Row],[Margin]]&lt;Table1[[#This Row],[Target Margin]], "Yes", "")</f>
        <v/>
      </c>
    </row>
    <row r="378" spans="1:19">
      <c r="A378" t="s">
        <v>423</v>
      </c>
      <c r="B378" s="2">
        <v>46262</v>
      </c>
      <c r="C378" t="s">
        <v>32</v>
      </c>
      <c r="D378" t="s">
        <v>24</v>
      </c>
      <c r="E378">
        <v>1</v>
      </c>
      <c r="F378" t="str">
        <f>_xlfn.XLOOKUP(D378, Products!$A$2:$A$21, Products!$B$2:$B$21, "Not Found")</f>
        <v>Wireless Earbuds</v>
      </c>
      <c r="G378" t="str">
        <f>_xlfn.XLOOKUP(D378, Products!$A$2:$A$21, Products!$C$2:$C$21,"not found")</f>
        <v>Audio</v>
      </c>
      <c r="H378" s="4">
        <f>_xlfn.XLOOKUP(D378, Products!$A$2:$A$21, Products!$E$2:$E$21, 0)</f>
        <v>249</v>
      </c>
      <c r="I378" s="4">
        <f>_xlfn.XLOOKUP(D378, Products!$A$2:$A$21, Products!$F$2:$F$21,0)</f>
        <v>140</v>
      </c>
      <c r="J378" t="str">
        <f>_xlfn.XLOOKUP(C378, Stores!$A$2:$A$7, Stores!$D$2:$D$7)</f>
        <v>Sydney South</v>
      </c>
      <c r="K378" s="4">
        <f t="shared" si="10"/>
        <v>249</v>
      </c>
      <c r="L378" s="4">
        <f t="shared" si="11"/>
        <v>109</v>
      </c>
      <c r="M378" s="10">
        <f>IF(Table1[[#This Row],[Revenue]]=0, "", Table1[[#This Row],[Profit]]/Table1[[#This Row],[Revenue]])</f>
        <v>0.43775100401606426</v>
      </c>
      <c r="N378" s="4" t="str">
        <f>IF(Table1[[#This Row],[Margin]]="", "check", IF(Table1[[#This Row],[Margin]]&lt;0.2, "Low", "OK"))</f>
        <v>OK</v>
      </c>
      <c r="O378" s="4" t="str" cm="1">
        <f t="array" ref="O378">_xlfn.IFS(Table1[[#This Row],[Revenue]]=0, "Check", Table1[[#This Row],[Revenue]]&gt;=1000, "Large", Table1[[#This Row],[Revenue]]&gt;=200, "Medium", TRUE, "Small")</f>
        <v>Medium</v>
      </c>
      <c r="P378" s="4" t="str">
        <f>IF(AND(Table1[[#This Row],[Margin Flag]]="Low", Table1[[#This Row],[Revenue]]&gt;1000), "Review", "")</f>
        <v/>
      </c>
      <c r="Q378" s="4" t="str">
        <f>IF(OR(Table1[[#This Row],[Qty]]&gt;=5,Table1[[#This Row],[Order Size]] = "Large" ), "Bulk", "")</f>
        <v/>
      </c>
      <c r="R378" s="10">
        <f>_xlfn.XLOOKUP(G378, Lookup!$A$2:$A$7, Lookup!$B$2:$B$7, "")</f>
        <v>0.25</v>
      </c>
      <c r="S378" s="4" t="str">
        <f>IF(Table1[[#This Row],[Margin]]&lt;Table1[[#This Row],[Target Margin]], "Yes", "")</f>
        <v/>
      </c>
    </row>
    <row r="379" spans="1:19">
      <c r="A379" t="s">
        <v>424</v>
      </c>
      <c r="B379" s="2">
        <v>46262</v>
      </c>
      <c r="C379" t="s">
        <v>29</v>
      </c>
      <c r="D379" t="s">
        <v>171</v>
      </c>
      <c r="E379">
        <v>1</v>
      </c>
      <c r="F379" t="str">
        <f>_xlfn.XLOOKUP(D379, Products!$A$2:$A$21, Products!$B$2:$B$21, "Not Found")</f>
        <v>Smartwatch</v>
      </c>
      <c r="G379" t="str">
        <f>_xlfn.XLOOKUP(D379, Products!$A$2:$A$21, Products!$C$2:$C$21,"not found")</f>
        <v>Phones</v>
      </c>
      <c r="H379" s="4">
        <f>_xlfn.XLOOKUP(D379, Products!$A$2:$A$21, Products!$E$2:$E$21, 0)</f>
        <v>649</v>
      </c>
      <c r="I379" s="4">
        <f>_xlfn.XLOOKUP(D379, Products!$A$2:$A$21, Products!$F$2:$F$21,0)</f>
        <v>480</v>
      </c>
      <c r="J379" t="str">
        <f>_xlfn.XLOOKUP(C379, Stores!$A$2:$A$7, Stores!$D$2:$D$7)</f>
        <v>Sydney West</v>
      </c>
      <c r="K379" s="4">
        <f t="shared" si="10"/>
        <v>649</v>
      </c>
      <c r="L379" s="4">
        <f t="shared" si="11"/>
        <v>169</v>
      </c>
      <c r="M379" s="10">
        <f>IF(Table1[[#This Row],[Revenue]]=0, "", Table1[[#This Row],[Profit]]/Table1[[#This Row],[Revenue]])</f>
        <v>0.26040061633281975</v>
      </c>
      <c r="N379" s="4" t="str">
        <f>IF(Table1[[#This Row],[Margin]]="", "check", IF(Table1[[#This Row],[Margin]]&lt;0.2, "Low", "OK"))</f>
        <v>OK</v>
      </c>
      <c r="O379" s="4" t="str" cm="1">
        <f t="array" ref="O379">_xlfn.IFS(Table1[[#This Row],[Revenue]]=0, "Check", Table1[[#This Row],[Revenue]]&gt;=1000, "Large", Table1[[#This Row],[Revenue]]&gt;=200, "Medium", TRUE, "Small")</f>
        <v>Medium</v>
      </c>
      <c r="P379" s="4" t="str">
        <f>IF(AND(Table1[[#This Row],[Margin Flag]]="Low", Table1[[#This Row],[Revenue]]&gt;1000), "Review", "")</f>
        <v/>
      </c>
      <c r="Q379" s="4" t="str">
        <f>IF(OR(Table1[[#This Row],[Qty]]&gt;=5,Table1[[#This Row],[Order Size]] = "Large" ), "Bulk", "")</f>
        <v/>
      </c>
      <c r="R379" s="10">
        <f>_xlfn.XLOOKUP(G379, Lookup!$A$2:$A$7, Lookup!$B$2:$B$7, "")</f>
        <v>0.25</v>
      </c>
      <c r="S379" s="4" t="str">
        <f>IF(Table1[[#This Row],[Margin]]&lt;Table1[[#This Row],[Target Margin]], "Yes", "")</f>
        <v/>
      </c>
    </row>
    <row r="380" spans="1:19">
      <c r="A380" t="s">
        <v>425</v>
      </c>
      <c r="B380" s="2">
        <v>46262</v>
      </c>
      <c r="C380" t="s">
        <v>23</v>
      </c>
      <c r="D380" t="s">
        <v>106</v>
      </c>
      <c r="E380">
        <v>1</v>
      </c>
      <c r="F380" t="str">
        <f>_xlfn.XLOOKUP(D380, Products!$A$2:$A$21, Products!$B$2:$B$21, "Not Found")</f>
        <v>Laptop 14in</v>
      </c>
      <c r="G380" t="str">
        <f>_xlfn.XLOOKUP(D380, Products!$A$2:$A$21, Products!$C$2:$C$21,"not found")</f>
        <v>Computers</v>
      </c>
      <c r="H380" s="4">
        <f>_xlfn.XLOOKUP(D380, Products!$A$2:$A$21, Products!$E$2:$E$21, 0)</f>
        <v>1199</v>
      </c>
      <c r="I380" s="4">
        <f>_xlfn.XLOOKUP(D380, Products!$A$2:$A$21, Products!$F$2:$F$21,0)</f>
        <v>930</v>
      </c>
      <c r="J380" t="str">
        <f>_xlfn.XLOOKUP(C380, Stores!$A$2:$A$7, Stores!$D$2:$D$7)</f>
        <v>Sydney East</v>
      </c>
      <c r="K380" s="4">
        <f t="shared" si="10"/>
        <v>1199</v>
      </c>
      <c r="L380" s="4">
        <f t="shared" si="11"/>
        <v>269</v>
      </c>
      <c r="M380" s="10">
        <f>IF(Table1[[#This Row],[Revenue]]=0, "", Table1[[#This Row],[Profit]]/Table1[[#This Row],[Revenue]])</f>
        <v>0.22435362802335279</v>
      </c>
      <c r="N380" s="4" t="str">
        <f>IF(Table1[[#This Row],[Margin]]="", "check", IF(Table1[[#This Row],[Margin]]&lt;0.2, "Low", "OK"))</f>
        <v>OK</v>
      </c>
      <c r="O380" s="4" t="str" cm="1">
        <f t="array" ref="O380">_xlfn.IFS(Table1[[#This Row],[Revenue]]=0, "Check", Table1[[#This Row],[Revenue]]&gt;=1000, "Large", Table1[[#This Row],[Revenue]]&gt;=200, "Medium", TRUE, "Small")</f>
        <v>Large</v>
      </c>
      <c r="P380" s="4" t="str">
        <f>IF(AND(Table1[[#This Row],[Margin Flag]]="Low", Table1[[#This Row],[Revenue]]&gt;1000), "Review", "")</f>
        <v/>
      </c>
      <c r="Q380" s="4" t="str">
        <f>IF(OR(Table1[[#This Row],[Qty]]&gt;=5,Table1[[#This Row],[Order Size]] = "Large" ), "Bulk", "")</f>
        <v>Bulk</v>
      </c>
      <c r="R380" s="10">
        <f>_xlfn.XLOOKUP(G380, Lookup!$A$2:$A$7, Lookup!$B$2:$B$7, "")</f>
        <v>0.25</v>
      </c>
      <c r="S380" s="4" t="str">
        <f>IF(Table1[[#This Row],[Margin]]&lt;Table1[[#This Row],[Target Margin]], "Yes", "")</f>
        <v>Yes</v>
      </c>
    </row>
    <row r="381" spans="1:19">
      <c r="A381" t="s">
        <v>426</v>
      </c>
      <c r="B381" s="2">
        <v>46262</v>
      </c>
      <c r="C381" t="s">
        <v>57</v>
      </c>
      <c r="D381" t="s">
        <v>58</v>
      </c>
      <c r="E381">
        <v>1</v>
      </c>
      <c r="F381" t="str">
        <f>_xlfn.XLOOKUP(D381, Products!$A$2:$A$21, Products!$B$2:$B$21, "Not Found")</f>
        <v>Mech Keyboard</v>
      </c>
      <c r="G381" t="str">
        <f>_xlfn.XLOOKUP(D381, Products!$A$2:$A$21, Products!$C$2:$C$21,"not found")</f>
        <v>Accessories</v>
      </c>
      <c r="H381" s="4">
        <f>_xlfn.XLOOKUP(D381, Products!$A$2:$A$21, Products!$E$2:$E$21, 0)</f>
        <v>149</v>
      </c>
      <c r="I381" s="4">
        <f>_xlfn.XLOOKUP(D381, Products!$A$2:$A$21, Products!$F$2:$F$21,0)</f>
        <v>72</v>
      </c>
      <c r="J381" t="str">
        <f>_xlfn.XLOOKUP(C381, Stores!$A$2:$A$7, Stores!$D$2:$D$7)</f>
        <v>Sydney South</v>
      </c>
      <c r="K381" s="4">
        <f t="shared" si="10"/>
        <v>149</v>
      </c>
      <c r="L381" s="4">
        <f t="shared" si="11"/>
        <v>77</v>
      </c>
      <c r="M381" s="10">
        <f>IF(Table1[[#This Row],[Revenue]]=0, "", Table1[[#This Row],[Profit]]/Table1[[#This Row],[Revenue]])</f>
        <v>0.51677852348993292</v>
      </c>
      <c r="N381" s="4" t="str">
        <f>IF(Table1[[#This Row],[Margin]]="", "check", IF(Table1[[#This Row],[Margin]]&lt;0.2, "Low", "OK"))</f>
        <v>OK</v>
      </c>
      <c r="O381" s="4" t="str" cm="1">
        <f t="array" ref="O381">_xlfn.IFS(Table1[[#This Row],[Revenue]]=0, "Check", Table1[[#This Row],[Revenue]]&gt;=1000, "Large", Table1[[#This Row],[Revenue]]&gt;=200, "Medium", TRUE, "Small")</f>
        <v>Small</v>
      </c>
      <c r="P381" s="4" t="str">
        <f>IF(AND(Table1[[#This Row],[Margin Flag]]="Low", Table1[[#This Row],[Revenue]]&gt;1000), "Review", "")</f>
        <v/>
      </c>
      <c r="Q381" s="4" t="str">
        <f>IF(OR(Table1[[#This Row],[Qty]]&gt;=5,Table1[[#This Row],[Order Size]] = "Large" ), "Bulk", "")</f>
        <v/>
      </c>
      <c r="R381" s="10">
        <f>_xlfn.XLOOKUP(G381, Lookup!$A$2:$A$7, Lookup!$B$2:$B$7, "")</f>
        <v>0.25</v>
      </c>
      <c r="S381" s="4" t="str">
        <f>IF(Table1[[#This Row],[Margin]]&lt;Table1[[#This Row],[Target Margin]], "Yes", "")</f>
        <v/>
      </c>
    </row>
    <row r="382" spans="1:19">
      <c r="A382" t="s">
        <v>427</v>
      </c>
      <c r="B382" s="2">
        <v>46262</v>
      </c>
      <c r="C382" t="s">
        <v>20</v>
      </c>
      <c r="D382" t="s">
        <v>80</v>
      </c>
      <c r="E382">
        <v>2</v>
      </c>
      <c r="F382" t="str">
        <f>_xlfn.XLOOKUP(D382, Products!$A$2:$A$21, Products!$B$2:$B$21, "Not Found")</f>
        <v>Over-Ear Headphones</v>
      </c>
      <c r="G382" t="str">
        <f>_xlfn.XLOOKUP(D382, Products!$A$2:$A$21, Products!$C$2:$C$21,"not found")</f>
        <v>Audio</v>
      </c>
      <c r="H382" s="4">
        <f>_xlfn.XLOOKUP(D382, Products!$A$2:$A$21, Products!$E$2:$E$21, 0)</f>
        <v>499</v>
      </c>
      <c r="I382" s="4">
        <f>_xlfn.XLOOKUP(D382, Products!$A$2:$A$21, Products!$F$2:$F$21,0)</f>
        <v>310</v>
      </c>
      <c r="J382" t="str">
        <f>_xlfn.XLOOKUP(C382, Stores!$A$2:$A$7, Stores!$D$2:$D$7)</f>
        <v>Sydney West</v>
      </c>
      <c r="K382" s="4">
        <f t="shared" si="10"/>
        <v>998</v>
      </c>
      <c r="L382" s="4">
        <f t="shared" si="11"/>
        <v>378</v>
      </c>
      <c r="M382" s="10">
        <f>IF(Table1[[#This Row],[Revenue]]=0, "", Table1[[#This Row],[Profit]]/Table1[[#This Row],[Revenue]])</f>
        <v>0.37875751503006011</v>
      </c>
      <c r="N382" s="4" t="str">
        <f>IF(Table1[[#This Row],[Margin]]="", "check", IF(Table1[[#This Row],[Margin]]&lt;0.2, "Low", "OK"))</f>
        <v>OK</v>
      </c>
      <c r="O382" s="4" t="str" cm="1">
        <f t="array" ref="O382">_xlfn.IFS(Table1[[#This Row],[Revenue]]=0, "Check", Table1[[#This Row],[Revenue]]&gt;=1000, "Large", Table1[[#This Row],[Revenue]]&gt;=200, "Medium", TRUE, "Small")</f>
        <v>Medium</v>
      </c>
      <c r="P382" s="4" t="str">
        <f>IF(AND(Table1[[#This Row],[Margin Flag]]="Low", Table1[[#This Row],[Revenue]]&gt;1000), "Review", "")</f>
        <v/>
      </c>
      <c r="Q382" s="4" t="str">
        <f>IF(OR(Table1[[#This Row],[Qty]]&gt;=5,Table1[[#This Row],[Order Size]] = "Large" ), "Bulk", "")</f>
        <v/>
      </c>
      <c r="R382" s="10">
        <f>_xlfn.XLOOKUP(G382, Lookup!$A$2:$A$7, Lookup!$B$2:$B$7, "")</f>
        <v>0.25</v>
      </c>
      <c r="S382" s="4" t="str">
        <f>IF(Table1[[#This Row],[Margin]]&lt;Table1[[#This Row],[Target Margin]], "Yes", "")</f>
        <v/>
      </c>
    </row>
    <row r="383" spans="1:19">
      <c r="A383" t="s">
        <v>428</v>
      </c>
      <c r="B383" s="2">
        <v>46262</v>
      </c>
      <c r="C383" t="s">
        <v>20</v>
      </c>
      <c r="D383" t="s">
        <v>50</v>
      </c>
      <c r="E383">
        <v>2</v>
      </c>
      <c r="F383" t="str">
        <f>_xlfn.XLOOKUP(D383, Products!$A$2:$A$21, Products!$B$2:$B$21, "Not Found")</f>
        <v>Smartphone 128GB</v>
      </c>
      <c r="G383" t="str">
        <f>_xlfn.XLOOKUP(D383, Products!$A$2:$A$21, Products!$C$2:$C$21,"not found")</f>
        <v>Phones</v>
      </c>
      <c r="H383" s="4">
        <f>_xlfn.XLOOKUP(D383, Products!$A$2:$A$21, Products!$E$2:$E$21, 0)</f>
        <v>1099</v>
      </c>
      <c r="I383" s="4">
        <f>_xlfn.XLOOKUP(D383, Products!$A$2:$A$21, Products!$F$2:$F$21,0)</f>
        <v>860</v>
      </c>
      <c r="J383" t="str">
        <f>_xlfn.XLOOKUP(C383, Stores!$A$2:$A$7, Stores!$D$2:$D$7)</f>
        <v>Sydney West</v>
      </c>
      <c r="K383" s="4">
        <f t="shared" si="10"/>
        <v>2198</v>
      </c>
      <c r="L383" s="4">
        <f t="shared" si="11"/>
        <v>478</v>
      </c>
      <c r="M383" s="10">
        <f>IF(Table1[[#This Row],[Revenue]]=0, "", Table1[[#This Row],[Profit]]/Table1[[#This Row],[Revenue]])</f>
        <v>0.21747042766151045</v>
      </c>
      <c r="N383" s="4" t="str">
        <f>IF(Table1[[#This Row],[Margin]]="", "check", IF(Table1[[#This Row],[Margin]]&lt;0.2, "Low", "OK"))</f>
        <v>OK</v>
      </c>
      <c r="O383" s="4" t="str" cm="1">
        <f t="array" ref="O383">_xlfn.IFS(Table1[[#This Row],[Revenue]]=0, "Check", Table1[[#This Row],[Revenue]]&gt;=1000, "Large", Table1[[#This Row],[Revenue]]&gt;=200, "Medium", TRUE, "Small")</f>
        <v>Large</v>
      </c>
      <c r="P383" s="4" t="str">
        <f>IF(AND(Table1[[#This Row],[Margin Flag]]="Low", Table1[[#This Row],[Revenue]]&gt;1000), "Review", "")</f>
        <v/>
      </c>
      <c r="Q383" s="4" t="str">
        <f>IF(OR(Table1[[#This Row],[Qty]]&gt;=5,Table1[[#This Row],[Order Size]] = "Large" ), "Bulk", "")</f>
        <v>Bulk</v>
      </c>
      <c r="R383" s="10">
        <f>_xlfn.XLOOKUP(G383, Lookup!$A$2:$A$7, Lookup!$B$2:$B$7, "")</f>
        <v>0.25</v>
      </c>
      <c r="S383" s="4" t="str">
        <f>IF(Table1[[#This Row],[Margin]]&lt;Table1[[#This Row],[Target Margin]], "Yes", "")</f>
        <v>Yes</v>
      </c>
    </row>
    <row r="384" spans="1:19">
      <c r="A384" t="s">
        <v>429</v>
      </c>
      <c r="B384" s="2">
        <v>46262</v>
      </c>
      <c r="C384" t="s">
        <v>20</v>
      </c>
      <c r="D384" t="s">
        <v>60</v>
      </c>
      <c r="E384">
        <v>1</v>
      </c>
      <c r="F384" t="str">
        <f>_xlfn.XLOOKUP(D384, Products!$A$2:$A$21, Products!$B$2:$B$21, "Not Found")</f>
        <v>55in TV</v>
      </c>
      <c r="G384" t="str">
        <f>_xlfn.XLOOKUP(D384, Products!$A$2:$A$21, Products!$C$2:$C$21,"not found")</f>
        <v>TV</v>
      </c>
      <c r="H384" s="4">
        <f>_xlfn.XLOOKUP(D384, Products!$A$2:$A$21, Products!$E$2:$E$21, 0)</f>
        <v>1299</v>
      </c>
      <c r="I384" s="4">
        <f>_xlfn.XLOOKUP(D384, Products!$A$2:$A$21, Products!$F$2:$F$21,0)</f>
        <v>980</v>
      </c>
      <c r="J384" t="str">
        <f>_xlfn.XLOOKUP(C384, Stores!$A$2:$A$7, Stores!$D$2:$D$7)</f>
        <v>Sydney West</v>
      </c>
      <c r="K384" s="4">
        <f t="shared" si="10"/>
        <v>1299</v>
      </c>
      <c r="L384" s="4">
        <f t="shared" si="11"/>
        <v>319</v>
      </c>
      <c r="M384" s="10">
        <f>IF(Table1[[#This Row],[Revenue]]=0, "", Table1[[#This Row],[Profit]]/Table1[[#This Row],[Revenue]])</f>
        <v>0.2455735180908391</v>
      </c>
      <c r="N384" s="4" t="str">
        <f>IF(Table1[[#This Row],[Margin]]="", "check", IF(Table1[[#This Row],[Margin]]&lt;0.2, "Low", "OK"))</f>
        <v>OK</v>
      </c>
      <c r="O384" s="4" t="str" cm="1">
        <f t="array" ref="O384">_xlfn.IFS(Table1[[#This Row],[Revenue]]=0, "Check", Table1[[#This Row],[Revenue]]&gt;=1000, "Large", Table1[[#This Row],[Revenue]]&gt;=200, "Medium", TRUE, "Small")</f>
        <v>Large</v>
      </c>
      <c r="P384" s="4" t="str">
        <f>IF(AND(Table1[[#This Row],[Margin Flag]]="Low", Table1[[#This Row],[Revenue]]&gt;1000), "Review", "")</f>
        <v/>
      </c>
      <c r="Q384" s="4" t="str">
        <f>IF(OR(Table1[[#This Row],[Qty]]&gt;=5,Table1[[#This Row],[Order Size]] = "Large" ), "Bulk", "")</f>
        <v>Bulk</v>
      </c>
      <c r="R384" s="10">
        <f>_xlfn.XLOOKUP(G384, Lookup!$A$2:$A$7, Lookup!$B$2:$B$7, "")</f>
        <v>0.25</v>
      </c>
      <c r="S384" s="4" t="str">
        <f>IF(Table1[[#This Row],[Margin]]&lt;Table1[[#This Row],[Target Margin]], "Yes", "")</f>
        <v>Yes</v>
      </c>
    </row>
    <row r="385" spans="1:19">
      <c r="A385" t="s">
        <v>430</v>
      </c>
      <c r="B385" s="2">
        <v>46262</v>
      </c>
      <c r="C385" t="s">
        <v>57</v>
      </c>
      <c r="D385" t="s">
        <v>35</v>
      </c>
      <c r="E385">
        <v>2</v>
      </c>
      <c r="F385" t="str">
        <f>_xlfn.XLOOKUP(D385, Products!$A$2:$A$21, Products!$B$2:$B$21, "Not Found")</f>
        <v>Phone Case</v>
      </c>
      <c r="G385" t="str">
        <f>_xlfn.XLOOKUP(D385, Products!$A$2:$A$21, Products!$C$2:$C$21,"not found")</f>
        <v>Accessories</v>
      </c>
      <c r="H385" s="4">
        <f>_xlfn.XLOOKUP(D385, Products!$A$2:$A$21, Products!$E$2:$E$21, 0)</f>
        <v>39</v>
      </c>
      <c r="I385" s="4">
        <f>_xlfn.XLOOKUP(D385, Products!$A$2:$A$21, Products!$F$2:$F$21,0)</f>
        <v>9</v>
      </c>
      <c r="J385" t="str">
        <f>_xlfn.XLOOKUP(C385, Stores!$A$2:$A$7, Stores!$D$2:$D$7)</f>
        <v>Sydney South</v>
      </c>
      <c r="K385" s="4">
        <f t="shared" si="10"/>
        <v>78</v>
      </c>
      <c r="L385" s="4">
        <f t="shared" si="11"/>
        <v>60</v>
      </c>
      <c r="M385" s="10">
        <f>IF(Table1[[#This Row],[Revenue]]=0, "", Table1[[#This Row],[Profit]]/Table1[[#This Row],[Revenue]])</f>
        <v>0.76923076923076927</v>
      </c>
      <c r="N385" s="4" t="str">
        <f>IF(Table1[[#This Row],[Margin]]="", "check", IF(Table1[[#This Row],[Margin]]&lt;0.2, "Low", "OK"))</f>
        <v>OK</v>
      </c>
      <c r="O385" s="4" t="str" cm="1">
        <f t="array" ref="O385">_xlfn.IFS(Table1[[#This Row],[Revenue]]=0, "Check", Table1[[#This Row],[Revenue]]&gt;=1000, "Large", Table1[[#This Row],[Revenue]]&gt;=200, "Medium", TRUE, "Small")</f>
        <v>Small</v>
      </c>
      <c r="P385" s="4" t="str">
        <f>IF(AND(Table1[[#This Row],[Margin Flag]]="Low", Table1[[#This Row],[Revenue]]&gt;1000), "Review", "")</f>
        <v/>
      </c>
      <c r="Q385" s="4" t="str">
        <f>IF(OR(Table1[[#This Row],[Qty]]&gt;=5,Table1[[#This Row],[Order Size]] = "Large" ), "Bulk", "")</f>
        <v/>
      </c>
      <c r="R385" s="10">
        <f>_xlfn.XLOOKUP(G385, Lookup!$A$2:$A$7, Lookup!$B$2:$B$7, "")</f>
        <v>0.25</v>
      </c>
      <c r="S385" s="4" t="str">
        <f>IF(Table1[[#This Row],[Margin]]&lt;Table1[[#This Row],[Target Margin]], "Yes", "")</f>
        <v/>
      </c>
    </row>
    <row r="386" spans="1:19">
      <c r="A386" t="s">
        <v>431</v>
      </c>
      <c r="B386" s="2">
        <v>46263</v>
      </c>
      <c r="C386" t="s">
        <v>32</v>
      </c>
      <c r="D386" t="s">
        <v>27</v>
      </c>
      <c r="E386">
        <v>1</v>
      </c>
      <c r="F386" t="str">
        <f>_xlfn.XLOOKUP(D386, Products!$A$2:$A$21, Products!$B$2:$B$21, "Not Found")</f>
        <v>Bluetooth Speaker</v>
      </c>
      <c r="G386" t="str">
        <f>_xlfn.XLOOKUP(D386, Products!$A$2:$A$21, Products!$C$2:$C$21,"not found")</f>
        <v>Audio</v>
      </c>
      <c r="H386" s="4">
        <f>_xlfn.XLOOKUP(D386, Products!$A$2:$A$21, Products!$E$2:$E$21, 0)</f>
        <v>179</v>
      </c>
      <c r="I386" s="4">
        <f>_xlfn.XLOOKUP(D386, Products!$A$2:$A$21, Products!$F$2:$F$21,0)</f>
        <v>95</v>
      </c>
      <c r="J386" t="str">
        <f>_xlfn.XLOOKUP(C386, Stores!$A$2:$A$7, Stores!$D$2:$D$7)</f>
        <v>Sydney South</v>
      </c>
      <c r="K386" s="4">
        <f t="shared" si="10"/>
        <v>179</v>
      </c>
      <c r="L386" s="4">
        <f t="shared" si="11"/>
        <v>84</v>
      </c>
      <c r="M386" s="10">
        <f>IF(Table1[[#This Row],[Revenue]]=0, "", Table1[[#This Row],[Profit]]/Table1[[#This Row],[Revenue]])</f>
        <v>0.46927374301675978</v>
      </c>
      <c r="N386" s="4" t="str">
        <f>IF(Table1[[#This Row],[Margin]]="", "check", IF(Table1[[#This Row],[Margin]]&lt;0.2, "Low", "OK"))</f>
        <v>OK</v>
      </c>
      <c r="O386" s="4" t="str" cm="1">
        <f t="array" ref="O386">_xlfn.IFS(Table1[[#This Row],[Revenue]]=0, "Check", Table1[[#This Row],[Revenue]]&gt;=1000, "Large", Table1[[#This Row],[Revenue]]&gt;=200, "Medium", TRUE, "Small")</f>
        <v>Small</v>
      </c>
      <c r="P386" s="4" t="str">
        <f>IF(AND(Table1[[#This Row],[Margin Flag]]="Low", Table1[[#This Row],[Revenue]]&gt;1000), "Review", "")</f>
        <v/>
      </c>
      <c r="Q386" s="4" t="str">
        <f>IF(OR(Table1[[#This Row],[Qty]]&gt;=5,Table1[[#This Row],[Order Size]] = "Large" ), "Bulk", "")</f>
        <v/>
      </c>
      <c r="R386" s="10">
        <f>_xlfn.XLOOKUP(G386, Lookup!$A$2:$A$7, Lookup!$B$2:$B$7, "")</f>
        <v>0.25</v>
      </c>
      <c r="S386" s="4" t="str">
        <f>IF(Table1[[#This Row],[Margin]]&lt;Table1[[#This Row],[Target Margin]], "Yes", "")</f>
        <v/>
      </c>
    </row>
    <row r="387" spans="1:19">
      <c r="A387" t="s">
        <v>432</v>
      </c>
      <c r="B387" s="2">
        <v>46263</v>
      </c>
      <c r="C387" t="s">
        <v>20</v>
      </c>
      <c r="D387" t="s">
        <v>30</v>
      </c>
      <c r="E387">
        <v>3</v>
      </c>
      <c r="F387" t="str">
        <f>_xlfn.XLOOKUP(D387, Products!$A$2:$A$21, Products!$B$2:$B$21, "Not Found")</f>
        <v>Video Game</v>
      </c>
      <c r="G387" t="str">
        <f>_xlfn.XLOOKUP(D387, Products!$A$2:$A$21, Products!$C$2:$C$21,"not found")</f>
        <v>Gaming</v>
      </c>
      <c r="H387" s="4">
        <f>_xlfn.XLOOKUP(D387, Products!$A$2:$A$21, Products!$E$2:$E$21, 0)</f>
        <v>79</v>
      </c>
      <c r="I387" s="4">
        <f>_xlfn.XLOOKUP(D387, Products!$A$2:$A$21, Products!$F$2:$F$21,0)</f>
        <v>52</v>
      </c>
      <c r="J387" t="str">
        <f>_xlfn.XLOOKUP(C387, Stores!$A$2:$A$7, Stores!$D$2:$D$7)</f>
        <v>Sydney West</v>
      </c>
      <c r="K387" s="4">
        <f t="shared" ref="K387:K450" si="12" xml:space="preserve"> E387*H387</f>
        <v>237</v>
      </c>
      <c r="L387" s="4">
        <f t="shared" ref="L387:L450" si="13" xml:space="preserve"> K387 - (E387 * I387)</f>
        <v>81</v>
      </c>
      <c r="M387" s="10">
        <f>IF(Table1[[#This Row],[Revenue]]=0, "", Table1[[#This Row],[Profit]]/Table1[[#This Row],[Revenue]])</f>
        <v>0.34177215189873417</v>
      </c>
      <c r="N387" s="4" t="str">
        <f>IF(Table1[[#This Row],[Margin]]="", "check", IF(Table1[[#This Row],[Margin]]&lt;0.2, "Low", "OK"))</f>
        <v>OK</v>
      </c>
      <c r="O387" s="4" t="str" cm="1">
        <f t="array" ref="O387">_xlfn.IFS(Table1[[#This Row],[Revenue]]=0, "Check", Table1[[#This Row],[Revenue]]&gt;=1000, "Large", Table1[[#This Row],[Revenue]]&gt;=200, "Medium", TRUE, "Small")</f>
        <v>Medium</v>
      </c>
      <c r="P387" s="4" t="str">
        <f>IF(AND(Table1[[#This Row],[Margin Flag]]="Low", Table1[[#This Row],[Revenue]]&gt;1000), "Review", "")</f>
        <v/>
      </c>
      <c r="Q387" s="4" t="str">
        <f>IF(OR(Table1[[#This Row],[Qty]]&gt;=5,Table1[[#This Row],[Order Size]] = "Large" ), "Bulk", "")</f>
        <v/>
      </c>
      <c r="R387" s="10">
        <f>_xlfn.XLOOKUP(G387, Lookup!$A$2:$A$7, Lookup!$B$2:$B$7, "")</f>
        <v>0.08</v>
      </c>
      <c r="S387" s="4" t="str">
        <f>IF(Table1[[#This Row],[Margin]]&lt;Table1[[#This Row],[Target Margin]], "Yes", "")</f>
        <v/>
      </c>
    </row>
    <row r="388" spans="1:19">
      <c r="A388" t="s">
        <v>433</v>
      </c>
      <c r="B388" s="2">
        <v>46263</v>
      </c>
      <c r="C388" t="s">
        <v>20</v>
      </c>
      <c r="D388" t="s">
        <v>27</v>
      </c>
      <c r="E388">
        <v>1</v>
      </c>
      <c r="F388" t="str">
        <f>_xlfn.XLOOKUP(D388, Products!$A$2:$A$21, Products!$B$2:$B$21, "Not Found")</f>
        <v>Bluetooth Speaker</v>
      </c>
      <c r="G388" t="str">
        <f>_xlfn.XLOOKUP(D388, Products!$A$2:$A$21, Products!$C$2:$C$21,"not found")</f>
        <v>Audio</v>
      </c>
      <c r="H388" s="4">
        <f>_xlfn.XLOOKUP(D388, Products!$A$2:$A$21, Products!$E$2:$E$21, 0)</f>
        <v>179</v>
      </c>
      <c r="I388" s="4">
        <f>_xlfn.XLOOKUP(D388, Products!$A$2:$A$21, Products!$F$2:$F$21,0)</f>
        <v>95</v>
      </c>
      <c r="J388" t="str">
        <f>_xlfn.XLOOKUP(C388, Stores!$A$2:$A$7, Stores!$D$2:$D$7)</f>
        <v>Sydney West</v>
      </c>
      <c r="K388" s="4">
        <f t="shared" si="12"/>
        <v>179</v>
      </c>
      <c r="L388" s="4">
        <f t="shared" si="13"/>
        <v>84</v>
      </c>
      <c r="M388" s="10">
        <f>IF(Table1[[#This Row],[Revenue]]=0, "", Table1[[#This Row],[Profit]]/Table1[[#This Row],[Revenue]])</f>
        <v>0.46927374301675978</v>
      </c>
      <c r="N388" s="4" t="str">
        <f>IF(Table1[[#This Row],[Margin]]="", "check", IF(Table1[[#This Row],[Margin]]&lt;0.2, "Low", "OK"))</f>
        <v>OK</v>
      </c>
      <c r="O388" s="4" t="str" cm="1">
        <f t="array" ref="O388">_xlfn.IFS(Table1[[#This Row],[Revenue]]=0, "Check", Table1[[#This Row],[Revenue]]&gt;=1000, "Large", Table1[[#This Row],[Revenue]]&gt;=200, "Medium", TRUE, "Small")</f>
        <v>Small</v>
      </c>
      <c r="P388" s="4" t="str">
        <f>IF(AND(Table1[[#This Row],[Margin Flag]]="Low", Table1[[#This Row],[Revenue]]&gt;1000), "Review", "")</f>
        <v/>
      </c>
      <c r="Q388" s="4" t="str">
        <f>IF(OR(Table1[[#This Row],[Qty]]&gt;=5,Table1[[#This Row],[Order Size]] = "Large" ), "Bulk", "")</f>
        <v/>
      </c>
      <c r="R388" s="10">
        <f>_xlfn.XLOOKUP(G388, Lookup!$A$2:$A$7, Lookup!$B$2:$B$7, "")</f>
        <v>0.25</v>
      </c>
      <c r="S388" s="4" t="str">
        <f>IF(Table1[[#This Row],[Margin]]&lt;Table1[[#This Row],[Target Margin]], "Yes", "")</f>
        <v/>
      </c>
    </row>
    <row r="389" spans="1:19">
      <c r="A389" t="s">
        <v>434</v>
      </c>
      <c r="B389" s="2">
        <v>46263</v>
      </c>
      <c r="C389" t="s">
        <v>32</v>
      </c>
      <c r="D389" t="s">
        <v>38</v>
      </c>
      <c r="E389">
        <v>1</v>
      </c>
      <c r="F389" t="str">
        <f>_xlfn.XLOOKUP(D389, Products!$A$2:$A$21, Products!$B$2:$B$21, "Not Found")</f>
        <v>USB-C Charger</v>
      </c>
      <c r="G389" t="str">
        <f>_xlfn.XLOOKUP(D389, Products!$A$2:$A$21, Products!$C$2:$C$21,"not found")</f>
        <v>Accessories</v>
      </c>
      <c r="H389" s="4">
        <f>_xlfn.XLOOKUP(D389, Products!$A$2:$A$21, Products!$E$2:$E$21, 0)</f>
        <v>49</v>
      </c>
      <c r="I389" s="4">
        <f>_xlfn.XLOOKUP(D389, Products!$A$2:$A$21, Products!$F$2:$F$21,0)</f>
        <v>14</v>
      </c>
      <c r="J389" t="str">
        <f>_xlfn.XLOOKUP(C389, Stores!$A$2:$A$7, Stores!$D$2:$D$7)</f>
        <v>Sydney South</v>
      </c>
      <c r="K389" s="4">
        <f t="shared" si="12"/>
        <v>49</v>
      </c>
      <c r="L389" s="4">
        <f t="shared" si="13"/>
        <v>35</v>
      </c>
      <c r="M389" s="10">
        <f>IF(Table1[[#This Row],[Revenue]]=0, "", Table1[[#This Row],[Profit]]/Table1[[#This Row],[Revenue]])</f>
        <v>0.7142857142857143</v>
      </c>
      <c r="N389" s="4" t="str">
        <f>IF(Table1[[#This Row],[Margin]]="", "check", IF(Table1[[#This Row],[Margin]]&lt;0.2, "Low", "OK"))</f>
        <v>OK</v>
      </c>
      <c r="O389" s="4" t="str" cm="1">
        <f t="array" ref="O389">_xlfn.IFS(Table1[[#This Row],[Revenue]]=0, "Check", Table1[[#This Row],[Revenue]]&gt;=1000, "Large", Table1[[#This Row],[Revenue]]&gt;=200, "Medium", TRUE, "Small")</f>
        <v>Small</v>
      </c>
      <c r="P389" s="4" t="str">
        <f>IF(AND(Table1[[#This Row],[Margin Flag]]="Low", Table1[[#This Row],[Revenue]]&gt;1000), "Review", "")</f>
        <v/>
      </c>
      <c r="Q389" s="4" t="str">
        <f>IF(OR(Table1[[#This Row],[Qty]]&gt;=5,Table1[[#This Row],[Order Size]] = "Large" ), "Bulk", "")</f>
        <v/>
      </c>
      <c r="R389" s="10">
        <f>_xlfn.XLOOKUP(G389, Lookup!$A$2:$A$7, Lookup!$B$2:$B$7, "")</f>
        <v>0.25</v>
      </c>
      <c r="S389" s="4" t="str">
        <f>IF(Table1[[#This Row],[Margin]]&lt;Table1[[#This Row],[Target Margin]], "Yes", "")</f>
        <v/>
      </c>
    </row>
    <row r="390" spans="1:19">
      <c r="A390" t="s">
        <v>435</v>
      </c>
      <c r="B390" s="2">
        <v>46264</v>
      </c>
      <c r="C390" t="s">
        <v>29</v>
      </c>
      <c r="D390" t="s">
        <v>38</v>
      </c>
      <c r="E390">
        <v>3</v>
      </c>
      <c r="F390" t="str">
        <f>_xlfn.XLOOKUP(D390, Products!$A$2:$A$21, Products!$B$2:$B$21, "Not Found")</f>
        <v>USB-C Charger</v>
      </c>
      <c r="G390" t="str">
        <f>_xlfn.XLOOKUP(D390, Products!$A$2:$A$21, Products!$C$2:$C$21,"not found")</f>
        <v>Accessories</v>
      </c>
      <c r="H390" s="4">
        <f>_xlfn.XLOOKUP(D390, Products!$A$2:$A$21, Products!$E$2:$E$21, 0)</f>
        <v>49</v>
      </c>
      <c r="I390" s="4">
        <f>_xlfn.XLOOKUP(D390, Products!$A$2:$A$21, Products!$F$2:$F$21,0)</f>
        <v>14</v>
      </c>
      <c r="J390" t="str">
        <f>_xlfn.XLOOKUP(C390, Stores!$A$2:$A$7, Stores!$D$2:$D$7)</f>
        <v>Sydney West</v>
      </c>
      <c r="K390" s="4">
        <f t="shared" si="12"/>
        <v>147</v>
      </c>
      <c r="L390" s="4">
        <f t="shared" si="13"/>
        <v>105</v>
      </c>
      <c r="M390" s="10">
        <f>IF(Table1[[#This Row],[Revenue]]=0, "", Table1[[#This Row],[Profit]]/Table1[[#This Row],[Revenue]])</f>
        <v>0.7142857142857143</v>
      </c>
      <c r="N390" s="4" t="str">
        <f>IF(Table1[[#This Row],[Margin]]="", "check", IF(Table1[[#This Row],[Margin]]&lt;0.2, "Low", "OK"))</f>
        <v>OK</v>
      </c>
      <c r="O390" s="4" t="str" cm="1">
        <f t="array" ref="O390">_xlfn.IFS(Table1[[#This Row],[Revenue]]=0, "Check", Table1[[#This Row],[Revenue]]&gt;=1000, "Large", Table1[[#This Row],[Revenue]]&gt;=200, "Medium", TRUE, "Small")</f>
        <v>Small</v>
      </c>
      <c r="P390" s="4" t="str">
        <f>IF(AND(Table1[[#This Row],[Margin Flag]]="Low", Table1[[#This Row],[Revenue]]&gt;1000), "Review", "")</f>
        <v/>
      </c>
      <c r="Q390" s="4" t="str">
        <f>IF(OR(Table1[[#This Row],[Qty]]&gt;=5,Table1[[#This Row],[Order Size]] = "Large" ), "Bulk", "")</f>
        <v/>
      </c>
      <c r="R390" s="10">
        <f>_xlfn.XLOOKUP(G390, Lookup!$A$2:$A$7, Lookup!$B$2:$B$7, "")</f>
        <v>0.25</v>
      </c>
      <c r="S390" s="4" t="str">
        <f>IF(Table1[[#This Row],[Margin]]&lt;Table1[[#This Row],[Target Margin]], "Yes", "")</f>
        <v/>
      </c>
    </row>
    <row r="391" spans="1:19">
      <c r="A391" t="s">
        <v>436</v>
      </c>
      <c r="B391" s="2">
        <v>46264</v>
      </c>
      <c r="C391" t="s">
        <v>20</v>
      </c>
      <c r="D391" t="s">
        <v>21</v>
      </c>
      <c r="E391">
        <v>1</v>
      </c>
      <c r="F391" t="str">
        <f>_xlfn.XLOOKUP(D391, Products!$A$2:$A$21, Products!$B$2:$B$21, "Not Found")</f>
        <v>Gaming Mouse</v>
      </c>
      <c r="G391" t="str">
        <f>_xlfn.XLOOKUP(D391, Products!$A$2:$A$21, Products!$C$2:$C$21,"not found")</f>
        <v>Accessories</v>
      </c>
      <c r="H391" s="4">
        <f>_xlfn.XLOOKUP(D391, Products!$A$2:$A$21, Products!$E$2:$E$21, 0)</f>
        <v>89</v>
      </c>
      <c r="I391" s="4">
        <f>_xlfn.XLOOKUP(D391, Products!$A$2:$A$21, Products!$F$2:$F$21,0)</f>
        <v>41</v>
      </c>
      <c r="J391" t="str">
        <f>_xlfn.XLOOKUP(C391, Stores!$A$2:$A$7, Stores!$D$2:$D$7)</f>
        <v>Sydney West</v>
      </c>
      <c r="K391" s="4">
        <f t="shared" si="12"/>
        <v>89</v>
      </c>
      <c r="L391" s="4">
        <f t="shared" si="13"/>
        <v>48</v>
      </c>
      <c r="M391" s="10">
        <f>IF(Table1[[#This Row],[Revenue]]=0, "", Table1[[#This Row],[Profit]]/Table1[[#This Row],[Revenue]])</f>
        <v>0.5393258426966292</v>
      </c>
      <c r="N391" s="4" t="str">
        <f>IF(Table1[[#This Row],[Margin]]="", "check", IF(Table1[[#This Row],[Margin]]&lt;0.2, "Low", "OK"))</f>
        <v>OK</v>
      </c>
      <c r="O391" s="4" t="str" cm="1">
        <f t="array" ref="O391">_xlfn.IFS(Table1[[#This Row],[Revenue]]=0, "Check", Table1[[#This Row],[Revenue]]&gt;=1000, "Large", Table1[[#This Row],[Revenue]]&gt;=200, "Medium", TRUE, "Small")</f>
        <v>Small</v>
      </c>
      <c r="P391" s="4" t="str">
        <f>IF(AND(Table1[[#This Row],[Margin Flag]]="Low", Table1[[#This Row],[Revenue]]&gt;1000), "Review", "")</f>
        <v/>
      </c>
      <c r="Q391" s="4" t="str">
        <f>IF(OR(Table1[[#This Row],[Qty]]&gt;=5,Table1[[#This Row],[Order Size]] = "Large" ), "Bulk", "")</f>
        <v/>
      </c>
      <c r="R391" s="10">
        <f>_xlfn.XLOOKUP(G391, Lookup!$A$2:$A$7, Lookup!$B$2:$B$7, "")</f>
        <v>0.25</v>
      </c>
      <c r="S391" s="4" t="str">
        <f>IF(Table1[[#This Row],[Margin]]&lt;Table1[[#This Row],[Target Margin]], "Yes", "")</f>
        <v/>
      </c>
    </row>
    <row r="392" spans="1:19">
      <c r="A392" t="s">
        <v>437</v>
      </c>
      <c r="B392" s="2">
        <v>46264</v>
      </c>
      <c r="C392" t="s">
        <v>23</v>
      </c>
      <c r="D392" t="s">
        <v>21</v>
      </c>
      <c r="E392">
        <v>1</v>
      </c>
      <c r="F392" t="str">
        <f>_xlfn.XLOOKUP(D392, Products!$A$2:$A$21, Products!$B$2:$B$21, "Not Found")</f>
        <v>Gaming Mouse</v>
      </c>
      <c r="G392" t="str">
        <f>_xlfn.XLOOKUP(D392, Products!$A$2:$A$21, Products!$C$2:$C$21,"not found")</f>
        <v>Accessories</v>
      </c>
      <c r="H392" s="4">
        <f>_xlfn.XLOOKUP(D392, Products!$A$2:$A$21, Products!$E$2:$E$21, 0)</f>
        <v>89</v>
      </c>
      <c r="I392" s="4">
        <f>_xlfn.XLOOKUP(D392, Products!$A$2:$A$21, Products!$F$2:$F$21,0)</f>
        <v>41</v>
      </c>
      <c r="J392" t="str">
        <f>_xlfn.XLOOKUP(C392, Stores!$A$2:$A$7, Stores!$D$2:$D$7)</f>
        <v>Sydney East</v>
      </c>
      <c r="K392" s="4">
        <f t="shared" si="12"/>
        <v>89</v>
      </c>
      <c r="L392" s="4">
        <f t="shared" si="13"/>
        <v>48</v>
      </c>
      <c r="M392" s="10">
        <f>IF(Table1[[#This Row],[Revenue]]=0, "", Table1[[#This Row],[Profit]]/Table1[[#This Row],[Revenue]])</f>
        <v>0.5393258426966292</v>
      </c>
      <c r="N392" s="4" t="str">
        <f>IF(Table1[[#This Row],[Margin]]="", "check", IF(Table1[[#This Row],[Margin]]&lt;0.2, "Low", "OK"))</f>
        <v>OK</v>
      </c>
      <c r="O392" s="4" t="str" cm="1">
        <f t="array" ref="O392">_xlfn.IFS(Table1[[#This Row],[Revenue]]=0, "Check", Table1[[#This Row],[Revenue]]&gt;=1000, "Large", Table1[[#This Row],[Revenue]]&gt;=200, "Medium", TRUE, "Small")</f>
        <v>Small</v>
      </c>
      <c r="P392" s="4" t="str">
        <f>IF(AND(Table1[[#This Row],[Margin Flag]]="Low", Table1[[#This Row],[Revenue]]&gt;1000), "Review", "")</f>
        <v/>
      </c>
      <c r="Q392" s="4" t="str">
        <f>IF(OR(Table1[[#This Row],[Qty]]&gt;=5,Table1[[#This Row],[Order Size]] = "Large" ), "Bulk", "")</f>
        <v/>
      </c>
      <c r="R392" s="10">
        <f>_xlfn.XLOOKUP(G392, Lookup!$A$2:$A$7, Lookup!$B$2:$B$7, "")</f>
        <v>0.25</v>
      </c>
      <c r="S392" s="4" t="str">
        <f>IF(Table1[[#This Row],[Margin]]&lt;Table1[[#This Row],[Target Margin]], "Yes", "")</f>
        <v/>
      </c>
    </row>
    <row r="393" spans="1:19">
      <c r="A393" t="s">
        <v>438</v>
      </c>
      <c r="B393" s="2">
        <v>46264</v>
      </c>
      <c r="C393" t="s">
        <v>32</v>
      </c>
      <c r="D393" t="s">
        <v>99</v>
      </c>
      <c r="E393">
        <v>1</v>
      </c>
      <c r="F393" t="str">
        <f>_xlfn.XLOOKUP(D393, Products!$A$2:$A$21, Products!$B$2:$B$21, "Not Found")</f>
        <v>Smartphone 256GB</v>
      </c>
      <c r="G393" t="str">
        <f>_xlfn.XLOOKUP(D393, Products!$A$2:$A$21, Products!$C$2:$C$21,"not found")</f>
        <v>Phones</v>
      </c>
      <c r="H393" s="4">
        <f>_xlfn.XLOOKUP(D393, Products!$A$2:$A$21, Products!$E$2:$E$21, 0)</f>
        <v>1499</v>
      </c>
      <c r="I393" s="4">
        <f>_xlfn.XLOOKUP(D393, Products!$A$2:$A$21, Products!$F$2:$F$21,0)</f>
        <v>1180</v>
      </c>
      <c r="J393" t="str">
        <f>_xlfn.XLOOKUP(C393, Stores!$A$2:$A$7, Stores!$D$2:$D$7)</f>
        <v>Sydney South</v>
      </c>
      <c r="K393" s="4">
        <f t="shared" si="12"/>
        <v>1499</v>
      </c>
      <c r="L393" s="4">
        <f t="shared" si="13"/>
        <v>319</v>
      </c>
      <c r="M393" s="10">
        <f>IF(Table1[[#This Row],[Revenue]]=0, "", Table1[[#This Row],[Profit]]/Table1[[#This Row],[Revenue]])</f>
        <v>0.21280853902601735</v>
      </c>
      <c r="N393" s="4" t="str">
        <f>IF(Table1[[#This Row],[Margin]]="", "check", IF(Table1[[#This Row],[Margin]]&lt;0.2, "Low", "OK"))</f>
        <v>OK</v>
      </c>
      <c r="O393" s="4" t="str" cm="1">
        <f t="array" ref="O393">_xlfn.IFS(Table1[[#This Row],[Revenue]]=0, "Check", Table1[[#This Row],[Revenue]]&gt;=1000, "Large", Table1[[#This Row],[Revenue]]&gt;=200, "Medium", TRUE, "Small")</f>
        <v>Large</v>
      </c>
      <c r="P393" s="4" t="str">
        <f>IF(AND(Table1[[#This Row],[Margin Flag]]="Low", Table1[[#This Row],[Revenue]]&gt;1000), "Review", "")</f>
        <v/>
      </c>
      <c r="Q393" s="4" t="str">
        <f>IF(OR(Table1[[#This Row],[Qty]]&gt;=5,Table1[[#This Row],[Order Size]] = "Large" ), "Bulk", "")</f>
        <v>Bulk</v>
      </c>
      <c r="R393" s="10">
        <f>_xlfn.XLOOKUP(G393, Lookup!$A$2:$A$7, Lookup!$B$2:$B$7, "")</f>
        <v>0.25</v>
      </c>
      <c r="S393" s="4" t="str">
        <f>IF(Table1[[#This Row],[Margin]]&lt;Table1[[#This Row],[Target Margin]], "Yes", "")</f>
        <v>Yes</v>
      </c>
    </row>
    <row r="394" spans="1:19">
      <c r="A394" t="s">
        <v>439</v>
      </c>
      <c r="B394" s="2">
        <v>46264</v>
      </c>
      <c r="C394" t="s">
        <v>57</v>
      </c>
      <c r="D394" t="s">
        <v>87</v>
      </c>
      <c r="E394">
        <v>2</v>
      </c>
      <c r="F394" t="str">
        <f>_xlfn.XLOOKUP(D394, Products!$A$2:$A$21, Products!$B$2:$B$21, "Not Found")</f>
        <v>Laptop 16in</v>
      </c>
      <c r="G394" t="str">
        <f>_xlfn.XLOOKUP(D394, Products!$A$2:$A$21, Products!$C$2:$C$21,"not found")</f>
        <v>Computers</v>
      </c>
      <c r="H394" s="4">
        <f>_xlfn.XLOOKUP(D394, Products!$A$2:$A$21, Products!$E$2:$E$21, 0)</f>
        <v>1799</v>
      </c>
      <c r="I394" s="4">
        <f>_xlfn.XLOOKUP(D394, Products!$A$2:$A$21, Products!$F$2:$F$21,0)</f>
        <v>1390</v>
      </c>
      <c r="J394" t="str">
        <f>_xlfn.XLOOKUP(C394, Stores!$A$2:$A$7, Stores!$D$2:$D$7)</f>
        <v>Sydney South</v>
      </c>
      <c r="K394" s="4">
        <f t="shared" si="12"/>
        <v>3598</v>
      </c>
      <c r="L394" s="4">
        <f t="shared" si="13"/>
        <v>818</v>
      </c>
      <c r="M394" s="10">
        <f>IF(Table1[[#This Row],[Revenue]]=0, "", Table1[[#This Row],[Profit]]/Table1[[#This Row],[Revenue]])</f>
        <v>0.2273485269594219</v>
      </c>
      <c r="N394" s="4" t="str">
        <f>IF(Table1[[#This Row],[Margin]]="", "check", IF(Table1[[#This Row],[Margin]]&lt;0.2, "Low", "OK"))</f>
        <v>OK</v>
      </c>
      <c r="O394" s="4" t="str" cm="1">
        <f t="array" ref="O394">_xlfn.IFS(Table1[[#This Row],[Revenue]]=0, "Check", Table1[[#This Row],[Revenue]]&gt;=1000, "Large", Table1[[#This Row],[Revenue]]&gt;=200, "Medium", TRUE, "Small")</f>
        <v>Large</v>
      </c>
      <c r="P394" s="4" t="str">
        <f>IF(AND(Table1[[#This Row],[Margin Flag]]="Low", Table1[[#This Row],[Revenue]]&gt;1000), "Review", "")</f>
        <v/>
      </c>
      <c r="Q394" s="4" t="str">
        <f>IF(OR(Table1[[#This Row],[Qty]]&gt;=5,Table1[[#This Row],[Order Size]] = "Large" ), "Bulk", "")</f>
        <v>Bulk</v>
      </c>
      <c r="R394" s="10">
        <f>_xlfn.XLOOKUP(G394, Lookup!$A$2:$A$7, Lookup!$B$2:$B$7, "")</f>
        <v>0.25</v>
      </c>
      <c r="S394" s="4" t="str">
        <f>IF(Table1[[#This Row],[Margin]]&lt;Table1[[#This Row],[Target Margin]], "Yes", "")</f>
        <v>Yes</v>
      </c>
    </row>
    <row r="395" spans="1:19">
      <c r="A395" t="s">
        <v>440</v>
      </c>
      <c r="B395" s="2">
        <v>46265</v>
      </c>
      <c r="C395" t="s">
        <v>23</v>
      </c>
      <c r="D395" t="s">
        <v>30</v>
      </c>
      <c r="E395">
        <v>1</v>
      </c>
      <c r="F395" t="str">
        <f>_xlfn.XLOOKUP(D395, Products!$A$2:$A$21, Products!$B$2:$B$21, "Not Found")</f>
        <v>Video Game</v>
      </c>
      <c r="G395" t="str">
        <f>_xlfn.XLOOKUP(D395, Products!$A$2:$A$21, Products!$C$2:$C$21,"not found")</f>
        <v>Gaming</v>
      </c>
      <c r="H395" s="4">
        <f>_xlfn.XLOOKUP(D395, Products!$A$2:$A$21, Products!$E$2:$E$21, 0)</f>
        <v>79</v>
      </c>
      <c r="I395" s="4">
        <f>_xlfn.XLOOKUP(D395, Products!$A$2:$A$21, Products!$F$2:$F$21,0)</f>
        <v>52</v>
      </c>
      <c r="J395" t="str">
        <f>_xlfn.XLOOKUP(C395, Stores!$A$2:$A$7, Stores!$D$2:$D$7)</f>
        <v>Sydney East</v>
      </c>
      <c r="K395" s="4">
        <f t="shared" si="12"/>
        <v>79</v>
      </c>
      <c r="L395" s="4">
        <f t="shared" si="13"/>
        <v>27</v>
      </c>
      <c r="M395" s="10">
        <f>IF(Table1[[#This Row],[Revenue]]=0, "", Table1[[#This Row],[Profit]]/Table1[[#This Row],[Revenue]])</f>
        <v>0.34177215189873417</v>
      </c>
      <c r="N395" s="4" t="str">
        <f>IF(Table1[[#This Row],[Margin]]="", "check", IF(Table1[[#This Row],[Margin]]&lt;0.2, "Low", "OK"))</f>
        <v>OK</v>
      </c>
      <c r="O395" s="4" t="str" cm="1">
        <f t="array" ref="O395">_xlfn.IFS(Table1[[#This Row],[Revenue]]=0, "Check", Table1[[#This Row],[Revenue]]&gt;=1000, "Large", Table1[[#This Row],[Revenue]]&gt;=200, "Medium", TRUE, "Small")</f>
        <v>Small</v>
      </c>
      <c r="P395" s="4" t="str">
        <f>IF(AND(Table1[[#This Row],[Margin Flag]]="Low", Table1[[#This Row],[Revenue]]&gt;1000), "Review", "")</f>
        <v/>
      </c>
      <c r="Q395" s="4" t="str">
        <f>IF(OR(Table1[[#This Row],[Qty]]&gt;=5,Table1[[#This Row],[Order Size]] = "Large" ), "Bulk", "")</f>
        <v/>
      </c>
      <c r="R395" s="10">
        <f>_xlfn.XLOOKUP(G395, Lookup!$A$2:$A$7, Lookup!$B$2:$B$7, "")</f>
        <v>0.08</v>
      </c>
      <c r="S395" s="4" t="str">
        <f>IF(Table1[[#This Row],[Margin]]&lt;Table1[[#This Row],[Target Margin]], "Yes", "")</f>
        <v/>
      </c>
    </row>
    <row r="396" spans="1:19">
      <c r="A396" t="s">
        <v>441</v>
      </c>
      <c r="B396" s="2">
        <v>46265</v>
      </c>
      <c r="C396" t="s">
        <v>32</v>
      </c>
      <c r="D396" t="s">
        <v>35</v>
      </c>
      <c r="E396">
        <v>1</v>
      </c>
      <c r="F396" t="str">
        <f>_xlfn.XLOOKUP(D396, Products!$A$2:$A$21, Products!$B$2:$B$21, "Not Found")</f>
        <v>Phone Case</v>
      </c>
      <c r="G396" t="str">
        <f>_xlfn.XLOOKUP(D396, Products!$A$2:$A$21, Products!$C$2:$C$21,"not found")</f>
        <v>Accessories</v>
      </c>
      <c r="H396" s="4">
        <f>_xlfn.XLOOKUP(D396, Products!$A$2:$A$21, Products!$E$2:$E$21, 0)</f>
        <v>39</v>
      </c>
      <c r="I396" s="4">
        <f>_xlfn.XLOOKUP(D396, Products!$A$2:$A$21, Products!$F$2:$F$21,0)</f>
        <v>9</v>
      </c>
      <c r="J396" t="str">
        <f>_xlfn.XLOOKUP(C396, Stores!$A$2:$A$7, Stores!$D$2:$D$7)</f>
        <v>Sydney South</v>
      </c>
      <c r="K396" s="4">
        <f t="shared" si="12"/>
        <v>39</v>
      </c>
      <c r="L396" s="4">
        <f t="shared" si="13"/>
        <v>30</v>
      </c>
      <c r="M396" s="10">
        <f>IF(Table1[[#This Row],[Revenue]]=0, "", Table1[[#This Row],[Profit]]/Table1[[#This Row],[Revenue]])</f>
        <v>0.76923076923076927</v>
      </c>
      <c r="N396" s="4" t="str">
        <f>IF(Table1[[#This Row],[Margin]]="", "check", IF(Table1[[#This Row],[Margin]]&lt;0.2, "Low", "OK"))</f>
        <v>OK</v>
      </c>
      <c r="O396" s="4" t="str" cm="1">
        <f t="array" ref="O396">_xlfn.IFS(Table1[[#This Row],[Revenue]]=0, "Check", Table1[[#This Row],[Revenue]]&gt;=1000, "Large", Table1[[#This Row],[Revenue]]&gt;=200, "Medium", TRUE, "Small")</f>
        <v>Small</v>
      </c>
      <c r="P396" s="4" t="str">
        <f>IF(AND(Table1[[#This Row],[Margin Flag]]="Low", Table1[[#This Row],[Revenue]]&gt;1000), "Review", "")</f>
        <v/>
      </c>
      <c r="Q396" s="4" t="str">
        <f>IF(OR(Table1[[#This Row],[Qty]]&gt;=5,Table1[[#This Row],[Order Size]] = "Large" ), "Bulk", "")</f>
        <v/>
      </c>
      <c r="R396" s="10">
        <f>_xlfn.XLOOKUP(G396, Lookup!$A$2:$A$7, Lookup!$B$2:$B$7, "")</f>
        <v>0.25</v>
      </c>
      <c r="S396" s="4" t="str">
        <f>IF(Table1[[#This Row],[Margin]]&lt;Table1[[#This Row],[Target Margin]], "Yes", "")</f>
        <v/>
      </c>
    </row>
    <row r="397" spans="1:19">
      <c r="A397" t="s">
        <v>442</v>
      </c>
      <c r="B397" s="2">
        <v>46265</v>
      </c>
      <c r="C397" t="s">
        <v>29</v>
      </c>
      <c r="D397" t="s">
        <v>27</v>
      </c>
      <c r="E397">
        <v>1</v>
      </c>
      <c r="F397" t="str">
        <f>_xlfn.XLOOKUP(D397, Products!$A$2:$A$21, Products!$B$2:$B$21, "Not Found")</f>
        <v>Bluetooth Speaker</v>
      </c>
      <c r="G397" t="str">
        <f>_xlfn.XLOOKUP(D397, Products!$A$2:$A$21, Products!$C$2:$C$21,"not found")</f>
        <v>Audio</v>
      </c>
      <c r="H397" s="4">
        <f>_xlfn.XLOOKUP(D397, Products!$A$2:$A$21, Products!$E$2:$E$21, 0)</f>
        <v>179</v>
      </c>
      <c r="I397" s="4">
        <f>_xlfn.XLOOKUP(D397, Products!$A$2:$A$21, Products!$F$2:$F$21,0)</f>
        <v>95</v>
      </c>
      <c r="J397" t="str">
        <f>_xlfn.XLOOKUP(C397, Stores!$A$2:$A$7, Stores!$D$2:$D$7)</f>
        <v>Sydney West</v>
      </c>
      <c r="K397" s="4">
        <f t="shared" si="12"/>
        <v>179</v>
      </c>
      <c r="L397" s="4">
        <f t="shared" si="13"/>
        <v>84</v>
      </c>
      <c r="M397" s="10">
        <f>IF(Table1[[#This Row],[Revenue]]=0, "", Table1[[#This Row],[Profit]]/Table1[[#This Row],[Revenue]])</f>
        <v>0.46927374301675978</v>
      </c>
      <c r="N397" s="4" t="str">
        <f>IF(Table1[[#This Row],[Margin]]="", "check", IF(Table1[[#This Row],[Margin]]&lt;0.2, "Low", "OK"))</f>
        <v>OK</v>
      </c>
      <c r="O397" s="4" t="str" cm="1">
        <f t="array" ref="O397">_xlfn.IFS(Table1[[#This Row],[Revenue]]=0, "Check", Table1[[#This Row],[Revenue]]&gt;=1000, "Large", Table1[[#This Row],[Revenue]]&gt;=200, "Medium", TRUE, "Small")</f>
        <v>Small</v>
      </c>
      <c r="P397" s="4" t="str">
        <f>IF(AND(Table1[[#This Row],[Margin Flag]]="Low", Table1[[#This Row],[Revenue]]&gt;1000), "Review", "")</f>
        <v/>
      </c>
      <c r="Q397" s="4" t="str">
        <f>IF(OR(Table1[[#This Row],[Qty]]&gt;=5,Table1[[#This Row],[Order Size]] = "Large" ), "Bulk", "")</f>
        <v/>
      </c>
      <c r="R397" s="10">
        <f>_xlfn.XLOOKUP(G397, Lookup!$A$2:$A$7, Lookup!$B$2:$B$7, "")</f>
        <v>0.25</v>
      </c>
      <c r="S397" s="4" t="str">
        <f>IF(Table1[[#This Row],[Margin]]&lt;Table1[[#This Row],[Target Margin]], "Yes", "")</f>
        <v/>
      </c>
    </row>
    <row r="398" spans="1:19">
      <c r="A398" t="s">
        <v>443</v>
      </c>
      <c r="B398" s="2">
        <v>46265</v>
      </c>
      <c r="C398" t="s">
        <v>57</v>
      </c>
      <c r="D398" t="s">
        <v>80</v>
      </c>
      <c r="E398">
        <v>1</v>
      </c>
      <c r="F398" t="str">
        <f>_xlfn.XLOOKUP(D398, Products!$A$2:$A$21, Products!$B$2:$B$21, "Not Found")</f>
        <v>Over-Ear Headphones</v>
      </c>
      <c r="G398" t="str">
        <f>_xlfn.XLOOKUP(D398, Products!$A$2:$A$21, Products!$C$2:$C$21,"not found")</f>
        <v>Audio</v>
      </c>
      <c r="H398" s="4">
        <f>_xlfn.XLOOKUP(D398, Products!$A$2:$A$21, Products!$E$2:$E$21, 0)</f>
        <v>499</v>
      </c>
      <c r="I398" s="4">
        <f>_xlfn.XLOOKUP(D398, Products!$A$2:$A$21, Products!$F$2:$F$21,0)</f>
        <v>310</v>
      </c>
      <c r="J398" t="str">
        <f>_xlfn.XLOOKUP(C398, Stores!$A$2:$A$7, Stores!$D$2:$D$7)</f>
        <v>Sydney South</v>
      </c>
      <c r="K398" s="4">
        <f t="shared" si="12"/>
        <v>499</v>
      </c>
      <c r="L398" s="4">
        <f t="shared" si="13"/>
        <v>189</v>
      </c>
      <c r="M398" s="10">
        <f>IF(Table1[[#This Row],[Revenue]]=0, "", Table1[[#This Row],[Profit]]/Table1[[#This Row],[Revenue]])</f>
        <v>0.37875751503006011</v>
      </c>
      <c r="N398" s="4" t="str">
        <f>IF(Table1[[#This Row],[Margin]]="", "check", IF(Table1[[#This Row],[Margin]]&lt;0.2, "Low", "OK"))</f>
        <v>OK</v>
      </c>
      <c r="O398" s="4" t="str" cm="1">
        <f t="array" ref="O398">_xlfn.IFS(Table1[[#This Row],[Revenue]]=0, "Check", Table1[[#This Row],[Revenue]]&gt;=1000, "Large", Table1[[#This Row],[Revenue]]&gt;=200, "Medium", TRUE, "Small")</f>
        <v>Medium</v>
      </c>
      <c r="P398" s="4" t="str">
        <f>IF(AND(Table1[[#This Row],[Margin Flag]]="Low", Table1[[#This Row],[Revenue]]&gt;1000), "Review", "")</f>
        <v/>
      </c>
      <c r="Q398" s="4" t="str">
        <f>IF(OR(Table1[[#This Row],[Qty]]&gt;=5,Table1[[#This Row],[Order Size]] = "Large" ), "Bulk", "")</f>
        <v/>
      </c>
      <c r="R398" s="10">
        <f>_xlfn.XLOOKUP(G398, Lookup!$A$2:$A$7, Lookup!$B$2:$B$7, "")</f>
        <v>0.25</v>
      </c>
      <c r="S398" s="4" t="str">
        <f>IF(Table1[[#This Row],[Margin]]&lt;Table1[[#This Row],[Target Margin]], "Yes", "")</f>
        <v/>
      </c>
    </row>
    <row r="399" spans="1:19">
      <c r="A399" t="s">
        <v>444</v>
      </c>
      <c r="B399" s="2">
        <v>46265</v>
      </c>
      <c r="C399" t="s">
        <v>23</v>
      </c>
      <c r="D399" t="s">
        <v>21</v>
      </c>
      <c r="E399">
        <v>3</v>
      </c>
      <c r="F399" t="str">
        <f>_xlfn.XLOOKUP(D399, Products!$A$2:$A$21, Products!$B$2:$B$21, "Not Found")</f>
        <v>Gaming Mouse</v>
      </c>
      <c r="G399" t="str">
        <f>_xlfn.XLOOKUP(D399, Products!$A$2:$A$21, Products!$C$2:$C$21,"not found")</f>
        <v>Accessories</v>
      </c>
      <c r="H399" s="4">
        <f>_xlfn.XLOOKUP(D399, Products!$A$2:$A$21, Products!$E$2:$E$21, 0)</f>
        <v>89</v>
      </c>
      <c r="I399" s="4">
        <f>_xlfn.XLOOKUP(D399, Products!$A$2:$A$21, Products!$F$2:$F$21,0)</f>
        <v>41</v>
      </c>
      <c r="J399" t="str">
        <f>_xlfn.XLOOKUP(C399, Stores!$A$2:$A$7, Stores!$D$2:$D$7)</f>
        <v>Sydney East</v>
      </c>
      <c r="K399" s="4">
        <f t="shared" si="12"/>
        <v>267</v>
      </c>
      <c r="L399" s="4">
        <f t="shared" si="13"/>
        <v>144</v>
      </c>
      <c r="M399" s="10">
        <f>IF(Table1[[#This Row],[Revenue]]=0, "", Table1[[#This Row],[Profit]]/Table1[[#This Row],[Revenue]])</f>
        <v>0.5393258426966292</v>
      </c>
      <c r="N399" s="4" t="str">
        <f>IF(Table1[[#This Row],[Margin]]="", "check", IF(Table1[[#This Row],[Margin]]&lt;0.2, "Low", "OK"))</f>
        <v>OK</v>
      </c>
      <c r="O399" s="4" t="str" cm="1">
        <f t="array" ref="O399">_xlfn.IFS(Table1[[#This Row],[Revenue]]=0, "Check", Table1[[#This Row],[Revenue]]&gt;=1000, "Large", Table1[[#This Row],[Revenue]]&gt;=200, "Medium", TRUE, "Small")</f>
        <v>Medium</v>
      </c>
      <c r="P399" s="4" t="str">
        <f>IF(AND(Table1[[#This Row],[Margin Flag]]="Low", Table1[[#This Row],[Revenue]]&gt;1000), "Review", "")</f>
        <v/>
      </c>
      <c r="Q399" s="4" t="str">
        <f>IF(OR(Table1[[#This Row],[Qty]]&gt;=5,Table1[[#This Row],[Order Size]] = "Large" ), "Bulk", "")</f>
        <v/>
      </c>
      <c r="R399" s="10">
        <f>_xlfn.XLOOKUP(G399, Lookup!$A$2:$A$7, Lookup!$B$2:$B$7, "")</f>
        <v>0.25</v>
      </c>
      <c r="S399" s="4" t="str">
        <f>IF(Table1[[#This Row],[Margin]]&lt;Table1[[#This Row],[Target Margin]], "Yes", "")</f>
        <v/>
      </c>
    </row>
    <row r="400" spans="1:19">
      <c r="A400" t="s">
        <v>445</v>
      </c>
      <c r="B400" s="2">
        <v>46265</v>
      </c>
      <c r="C400" t="s">
        <v>29</v>
      </c>
      <c r="D400" t="s">
        <v>30</v>
      </c>
      <c r="E400">
        <v>2</v>
      </c>
      <c r="F400" t="str">
        <f>_xlfn.XLOOKUP(D400, Products!$A$2:$A$21, Products!$B$2:$B$21, "Not Found")</f>
        <v>Video Game</v>
      </c>
      <c r="G400" t="str">
        <f>_xlfn.XLOOKUP(D400, Products!$A$2:$A$21, Products!$C$2:$C$21,"not found")</f>
        <v>Gaming</v>
      </c>
      <c r="H400" s="4">
        <f>_xlfn.XLOOKUP(D400, Products!$A$2:$A$21, Products!$E$2:$E$21, 0)</f>
        <v>79</v>
      </c>
      <c r="I400" s="4">
        <f>_xlfn.XLOOKUP(D400, Products!$A$2:$A$21, Products!$F$2:$F$21,0)</f>
        <v>52</v>
      </c>
      <c r="J400" t="str">
        <f>_xlfn.XLOOKUP(C400, Stores!$A$2:$A$7, Stores!$D$2:$D$7)</f>
        <v>Sydney West</v>
      </c>
      <c r="K400" s="4">
        <f t="shared" si="12"/>
        <v>158</v>
      </c>
      <c r="L400" s="4">
        <f t="shared" si="13"/>
        <v>54</v>
      </c>
      <c r="M400" s="10">
        <f>IF(Table1[[#This Row],[Revenue]]=0, "", Table1[[#This Row],[Profit]]/Table1[[#This Row],[Revenue]])</f>
        <v>0.34177215189873417</v>
      </c>
      <c r="N400" s="4" t="str">
        <f>IF(Table1[[#This Row],[Margin]]="", "check", IF(Table1[[#This Row],[Margin]]&lt;0.2, "Low", "OK"))</f>
        <v>OK</v>
      </c>
      <c r="O400" s="4" t="str" cm="1">
        <f t="array" ref="O400">_xlfn.IFS(Table1[[#This Row],[Revenue]]=0, "Check", Table1[[#This Row],[Revenue]]&gt;=1000, "Large", Table1[[#This Row],[Revenue]]&gt;=200, "Medium", TRUE, "Small")</f>
        <v>Small</v>
      </c>
      <c r="P400" s="4" t="str">
        <f>IF(AND(Table1[[#This Row],[Margin Flag]]="Low", Table1[[#This Row],[Revenue]]&gt;1000), "Review", "")</f>
        <v/>
      </c>
      <c r="Q400" s="4" t="str">
        <f>IF(OR(Table1[[#This Row],[Qty]]&gt;=5,Table1[[#This Row],[Order Size]] = "Large" ), "Bulk", "")</f>
        <v/>
      </c>
      <c r="R400" s="10">
        <f>_xlfn.XLOOKUP(G400, Lookup!$A$2:$A$7, Lookup!$B$2:$B$7, "")</f>
        <v>0.08</v>
      </c>
      <c r="S400" s="4" t="str">
        <f>IF(Table1[[#This Row],[Margin]]&lt;Table1[[#This Row],[Target Margin]], "Yes", "")</f>
        <v/>
      </c>
    </row>
    <row r="401" spans="1:19">
      <c r="A401" t="s">
        <v>446</v>
      </c>
      <c r="B401" s="2">
        <v>46265</v>
      </c>
      <c r="C401" t="s">
        <v>26</v>
      </c>
      <c r="D401" t="s">
        <v>50</v>
      </c>
      <c r="E401">
        <v>1</v>
      </c>
      <c r="F401" t="str">
        <f>_xlfn.XLOOKUP(D401, Products!$A$2:$A$21, Products!$B$2:$B$21, "Not Found")</f>
        <v>Smartphone 128GB</v>
      </c>
      <c r="G401" t="str">
        <f>_xlfn.XLOOKUP(D401, Products!$A$2:$A$21, Products!$C$2:$C$21,"not found")</f>
        <v>Phones</v>
      </c>
      <c r="H401" s="4">
        <f>_xlfn.XLOOKUP(D401, Products!$A$2:$A$21, Products!$E$2:$E$21, 0)</f>
        <v>1099</v>
      </c>
      <c r="I401" s="4">
        <f>_xlfn.XLOOKUP(D401, Products!$A$2:$A$21, Products!$F$2:$F$21,0)</f>
        <v>860</v>
      </c>
      <c r="J401" t="str">
        <f>_xlfn.XLOOKUP(C401, Stores!$A$2:$A$7, Stores!$D$2:$D$7)</f>
        <v>Sydney North</v>
      </c>
      <c r="K401" s="4">
        <f t="shared" si="12"/>
        <v>1099</v>
      </c>
      <c r="L401" s="4">
        <f t="shared" si="13"/>
        <v>239</v>
      </c>
      <c r="M401" s="10">
        <f>IF(Table1[[#This Row],[Revenue]]=0, "", Table1[[#This Row],[Profit]]/Table1[[#This Row],[Revenue]])</f>
        <v>0.21747042766151045</v>
      </c>
      <c r="N401" s="4" t="str">
        <f>IF(Table1[[#This Row],[Margin]]="", "check", IF(Table1[[#This Row],[Margin]]&lt;0.2, "Low", "OK"))</f>
        <v>OK</v>
      </c>
      <c r="O401" s="4" t="str" cm="1">
        <f t="array" ref="O401">_xlfn.IFS(Table1[[#This Row],[Revenue]]=0, "Check", Table1[[#This Row],[Revenue]]&gt;=1000, "Large", Table1[[#This Row],[Revenue]]&gt;=200, "Medium", TRUE, "Small")</f>
        <v>Large</v>
      </c>
      <c r="P401" s="4" t="str">
        <f>IF(AND(Table1[[#This Row],[Margin Flag]]="Low", Table1[[#This Row],[Revenue]]&gt;1000), "Review", "")</f>
        <v/>
      </c>
      <c r="Q401" s="4" t="str">
        <f>IF(OR(Table1[[#This Row],[Qty]]&gt;=5,Table1[[#This Row],[Order Size]] = "Large" ), "Bulk", "")</f>
        <v>Bulk</v>
      </c>
      <c r="R401" s="10">
        <f>_xlfn.XLOOKUP(G401, Lookup!$A$2:$A$7, Lookup!$B$2:$B$7, "")</f>
        <v>0.25</v>
      </c>
      <c r="S401" s="4" t="str">
        <f>IF(Table1[[#This Row],[Margin]]&lt;Table1[[#This Row],[Target Margin]], "Yes", "")</f>
        <v>Yes</v>
      </c>
    </row>
    <row r="402" spans="1:19">
      <c r="A402" t="s">
        <v>447</v>
      </c>
      <c r="B402" s="2">
        <v>46265</v>
      </c>
      <c r="C402" t="s">
        <v>26</v>
      </c>
      <c r="D402" t="s">
        <v>50</v>
      </c>
      <c r="E402">
        <v>1</v>
      </c>
      <c r="F402" t="str">
        <f>_xlfn.XLOOKUP(D402, Products!$A$2:$A$21, Products!$B$2:$B$21, "Not Found")</f>
        <v>Smartphone 128GB</v>
      </c>
      <c r="G402" t="str">
        <f>_xlfn.XLOOKUP(D402, Products!$A$2:$A$21, Products!$C$2:$C$21,"not found")</f>
        <v>Phones</v>
      </c>
      <c r="H402" s="4">
        <f>_xlfn.XLOOKUP(D402, Products!$A$2:$A$21, Products!$E$2:$E$21, 0)</f>
        <v>1099</v>
      </c>
      <c r="I402" s="4">
        <f>_xlfn.XLOOKUP(D402, Products!$A$2:$A$21, Products!$F$2:$F$21,0)</f>
        <v>860</v>
      </c>
      <c r="J402" t="str">
        <f>_xlfn.XLOOKUP(C402, Stores!$A$2:$A$7, Stores!$D$2:$D$7)</f>
        <v>Sydney North</v>
      </c>
      <c r="K402" s="4">
        <f t="shared" si="12"/>
        <v>1099</v>
      </c>
      <c r="L402" s="4">
        <f t="shared" si="13"/>
        <v>239</v>
      </c>
      <c r="M402" s="10">
        <f>IF(Table1[[#This Row],[Revenue]]=0, "", Table1[[#This Row],[Profit]]/Table1[[#This Row],[Revenue]])</f>
        <v>0.21747042766151045</v>
      </c>
      <c r="N402" s="4" t="str">
        <f>IF(Table1[[#This Row],[Margin]]="", "check", IF(Table1[[#This Row],[Margin]]&lt;0.2, "Low", "OK"))</f>
        <v>OK</v>
      </c>
      <c r="O402" s="4" t="str" cm="1">
        <f t="array" ref="O402">_xlfn.IFS(Table1[[#This Row],[Revenue]]=0, "Check", Table1[[#This Row],[Revenue]]&gt;=1000, "Large", Table1[[#This Row],[Revenue]]&gt;=200, "Medium", TRUE, "Small")</f>
        <v>Large</v>
      </c>
      <c r="P402" s="4" t="str">
        <f>IF(AND(Table1[[#This Row],[Margin Flag]]="Low", Table1[[#This Row],[Revenue]]&gt;1000), "Review", "")</f>
        <v/>
      </c>
      <c r="Q402" s="4" t="str">
        <f>IF(OR(Table1[[#This Row],[Qty]]&gt;=5,Table1[[#This Row],[Order Size]] = "Large" ), "Bulk", "")</f>
        <v>Bulk</v>
      </c>
      <c r="R402" s="10">
        <f>_xlfn.XLOOKUP(G402, Lookup!$A$2:$A$7, Lookup!$B$2:$B$7, "")</f>
        <v>0.25</v>
      </c>
      <c r="S402" s="4" t="str">
        <f>IF(Table1[[#This Row],[Margin]]&lt;Table1[[#This Row],[Target Margin]], "Yes", "")</f>
        <v>Yes</v>
      </c>
    </row>
    <row r="403" spans="1:19">
      <c r="A403" t="s">
        <v>448</v>
      </c>
      <c r="B403" s="2">
        <v>46265</v>
      </c>
      <c r="C403" t="s">
        <v>20</v>
      </c>
      <c r="D403" t="s">
        <v>21</v>
      </c>
      <c r="E403">
        <v>1</v>
      </c>
      <c r="F403" t="str">
        <f>_xlfn.XLOOKUP(D403, Products!$A$2:$A$21, Products!$B$2:$B$21, "Not Found")</f>
        <v>Gaming Mouse</v>
      </c>
      <c r="G403" t="str">
        <f>_xlfn.XLOOKUP(D403, Products!$A$2:$A$21, Products!$C$2:$C$21,"not found")</f>
        <v>Accessories</v>
      </c>
      <c r="H403" s="4">
        <f>_xlfn.XLOOKUP(D403, Products!$A$2:$A$21, Products!$E$2:$E$21, 0)</f>
        <v>89</v>
      </c>
      <c r="I403" s="4">
        <f>_xlfn.XLOOKUP(D403, Products!$A$2:$A$21, Products!$F$2:$F$21,0)</f>
        <v>41</v>
      </c>
      <c r="J403" t="str">
        <f>_xlfn.XLOOKUP(C403, Stores!$A$2:$A$7, Stores!$D$2:$D$7)</f>
        <v>Sydney West</v>
      </c>
      <c r="K403" s="4">
        <f t="shared" si="12"/>
        <v>89</v>
      </c>
      <c r="L403" s="4">
        <f t="shared" si="13"/>
        <v>48</v>
      </c>
      <c r="M403" s="10">
        <f>IF(Table1[[#This Row],[Revenue]]=0, "", Table1[[#This Row],[Profit]]/Table1[[#This Row],[Revenue]])</f>
        <v>0.5393258426966292</v>
      </c>
      <c r="N403" s="4" t="str">
        <f>IF(Table1[[#This Row],[Margin]]="", "check", IF(Table1[[#This Row],[Margin]]&lt;0.2, "Low", "OK"))</f>
        <v>OK</v>
      </c>
      <c r="O403" s="4" t="str" cm="1">
        <f t="array" ref="O403">_xlfn.IFS(Table1[[#This Row],[Revenue]]=0, "Check", Table1[[#This Row],[Revenue]]&gt;=1000, "Large", Table1[[#This Row],[Revenue]]&gt;=200, "Medium", TRUE, "Small")</f>
        <v>Small</v>
      </c>
      <c r="P403" s="4" t="str">
        <f>IF(AND(Table1[[#This Row],[Margin Flag]]="Low", Table1[[#This Row],[Revenue]]&gt;1000), "Review", "")</f>
        <v/>
      </c>
      <c r="Q403" s="4" t="str">
        <f>IF(OR(Table1[[#This Row],[Qty]]&gt;=5,Table1[[#This Row],[Order Size]] = "Large" ), "Bulk", "")</f>
        <v/>
      </c>
      <c r="R403" s="10">
        <f>_xlfn.XLOOKUP(G403, Lookup!$A$2:$A$7, Lookup!$B$2:$B$7, "")</f>
        <v>0.25</v>
      </c>
      <c r="S403" s="4" t="str">
        <f>IF(Table1[[#This Row],[Margin]]&lt;Table1[[#This Row],[Target Margin]], "Yes", "")</f>
        <v/>
      </c>
    </row>
    <row r="404" spans="1:19">
      <c r="A404" t="s">
        <v>449</v>
      </c>
      <c r="B404" s="2">
        <v>46266</v>
      </c>
      <c r="C404" t="s">
        <v>26</v>
      </c>
      <c r="D404" t="s">
        <v>58</v>
      </c>
      <c r="E404">
        <v>1</v>
      </c>
      <c r="F404" t="str">
        <f>_xlfn.XLOOKUP(D404, Products!$A$2:$A$21, Products!$B$2:$B$21, "Not Found")</f>
        <v>Mech Keyboard</v>
      </c>
      <c r="G404" t="str">
        <f>_xlfn.XLOOKUP(D404, Products!$A$2:$A$21, Products!$C$2:$C$21,"not found")</f>
        <v>Accessories</v>
      </c>
      <c r="H404" s="4">
        <f>_xlfn.XLOOKUP(D404, Products!$A$2:$A$21, Products!$E$2:$E$21, 0)</f>
        <v>149</v>
      </c>
      <c r="I404" s="4">
        <f>_xlfn.XLOOKUP(D404, Products!$A$2:$A$21, Products!$F$2:$F$21,0)</f>
        <v>72</v>
      </c>
      <c r="J404" t="str">
        <f>_xlfn.XLOOKUP(C404, Stores!$A$2:$A$7, Stores!$D$2:$D$7)</f>
        <v>Sydney North</v>
      </c>
      <c r="K404" s="4">
        <f t="shared" si="12"/>
        <v>149</v>
      </c>
      <c r="L404" s="4">
        <f t="shared" si="13"/>
        <v>77</v>
      </c>
      <c r="M404" s="10">
        <f>IF(Table1[[#This Row],[Revenue]]=0, "", Table1[[#This Row],[Profit]]/Table1[[#This Row],[Revenue]])</f>
        <v>0.51677852348993292</v>
      </c>
      <c r="N404" s="4" t="str">
        <f>IF(Table1[[#This Row],[Margin]]="", "check", IF(Table1[[#This Row],[Margin]]&lt;0.2, "Low", "OK"))</f>
        <v>OK</v>
      </c>
      <c r="O404" s="4" t="str" cm="1">
        <f t="array" ref="O404">_xlfn.IFS(Table1[[#This Row],[Revenue]]=0, "Check", Table1[[#This Row],[Revenue]]&gt;=1000, "Large", Table1[[#This Row],[Revenue]]&gt;=200, "Medium", TRUE, "Small")</f>
        <v>Small</v>
      </c>
      <c r="P404" s="4" t="str">
        <f>IF(AND(Table1[[#This Row],[Margin Flag]]="Low", Table1[[#This Row],[Revenue]]&gt;1000), "Review", "")</f>
        <v/>
      </c>
      <c r="Q404" s="4" t="str">
        <f>IF(OR(Table1[[#This Row],[Qty]]&gt;=5,Table1[[#This Row],[Order Size]] = "Large" ), "Bulk", "")</f>
        <v/>
      </c>
      <c r="R404" s="10">
        <f>_xlfn.XLOOKUP(G404, Lookup!$A$2:$A$7, Lookup!$B$2:$B$7, "")</f>
        <v>0.25</v>
      </c>
      <c r="S404" s="4" t="str">
        <f>IF(Table1[[#This Row],[Margin]]&lt;Table1[[#This Row],[Target Margin]], "Yes", "")</f>
        <v/>
      </c>
    </row>
    <row r="405" spans="1:19">
      <c r="A405" t="s">
        <v>450</v>
      </c>
      <c r="B405" s="2">
        <v>46266</v>
      </c>
      <c r="C405" t="s">
        <v>23</v>
      </c>
      <c r="D405" t="s">
        <v>43</v>
      </c>
      <c r="E405">
        <v>1</v>
      </c>
      <c r="F405" t="str">
        <f>_xlfn.XLOOKUP(D405, Products!$A$2:$A$21, Products!$B$2:$B$21, "Not Found")</f>
        <v>Console Controller</v>
      </c>
      <c r="G405" t="str">
        <f>_xlfn.XLOOKUP(D405, Products!$A$2:$A$21, Products!$C$2:$C$21,"not found")</f>
        <v>Gaming</v>
      </c>
      <c r="H405" s="4">
        <f>_xlfn.XLOOKUP(D405, Products!$A$2:$A$21, Products!$E$2:$E$21, 0)</f>
        <v>99</v>
      </c>
      <c r="I405" s="4">
        <f>_xlfn.XLOOKUP(D405, Products!$A$2:$A$21, Products!$F$2:$F$21,0)</f>
        <v>58</v>
      </c>
      <c r="J405" t="str">
        <f>_xlfn.XLOOKUP(C405, Stores!$A$2:$A$7, Stores!$D$2:$D$7)</f>
        <v>Sydney East</v>
      </c>
      <c r="K405" s="4">
        <f t="shared" si="12"/>
        <v>99</v>
      </c>
      <c r="L405" s="4">
        <f t="shared" si="13"/>
        <v>41</v>
      </c>
      <c r="M405" s="10">
        <f>IF(Table1[[#This Row],[Revenue]]=0, "", Table1[[#This Row],[Profit]]/Table1[[#This Row],[Revenue]])</f>
        <v>0.41414141414141414</v>
      </c>
      <c r="N405" s="4" t="str">
        <f>IF(Table1[[#This Row],[Margin]]="", "check", IF(Table1[[#This Row],[Margin]]&lt;0.2, "Low", "OK"))</f>
        <v>OK</v>
      </c>
      <c r="O405" s="4" t="str" cm="1">
        <f t="array" ref="O405">_xlfn.IFS(Table1[[#This Row],[Revenue]]=0, "Check", Table1[[#This Row],[Revenue]]&gt;=1000, "Large", Table1[[#This Row],[Revenue]]&gt;=200, "Medium", TRUE, "Small")</f>
        <v>Small</v>
      </c>
      <c r="P405" s="4" t="str">
        <f>IF(AND(Table1[[#This Row],[Margin Flag]]="Low", Table1[[#This Row],[Revenue]]&gt;1000), "Review", "")</f>
        <v/>
      </c>
      <c r="Q405" s="4" t="str">
        <f>IF(OR(Table1[[#This Row],[Qty]]&gt;=5,Table1[[#This Row],[Order Size]] = "Large" ), "Bulk", "")</f>
        <v/>
      </c>
      <c r="R405" s="10">
        <f>_xlfn.XLOOKUP(G405, Lookup!$A$2:$A$7, Lookup!$B$2:$B$7, "")</f>
        <v>0.08</v>
      </c>
      <c r="S405" s="4" t="str">
        <f>IF(Table1[[#This Row],[Margin]]&lt;Table1[[#This Row],[Target Margin]], "Yes", "")</f>
        <v/>
      </c>
    </row>
    <row r="406" spans="1:19">
      <c r="A406" t="s">
        <v>451</v>
      </c>
      <c r="B406" s="2">
        <v>46266</v>
      </c>
      <c r="C406" t="s">
        <v>23</v>
      </c>
      <c r="D406" t="s">
        <v>58</v>
      </c>
      <c r="E406">
        <v>1</v>
      </c>
      <c r="F406" t="str">
        <f>_xlfn.XLOOKUP(D406, Products!$A$2:$A$21, Products!$B$2:$B$21, "Not Found")</f>
        <v>Mech Keyboard</v>
      </c>
      <c r="G406" t="str">
        <f>_xlfn.XLOOKUP(D406, Products!$A$2:$A$21, Products!$C$2:$C$21,"not found")</f>
        <v>Accessories</v>
      </c>
      <c r="H406" s="4">
        <f>_xlfn.XLOOKUP(D406, Products!$A$2:$A$21, Products!$E$2:$E$21, 0)</f>
        <v>149</v>
      </c>
      <c r="I406" s="4">
        <f>_xlfn.XLOOKUP(D406, Products!$A$2:$A$21, Products!$F$2:$F$21,0)</f>
        <v>72</v>
      </c>
      <c r="J406" t="str">
        <f>_xlfn.XLOOKUP(C406, Stores!$A$2:$A$7, Stores!$D$2:$D$7)</f>
        <v>Sydney East</v>
      </c>
      <c r="K406" s="4">
        <f t="shared" si="12"/>
        <v>149</v>
      </c>
      <c r="L406" s="4">
        <f t="shared" si="13"/>
        <v>77</v>
      </c>
      <c r="M406" s="10">
        <f>IF(Table1[[#This Row],[Revenue]]=0, "", Table1[[#This Row],[Profit]]/Table1[[#This Row],[Revenue]])</f>
        <v>0.51677852348993292</v>
      </c>
      <c r="N406" s="4" t="str">
        <f>IF(Table1[[#This Row],[Margin]]="", "check", IF(Table1[[#This Row],[Margin]]&lt;0.2, "Low", "OK"))</f>
        <v>OK</v>
      </c>
      <c r="O406" s="4" t="str" cm="1">
        <f t="array" ref="O406">_xlfn.IFS(Table1[[#This Row],[Revenue]]=0, "Check", Table1[[#This Row],[Revenue]]&gt;=1000, "Large", Table1[[#This Row],[Revenue]]&gt;=200, "Medium", TRUE, "Small")</f>
        <v>Small</v>
      </c>
      <c r="P406" s="4" t="str">
        <f>IF(AND(Table1[[#This Row],[Margin Flag]]="Low", Table1[[#This Row],[Revenue]]&gt;1000), "Review", "")</f>
        <v/>
      </c>
      <c r="Q406" s="4" t="str">
        <f>IF(OR(Table1[[#This Row],[Qty]]&gt;=5,Table1[[#This Row],[Order Size]] = "Large" ), "Bulk", "")</f>
        <v/>
      </c>
      <c r="R406" s="10">
        <f>_xlfn.XLOOKUP(G406, Lookup!$A$2:$A$7, Lookup!$B$2:$B$7, "")</f>
        <v>0.25</v>
      </c>
      <c r="S406" s="4" t="str">
        <f>IF(Table1[[#This Row],[Margin]]&lt;Table1[[#This Row],[Target Margin]], "Yes", "")</f>
        <v/>
      </c>
    </row>
    <row r="407" spans="1:19">
      <c r="A407" t="s">
        <v>452</v>
      </c>
      <c r="B407" s="2">
        <v>46266</v>
      </c>
      <c r="C407" t="s">
        <v>26</v>
      </c>
      <c r="D407" t="s">
        <v>58</v>
      </c>
      <c r="E407">
        <v>1</v>
      </c>
      <c r="F407" t="str">
        <f>_xlfn.XLOOKUP(D407, Products!$A$2:$A$21, Products!$B$2:$B$21, "Not Found")</f>
        <v>Mech Keyboard</v>
      </c>
      <c r="G407" t="str">
        <f>_xlfn.XLOOKUP(D407, Products!$A$2:$A$21, Products!$C$2:$C$21,"not found")</f>
        <v>Accessories</v>
      </c>
      <c r="H407" s="4">
        <f>_xlfn.XLOOKUP(D407, Products!$A$2:$A$21, Products!$E$2:$E$21, 0)</f>
        <v>149</v>
      </c>
      <c r="I407" s="4">
        <f>_xlfn.XLOOKUP(D407, Products!$A$2:$A$21, Products!$F$2:$F$21,0)</f>
        <v>72</v>
      </c>
      <c r="J407" t="str">
        <f>_xlfn.XLOOKUP(C407, Stores!$A$2:$A$7, Stores!$D$2:$D$7)</f>
        <v>Sydney North</v>
      </c>
      <c r="K407" s="4">
        <f t="shared" si="12"/>
        <v>149</v>
      </c>
      <c r="L407" s="4">
        <f t="shared" si="13"/>
        <v>77</v>
      </c>
      <c r="M407" s="10">
        <f>IF(Table1[[#This Row],[Revenue]]=0, "", Table1[[#This Row],[Profit]]/Table1[[#This Row],[Revenue]])</f>
        <v>0.51677852348993292</v>
      </c>
      <c r="N407" s="4" t="str">
        <f>IF(Table1[[#This Row],[Margin]]="", "check", IF(Table1[[#This Row],[Margin]]&lt;0.2, "Low", "OK"))</f>
        <v>OK</v>
      </c>
      <c r="O407" s="4" t="str" cm="1">
        <f t="array" ref="O407">_xlfn.IFS(Table1[[#This Row],[Revenue]]=0, "Check", Table1[[#This Row],[Revenue]]&gt;=1000, "Large", Table1[[#This Row],[Revenue]]&gt;=200, "Medium", TRUE, "Small")</f>
        <v>Small</v>
      </c>
      <c r="P407" s="4" t="str">
        <f>IF(AND(Table1[[#This Row],[Margin Flag]]="Low", Table1[[#This Row],[Revenue]]&gt;1000), "Review", "")</f>
        <v/>
      </c>
      <c r="Q407" s="4" t="str">
        <f>IF(OR(Table1[[#This Row],[Qty]]&gt;=5,Table1[[#This Row],[Order Size]] = "Large" ), "Bulk", "")</f>
        <v/>
      </c>
      <c r="R407" s="10">
        <f>_xlfn.XLOOKUP(G407, Lookup!$A$2:$A$7, Lookup!$B$2:$B$7, "")</f>
        <v>0.25</v>
      </c>
      <c r="S407" s="4" t="str">
        <f>IF(Table1[[#This Row],[Margin]]&lt;Table1[[#This Row],[Target Margin]], "Yes", "")</f>
        <v/>
      </c>
    </row>
    <row r="408" spans="1:19">
      <c r="A408" t="s">
        <v>453</v>
      </c>
      <c r="B408" s="2">
        <v>46266</v>
      </c>
      <c r="C408" t="s">
        <v>32</v>
      </c>
      <c r="D408" t="s">
        <v>24</v>
      </c>
      <c r="E408">
        <v>1</v>
      </c>
      <c r="F408" t="str">
        <f>_xlfn.XLOOKUP(D408, Products!$A$2:$A$21, Products!$B$2:$B$21, "Not Found")</f>
        <v>Wireless Earbuds</v>
      </c>
      <c r="G408" t="str">
        <f>_xlfn.XLOOKUP(D408, Products!$A$2:$A$21, Products!$C$2:$C$21,"not found")</f>
        <v>Audio</v>
      </c>
      <c r="H408" s="4">
        <f>_xlfn.XLOOKUP(D408, Products!$A$2:$A$21, Products!$E$2:$E$21, 0)</f>
        <v>249</v>
      </c>
      <c r="I408" s="4">
        <f>_xlfn.XLOOKUP(D408, Products!$A$2:$A$21, Products!$F$2:$F$21,0)</f>
        <v>140</v>
      </c>
      <c r="J408" t="str">
        <f>_xlfn.XLOOKUP(C408, Stores!$A$2:$A$7, Stores!$D$2:$D$7)</f>
        <v>Sydney South</v>
      </c>
      <c r="K408" s="4">
        <f t="shared" si="12"/>
        <v>249</v>
      </c>
      <c r="L408" s="4">
        <f t="shared" si="13"/>
        <v>109</v>
      </c>
      <c r="M408" s="10">
        <f>IF(Table1[[#This Row],[Revenue]]=0, "", Table1[[#This Row],[Profit]]/Table1[[#This Row],[Revenue]])</f>
        <v>0.43775100401606426</v>
      </c>
      <c r="N408" s="4" t="str">
        <f>IF(Table1[[#This Row],[Margin]]="", "check", IF(Table1[[#This Row],[Margin]]&lt;0.2, "Low", "OK"))</f>
        <v>OK</v>
      </c>
      <c r="O408" s="4" t="str" cm="1">
        <f t="array" ref="O408">_xlfn.IFS(Table1[[#This Row],[Revenue]]=0, "Check", Table1[[#This Row],[Revenue]]&gt;=1000, "Large", Table1[[#This Row],[Revenue]]&gt;=200, "Medium", TRUE, "Small")</f>
        <v>Medium</v>
      </c>
      <c r="P408" s="4" t="str">
        <f>IF(AND(Table1[[#This Row],[Margin Flag]]="Low", Table1[[#This Row],[Revenue]]&gt;1000), "Review", "")</f>
        <v/>
      </c>
      <c r="Q408" s="4" t="str">
        <f>IF(OR(Table1[[#This Row],[Qty]]&gt;=5,Table1[[#This Row],[Order Size]] = "Large" ), "Bulk", "")</f>
        <v/>
      </c>
      <c r="R408" s="10">
        <f>_xlfn.XLOOKUP(G408, Lookup!$A$2:$A$7, Lookup!$B$2:$B$7, "")</f>
        <v>0.25</v>
      </c>
      <c r="S408" s="4" t="str">
        <f>IF(Table1[[#This Row],[Margin]]&lt;Table1[[#This Row],[Target Margin]], "Yes", "")</f>
        <v/>
      </c>
    </row>
    <row r="409" spans="1:19">
      <c r="A409" t="s">
        <v>454</v>
      </c>
      <c r="B409" s="2">
        <v>46266</v>
      </c>
      <c r="C409" t="s">
        <v>57</v>
      </c>
      <c r="D409" t="s">
        <v>99</v>
      </c>
      <c r="E409">
        <v>1</v>
      </c>
      <c r="F409" t="str">
        <f>_xlfn.XLOOKUP(D409, Products!$A$2:$A$21, Products!$B$2:$B$21, "Not Found")</f>
        <v>Smartphone 256GB</v>
      </c>
      <c r="G409" t="str">
        <f>_xlfn.XLOOKUP(D409, Products!$A$2:$A$21, Products!$C$2:$C$21,"not found")</f>
        <v>Phones</v>
      </c>
      <c r="H409" s="4">
        <f>_xlfn.XLOOKUP(D409, Products!$A$2:$A$21, Products!$E$2:$E$21, 0)</f>
        <v>1499</v>
      </c>
      <c r="I409" s="4">
        <f>_xlfn.XLOOKUP(D409, Products!$A$2:$A$21, Products!$F$2:$F$21,0)</f>
        <v>1180</v>
      </c>
      <c r="J409" t="str">
        <f>_xlfn.XLOOKUP(C409, Stores!$A$2:$A$7, Stores!$D$2:$D$7)</f>
        <v>Sydney South</v>
      </c>
      <c r="K409" s="4">
        <f t="shared" si="12"/>
        <v>1499</v>
      </c>
      <c r="L409" s="4">
        <f t="shared" si="13"/>
        <v>319</v>
      </c>
      <c r="M409" s="10">
        <f>IF(Table1[[#This Row],[Revenue]]=0, "", Table1[[#This Row],[Profit]]/Table1[[#This Row],[Revenue]])</f>
        <v>0.21280853902601735</v>
      </c>
      <c r="N409" s="4" t="str">
        <f>IF(Table1[[#This Row],[Margin]]="", "check", IF(Table1[[#This Row],[Margin]]&lt;0.2, "Low", "OK"))</f>
        <v>OK</v>
      </c>
      <c r="O409" s="4" t="str" cm="1">
        <f t="array" ref="O409">_xlfn.IFS(Table1[[#This Row],[Revenue]]=0, "Check", Table1[[#This Row],[Revenue]]&gt;=1000, "Large", Table1[[#This Row],[Revenue]]&gt;=200, "Medium", TRUE, "Small")</f>
        <v>Large</v>
      </c>
      <c r="P409" s="4" t="str">
        <f>IF(AND(Table1[[#This Row],[Margin Flag]]="Low", Table1[[#This Row],[Revenue]]&gt;1000), "Review", "")</f>
        <v/>
      </c>
      <c r="Q409" s="4" t="str">
        <f>IF(OR(Table1[[#This Row],[Qty]]&gt;=5,Table1[[#This Row],[Order Size]] = "Large" ), "Bulk", "")</f>
        <v>Bulk</v>
      </c>
      <c r="R409" s="10">
        <f>_xlfn.XLOOKUP(G409, Lookup!$A$2:$A$7, Lookup!$B$2:$B$7, "")</f>
        <v>0.25</v>
      </c>
      <c r="S409" s="4" t="str">
        <f>IF(Table1[[#This Row],[Margin]]&lt;Table1[[#This Row],[Target Margin]], "Yes", "")</f>
        <v>Yes</v>
      </c>
    </row>
    <row r="410" spans="1:19">
      <c r="A410" t="s">
        <v>455</v>
      </c>
      <c r="B410" s="2">
        <v>46266</v>
      </c>
      <c r="C410" t="s">
        <v>57</v>
      </c>
      <c r="D410" t="s">
        <v>30</v>
      </c>
      <c r="E410">
        <v>2</v>
      </c>
      <c r="F410" t="str">
        <f>_xlfn.XLOOKUP(D410, Products!$A$2:$A$21, Products!$B$2:$B$21, "Not Found")</f>
        <v>Video Game</v>
      </c>
      <c r="G410" t="str">
        <f>_xlfn.XLOOKUP(D410, Products!$A$2:$A$21, Products!$C$2:$C$21,"not found")</f>
        <v>Gaming</v>
      </c>
      <c r="H410" s="4">
        <f>_xlfn.XLOOKUP(D410, Products!$A$2:$A$21, Products!$E$2:$E$21, 0)</f>
        <v>79</v>
      </c>
      <c r="I410" s="4">
        <f>_xlfn.XLOOKUP(D410, Products!$A$2:$A$21, Products!$F$2:$F$21,0)</f>
        <v>52</v>
      </c>
      <c r="J410" t="str">
        <f>_xlfn.XLOOKUP(C410, Stores!$A$2:$A$7, Stores!$D$2:$D$7)</f>
        <v>Sydney South</v>
      </c>
      <c r="K410" s="4">
        <f t="shared" si="12"/>
        <v>158</v>
      </c>
      <c r="L410" s="4">
        <f t="shared" si="13"/>
        <v>54</v>
      </c>
      <c r="M410" s="10">
        <f>IF(Table1[[#This Row],[Revenue]]=0, "", Table1[[#This Row],[Profit]]/Table1[[#This Row],[Revenue]])</f>
        <v>0.34177215189873417</v>
      </c>
      <c r="N410" s="4" t="str">
        <f>IF(Table1[[#This Row],[Margin]]="", "check", IF(Table1[[#This Row],[Margin]]&lt;0.2, "Low", "OK"))</f>
        <v>OK</v>
      </c>
      <c r="O410" s="4" t="str" cm="1">
        <f t="array" ref="O410">_xlfn.IFS(Table1[[#This Row],[Revenue]]=0, "Check", Table1[[#This Row],[Revenue]]&gt;=1000, "Large", Table1[[#This Row],[Revenue]]&gt;=200, "Medium", TRUE, "Small")</f>
        <v>Small</v>
      </c>
      <c r="P410" s="4" t="str">
        <f>IF(AND(Table1[[#This Row],[Margin Flag]]="Low", Table1[[#This Row],[Revenue]]&gt;1000), "Review", "")</f>
        <v/>
      </c>
      <c r="Q410" s="4" t="str">
        <f>IF(OR(Table1[[#This Row],[Qty]]&gt;=5,Table1[[#This Row],[Order Size]] = "Large" ), "Bulk", "")</f>
        <v/>
      </c>
      <c r="R410" s="10">
        <f>_xlfn.XLOOKUP(G410, Lookup!$A$2:$A$7, Lookup!$B$2:$B$7, "")</f>
        <v>0.08</v>
      </c>
      <c r="S410" s="4" t="str">
        <f>IF(Table1[[#This Row],[Margin]]&lt;Table1[[#This Row],[Target Margin]], "Yes", "")</f>
        <v/>
      </c>
    </row>
    <row r="411" spans="1:19">
      <c r="A411" t="s">
        <v>456</v>
      </c>
      <c r="B411" s="2">
        <v>46267</v>
      </c>
      <c r="C411" t="s">
        <v>32</v>
      </c>
      <c r="D411" t="s">
        <v>35</v>
      </c>
      <c r="E411">
        <v>1</v>
      </c>
      <c r="F411" t="str">
        <f>_xlfn.XLOOKUP(D411, Products!$A$2:$A$21, Products!$B$2:$B$21, "Not Found")</f>
        <v>Phone Case</v>
      </c>
      <c r="G411" t="str">
        <f>_xlfn.XLOOKUP(D411, Products!$A$2:$A$21, Products!$C$2:$C$21,"not found")</f>
        <v>Accessories</v>
      </c>
      <c r="H411" s="4">
        <f>_xlfn.XLOOKUP(D411, Products!$A$2:$A$21, Products!$E$2:$E$21, 0)</f>
        <v>39</v>
      </c>
      <c r="I411" s="4">
        <f>_xlfn.XLOOKUP(D411, Products!$A$2:$A$21, Products!$F$2:$F$21,0)</f>
        <v>9</v>
      </c>
      <c r="J411" t="str">
        <f>_xlfn.XLOOKUP(C411, Stores!$A$2:$A$7, Stores!$D$2:$D$7)</f>
        <v>Sydney South</v>
      </c>
      <c r="K411" s="4">
        <f t="shared" si="12"/>
        <v>39</v>
      </c>
      <c r="L411" s="4">
        <f t="shared" si="13"/>
        <v>30</v>
      </c>
      <c r="M411" s="10">
        <f>IF(Table1[[#This Row],[Revenue]]=0, "", Table1[[#This Row],[Profit]]/Table1[[#This Row],[Revenue]])</f>
        <v>0.76923076923076927</v>
      </c>
      <c r="N411" s="4" t="str">
        <f>IF(Table1[[#This Row],[Margin]]="", "check", IF(Table1[[#This Row],[Margin]]&lt;0.2, "Low", "OK"))</f>
        <v>OK</v>
      </c>
      <c r="O411" s="4" t="str" cm="1">
        <f t="array" ref="O411">_xlfn.IFS(Table1[[#This Row],[Revenue]]=0, "Check", Table1[[#This Row],[Revenue]]&gt;=1000, "Large", Table1[[#This Row],[Revenue]]&gt;=200, "Medium", TRUE, "Small")</f>
        <v>Small</v>
      </c>
      <c r="P411" s="4" t="str">
        <f>IF(AND(Table1[[#This Row],[Margin Flag]]="Low", Table1[[#This Row],[Revenue]]&gt;1000), "Review", "")</f>
        <v/>
      </c>
      <c r="Q411" s="4" t="str">
        <f>IF(OR(Table1[[#This Row],[Qty]]&gt;=5,Table1[[#This Row],[Order Size]] = "Large" ), "Bulk", "")</f>
        <v/>
      </c>
      <c r="R411" s="10">
        <f>_xlfn.XLOOKUP(G411, Lookup!$A$2:$A$7, Lookup!$B$2:$B$7, "")</f>
        <v>0.25</v>
      </c>
      <c r="S411" s="4" t="str">
        <f>IF(Table1[[#This Row],[Margin]]&lt;Table1[[#This Row],[Target Margin]], "Yes", "")</f>
        <v/>
      </c>
    </row>
    <row r="412" spans="1:19">
      <c r="A412" t="s">
        <v>457</v>
      </c>
      <c r="B412" s="2">
        <v>46267</v>
      </c>
      <c r="C412" t="s">
        <v>20</v>
      </c>
      <c r="D412" t="s">
        <v>35</v>
      </c>
      <c r="E412">
        <v>2</v>
      </c>
      <c r="F412" t="str">
        <f>_xlfn.XLOOKUP(D412, Products!$A$2:$A$21, Products!$B$2:$B$21, "Not Found")</f>
        <v>Phone Case</v>
      </c>
      <c r="G412" t="str">
        <f>_xlfn.XLOOKUP(D412, Products!$A$2:$A$21, Products!$C$2:$C$21,"not found")</f>
        <v>Accessories</v>
      </c>
      <c r="H412" s="4">
        <f>_xlfn.XLOOKUP(D412, Products!$A$2:$A$21, Products!$E$2:$E$21, 0)</f>
        <v>39</v>
      </c>
      <c r="I412" s="4">
        <f>_xlfn.XLOOKUP(D412, Products!$A$2:$A$21, Products!$F$2:$F$21,0)</f>
        <v>9</v>
      </c>
      <c r="J412" t="str">
        <f>_xlfn.XLOOKUP(C412, Stores!$A$2:$A$7, Stores!$D$2:$D$7)</f>
        <v>Sydney West</v>
      </c>
      <c r="K412" s="4">
        <f t="shared" si="12"/>
        <v>78</v>
      </c>
      <c r="L412" s="4">
        <f t="shared" si="13"/>
        <v>60</v>
      </c>
      <c r="M412" s="10">
        <f>IF(Table1[[#This Row],[Revenue]]=0, "", Table1[[#This Row],[Profit]]/Table1[[#This Row],[Revenue]])</f>
        <v>0.76923076923076927</v>
      </c>
      <c r="N412" s="4" t="str">
        <f>IF(Table1[[#This Row],[Margin]]="", "check", IF(Table1[[#This Row],[Margin]]&lt;0.2, "Low", "OK"))</f>
        <v>OK</v>
      </c>
      <c r="O412" s="4" t="str" cm="1">
        <f t="array" ref="O412">_xlfn.IFS(Table1[[#This Row],[Revenue]]=0, "Check", Table1[[#This Row],[Revenue]]&gt;=1000, "Large", Table1[[#This Row],[Revenue]]&gt;=200, "Medium", TRUE, "Small")</f>
        <v>Small</v>
      </c>
      <c r="P412" s="4" t="str">
        <f>IF(AND(Table1[[#This Row],[Margin Flag]]="Low", Table1[[#This Row],[Revenue]]&gt;1000), "Review", "")</f>
        <v/>
      </c>
      <c r="Q412" s="4" t="str">
        <f>IF(OR(Table1[[#This Row],[Qty]]&gt;=5,Table1[[#This Row],[Order Size]] = "Large" ), "Bulk", "")</f>
        <v/>
      </c>
      <c r="R412" s="10">
        <f>_xlfn.XLOOKUP(G412, Lookup!$A$2:$A$7, Lookup!$B$2:$B$7, "")</f>
        <v>0.25</v>
      </c>
      <c r="S412" s="4" t="str">
        <f>IF(Table1[[#This Row],[Margin]]&lt;Table1[[#This Row],[Target Margin]], "Yes", "")</f>
        <v/>
      </c>
    </row>
    <row r="413" spans="1:19">
      <c r="A413" t="s">
        <v>458</v>
      </c>
      <c r="B413" s="2">
        <v>46267</v>
      </c>
      <c r="C413" t="s">
        <v>57</v>
      </c>
      <c r="D413" t="s">
        <v>69</v>
      </c>
      <c r="E413">
        <v>3</v>
      </c>
      <c r="F413" t="str">
        <f>_xlfn.XLOOKUP(D413, Products!$A$2:$A$21, Products!$B$2:$B$21, "Not Found")</f>
        <v>27in Monitor</v>
      </c>
      <c r="G413" t="str">
        <f>_xlfn.XLOOKUP(D413, Products!$A$2:$A$21, Products!$C$2:$C$21,"not found")</f>
        <v>Computers</v>
      </c>
      <c r="H413" s="4">
        <f>_xlfn.XLOOKUP(D413, Products!$A$2:$A$21, Products!$E$2:$E$21, 0)</f>
        <v>399</v>
      </c>
      <c r="I413" s="4">
        <f>_xlfn.XLOOKUP(D413, Products!$A$2:$A$21, Products!$F$2:$F$21,0)</f>
        <v>290</v>
      </c>
      <c r="J413" t="str">
        <f>_xlfn.XLOOKUP(C413, Stores!$A$2:$A$7, Stores!$D$2:$D$7)</f>
        <v>Sydney South</v>
      </c>
      <c r="K413" s="4">
        <f t="shared" si="12"/>
        <v>1197</v>
      </c>
      <c r="L413" s="4">
        <f t="shared" si="13"/>
        <v>327</v>
      </c>
      <c r="M413" s="10">
        <f>IF(Table1[[#This Row],[Revenue]]=0, "", Table1[[#This Row],[Profit]]/Table1[[#This Row],[Revenue]])</f>
        <v>0.27318295739348369</v>
      </c>
      <c r="N413" s="4" t="str">
        <f>IF(Table1[[#This Row],[Margin]]="", "check", IF(Table1[[#This Row],[Margin]]&lt;0.2, "Low", "OK"))</f>
        <v>OK</v>
      </c>
      <c r="O413" s="4" t="str" cm="1">
        <f t="array" ref="O413">_xlfn.IFS(Table1[[#This Row],[Revenue]]=0, "Check", Table1[[#This Row],[Revenue]]&gt;=1000, "Large", Table1[[#This Row],[Revenue]]&gt;=200, "Medium", TRUE, "Small")</f>
        <v>Large</v>
      </c>
      <c r="P413" s="4" t="str">
        <f>IF(AND(Table1[[#This Row],[Margin Flag]]="Low", Table1[[#This Row],[Revenue]]&gt;1000), "Review", "")</f>
        <v/>
      </c>
      <c r="Q413" s="4" t="str">
        <f>IF(OR(Table1[[#This Row],[Qty]]&gt;=5,Table1[[#This Row],[Order Size]] = "Large" ), "Bulk", "")</f>
        <v>Bulk</v>
      </c>
      <c r="R413" s="10">
        <f>_xlfn.XLOOKUP(G413, Lookup!$A$2:$A$7, Lookup!$B$2:$B$7, "")</f>
        <v>0.25</v>
      </c>
      <c r="S413" s="4" t="str">
        <f>IF(Table1[[#This Row],[Margin]]&lt;Table1[[#This Row],[Target Margin]], "Yes", "")</f>
        <v/>
      </c>
    </row>
    <row r="414" spans="1:19">
      <c r="A414" t="s">
        <v>459</v>
      </c>
      <c r="B414" s="2">
        <v>46267</v>
      </c>
      <c r="C414" t="s">
        <v>57</v>
      </c>
      <c r="D414" t="s">
        <v>21</v>
      </c>
      <c r="E414">
        <v>1</v>
      </c>
      <c r="F414" t="str">
        <f>_xlfn.XLOOKUP(D414, Products!$A$2:$A$21, Products!$B$2:$B$21, "Not Found")</f>
        <v>Gaming Mouse</v>
      </c>
      <c r="G414" t="str">
        <f>_xlfn.XLOOKUP(D414, Products!$A$2:$A$21, Products!$C$2:$C$21,"not found")</f>
        <v>Accessories</v>
      </c>
      <c r="H414" s="4">
        <f>_xlfn.XLOOKUP(D414, Products!$A$2:$A$21, Products!$E$2:$E$21, 0)</f>
        <v>89</v>
      </c>
      <c r="I414" s="4">
        <f>_xlfn.XLOOKUP(D414, Products!$A$2:$A$21, Products!$F$2:$F$21,0)</f>
        <v>41</v>
      </c>
      <c r="J414" t="str">
        <f>_xlfn.XLOOKUP(C414, Stores!$A$2:$A$7, Stores!$D$2:$D$7)</f>
        <v>Sydney South</v>
      </c>
      <c r="K414" s="4">
        <f t="shared" si="12"/>
        <v>89</v>
      </c>
      <c r="L414" s="4">
        <f t="shared" si="13"/>
        <v>48</v>
      </c>
      <c r="M414" s="10">
        <f>IF(Table1[[#This Row],[Revenue]]=0, "", Table1[[#This Row],[Profit]]/Table1[[#This Row],[Revenue]])</f>
        <v>0.5393258426966292</v>
      </c>
      <c r="N414" s="4" t="str">
        <f>IF(Table1[[#This Row],[Margin]]="", "check", IF(Table1[[#This Row],[Margin]]&lt;0.2, "Low", "OK"))</f>
        <v>OK</v>
      </c>
      <c r="O414" s="4" t="str" cm="1">
        <f t="array" ref="O414">_xlfn.IFS(Table1[[#This Row],[Revenue]]=0, "Check", Table1[[#This Row],[Revenue]]&gt;=1000, "Large", Table1[[#This Row],[Revenue]]&gt;=200, "Medium", TRUE, "Small")</f>
        <v>Small</v>
      </c>
      <c r="P414" s="4" t="str">
        <f>IF(AND(Table1[[#This Row],[Margin Flag]]="Low", Table1[[#This Row],[Revenue]]&gt;1000), "Review", "")</f>
        <v/>
      </c>
      <c r="Q414" s="4" t="str">
        <f>IF(OR(Table1[[#This Row],[Qty]]&gt;=5,Table1[[#This Row],[Order Size]] = "Large" ), "Bulk", "")</f>
        <v/>
      </c>
      <c r="R414" s="10">
        <f>_xlfn.XLOOKUP(G414, Lookup!$A$2:$A$7, Lookup!$B$2:$B$7, "")</f>
        <v>0.25</v>
      </c>
      <c r="S414" s="4" t="str">
        <f>IF(Table1[[#This Row],[Margin]]&lt;Table1[[#This Row],[Target Margin]], "Yes", "")</f>
        <v/>
      </c>
    </row>
    <row r="415" spans="1:19">
      <c r="A415" t="s">
        <v>460</v>
      </c>
      <c r="B415" s="2">
        <v>46267</v>
      </c>
      <c r="C415" t="s">
        <v>26</v>
      </c>
      <c r="D415" t="s">
        <v>38</v>
      </c>
      <c r="E415">
        <v>1</v>
      </c>
      <c r="F415" t="str">
        <f>_xlfn.XLOOKUP(D415, Products!$A$2:$A$21, Products!$B$2:$B$21, "Not Found")</f>
        <v>USB-C Charger</v>
      </c>
      <c r="G415" t="str">
        <f>_xlfn.XLOOKUP(D415, Products!$A$2:$A$21, Products!$C$2:$C$21,"not found")</f>
        <v>Accessories</v>
      </c>
      <c r="H415" s="4">
        <f>_xlfn.XLOOKUP(D415, Products!$A$2:$A$21, Products!$E$2:$E$21, 0)</f>
        <v>49</v>
      </c>
      <c r="I415" s="4">
        <f>_xlfn.XLOOKUP(D415, Products!$A$2:$A$21, Products!$F$2:$F$21,0)</f>
        <v>14</v>
      </c>
      <c r="J415" t="str">
        <f>_xlfn.XLOOKUP(C415, Stores!$A$2:$A$7, Stores!$D$2:$D$7)</f>
        <v>Sydney North</v>
      </c>
      <c r="K415" s="4">
        <f t="shared" si="12"/>
        <v>49</v>
      </c>
      <c r="L415" s="4">
        <f t="shared" si="13"/>
        <v>35</v>
      </c>
      <c r="M415" s="10">
        <f>IF(Table1[[#This Row],[Revenue]]=0, "", Table1[[#This Row],[Profit]]/Table1[[#This Row],[Revenue]])</f>
        <v>0.7142857142857143</v>
      </c>
      <c r="N415" s="4" t="str">
        <f>IF(Table1[[#This Row],[Margin]]="", "check", IF(Table1[[#This Row],[Margin]]&lt;0.2, "Low", "OK"))</f>
        <v>OK</v>
      </c>
      <c r="O415" s="4" t="str" cm="1">
        <f t="array" ref="O415">_xlfn.IFS(Table1[[#This Row],[Revenue]]=0, "Check", Table1[[#This Row],[Revenue]]&gt;=1000, "Large", Table1[[#This Row],[Revenue]]&gt;=200, "Medium", TRUE, "Small")</f>
        <v>Small</v>
      </c>
      <c r="P415" s="4" t="str">
        <f>IF(AND(Table1[[#This Row],[Margin Flag]]="Low", Table1[[#This Row],[Revenue]]&gt;1000), "Review", "")</f>
        <v/>
      </c>
      <c r="Q415" s="4" t="str">
        <f>IF(OR(Table1[[#This Row],[Qty]]&gt;=5,Table1[[#This Row],[Order Size]] = "Large" ), "Bulk", "")</f>
        <v/>
      </c>
      <c r="R415" s="10">
        <f>_xlfn.XLOOKUP(G415, Lookup!$A$2:$A$7, Lookup!$B$2:$B$7, "")</f>
        <v>0.25</v>
      </c>
      <c r="S415" s="4" t="str">
        <f>IF(Table1[[#This Row],[Margin]]&lt;Table1[[#This Row],[Target Margin]], "Yes", "")</f>
        <v/>
      </c>
    </row>
    <row r="416" spans="1:19">
      <c r="A416" t="s">
        <v>461</v>
      </c>
      <c r="B416" s="2">
        <v>46267</v>
      </c>
      <c r="C416" t="s">
        <v>57</v>
      </c>
      <c r="D416" t="s">
        <v>67</v>
      </c>
      <c r="E416">
        <v>3</v>
      </c>
      <c r="F416" t="str">
        <f>_xlfn.XLOOKUP(D416, Products!$A$2:$A$21, Products!$B$2:$B$21, "Not Found")</f>
        <v>Soundbar</v>
      </c>
      <c r="G416" t="str">
        <f>_xlfn.XLOOKUP(D416, Products!$A$2:$A$21, Products!$C$2:$C$21,"not found")</f>
        <v>Audio</v>
      </c>
      <c r="H416" s="4">
        <f>_xlfn.XLOOKUP(D416, Products!$A$2:$A$21, Products!$E$2:$E$21, 0)</f>
        <v>699</v>
      </c>
      <c r="I416" s="4">
        <f>_xlfn.XLOOKUP(D416, Products!$A$2:$A$21, Products!$F$2:$F$21,0)</f>
        <v>450</v>
      </c>
      <c r="J416" t="str">
        <f>_xlfn.XLOOKUP(C416, Stores!$A$2:$A$7, Stores!$D$2:$D$7)</f>
        <v>Sydney South</v>
      </c>
      <c r="K416" s="4">
        <f t="shared" si="12"/>
        <v>2097</v>
      </c>
      <c r="L416" s="4">
        <f t="shared" si="13"/>
        <v>747</v>
      </c>
      <c r="M416" s="10">
        <f>IF(Table1[[#This Row],[Revenue]]=0, "", Table1[[#This Row],[Profit]]/Table1[[#This Row],[Revenue]])</f>
        <v>0.35622317596566522</v>
      </c>
      <c r="N416" s="4" t="str">
        <f>IF(Table1[[#This Row],[Margin]]="", "check", IF(Table1[[#This Row],[Margin]]&lt;0.2, "Low", "OK"))</f>
        <v>OK</v>
      </c>
      <c r="O416" s="4" t="str" cm="1">
        <f t="array" ref="O416">_xlfn.IFS(Table1[[#This Row],[Revenue]]=0, "Check", Table1[[#This Row],[Revenue]]&gt;=1000, "Large", Table1[[#This Row],[Revenue]]&gt;=200, "Medium", TRUE, "Small")</f>
        <v>Large</v>
      </c>
      <c r="P416" s="4" t="str">
        <f>IF(AND(Table1[[#This Row],[Margin Flag]]="Low", Table1[[#This Row],[Revenue]]&gt;1000), "Review", "")</f>
        <v/>
      </c>
      <c r="Q416" s="4" t="str">
        <f>IF(OR(Table1[[#This Row],[Qty]]&gt;=5,Table1[[#This Row],[Order Size]] = "Large" ), "Bulk", "")</f>
        <v>Bulk</v>
      </c>
      <c r="R416" s="10">
        <f>_xlfn.XLOOKUP(G416, Lookup!$A$2:$A$7, Lookup!$B$2:$B$7, "")</f>
        <v>0.25</v>
      </c>
      <c r="S416" s="4" t="str">
        <f>IF(Table1[[#This Row],[Margin]]&lt;Table1[[#This Row],[Target Margin]], "Yes", "")</f>
        <v/>
      </c>
    </row>
    <row r="417" spans="1:19">
      <c r="A417" t="s">
        <v>462</v>
      </c>
      <c r="B417" s="2">
        <v>46267</v>
      </c>
      <c r="C417" t="s">
        <v>23</v>
      </c>
      <c r="D417" t="s">
        <v>38</v>
      </c>
      <c r="E417">
        <v>1</v>
      </c>
      <c r="F417" t="str">
        <f>_xlfn.XLOOKUP(D417, Products!$A$2:$A$21, Products!$B$2:$B$21, "Not Found")</f>
        <v>USB-C Charger</v>
      </c>
      <c r="G417" t="str">
        <f>_xlfn.XLOOKUP(D417, Products!$A$2:$A$21, Products!$C$2:$C$21,"not found")</f>
        <v>Accessories</v>
      </c>
      <c r="H417" s="4">
        <f>_xlfn.XLOOKUP(D417, Products!$A$2:$A$21, Products!$E$2:$E$21, 0)</f>
        <v>49</v>
      </c>
      <c r="I417" s="4">
        <f>_xlfn.XLOOKUP(D417, Products!$A$2:$A$21, Products!$F$2:$F$21,0)</f>
        <v>14</v>
      </c>
      <c r="J417" t="str">
        <f>_xlfn.XLOOKUP(C417, Stores!$A$2:$A$7, Stores!$D$2:$D$7)</f>
        <v>Sydney East</v>
      </c>
      <c r="K417" s="4">
        <f t="shared" si="12"/>
        <v>49</v>
      </c>
      <c r="L417" s="4">
        <f t="shared" si="13"/>
        <v>35</v>
      </c>
      <c r="M417" s="10">
        <f>IF(Table1[[#This Row],[Revenue]]=0, "", Table1[[#This Row],[Profit]]/Table1[[#This Row],[Revenue]])</f>
        <v>0.7142857142857143</v>
      </c>
      <c r="N417" s="4" t="str">
        <f>IF(Table1[[#This Row],[Margin]]="", "check", IF(Table1[[#This Row],[Margin]]&lt;0.2, "Low", "OK"))</f>
        <v>OK</v>
      </c>
      <c r="O417" s="4" t="str" cm="1">
        <f t="array" ref="O417">_xlfn.IFS(Table1[[#This Row],[Revenue]]=0, "Check", Table1[[#This Row],[Revenue]]&gt;=1000, "Large", Table1[[#This Row],[Revenue]]&gt;=200, "Medium", TRUE, "Small")</f>
        <v>Small</v>
      </c>
      <c r="P417" s="4" t="str">
        <f>IF(AND(Table1[[#This Row],[Margin Flag]]="Low", Table1[[#This Row],[Revenue]]&gt;1000), "Review", "")</f>
        <v/>
      </c>
      <c r="Q417" s="4" t="str">
        <f>IF(OR(Table1[[#This Row],[Qty]]&gt;=5,Table1[[#This Row],[Order Size]] = "Large" ), "Bulk", "")</f>
        <v/>
      </c>
      <c r="R417" s="10">
        <f>_xlfn.XLOOKUP(G417, Lookup!$A$2:$A$7, Lookup!$B$2:$B$7, "")</f>
        <v>0.25</v>
      </c>
      <c r="S417" s="4" t="str">
        <f>IF(Table1[[#This Row],[Margin]]&lt;Table1[[#This Row],[Target Margin]], "Yes", "")</f>
        <v/>
      </c>
    </row>
    <row r="418" spans="1:19">
      <c r="A418" t="s">
        <v>463</v>
      </c>
      <c r="B418" s="2">
        <v>46267</v>
      </c>
      <c r="C418" t="s">
        <v>26</v>
      </c>
      <c r="D418" t="s">
        <v>54</v>
      </c>
      <c r="E418">
        <v>3</v>
      </c>
      <c r="F418" t="str">
        <f>_xlfn.XLOOKUP(D418, Products!$A$2:$A$21, Products!$B$2:$B$21, "Not Found")</f>
        <v>Tablet 11in</v>
      </c>
      <c r="G418" t="str">
        <f>_xlfn.XLOOKUP(D418, Products!$A$2:$A$21, Products!$C$2:$C$21,"not found")</f>
        <v>Computers</v>
      </c>
      <c r="H418" s="4">
        <f>_xlfn.XLOOKUP(D418, Products!$A$2:$A$21, Products!$E$2:$E$21, 0)</f>
        <v>899</v>
      </c>
      <c r="I418" s="4">
        <f>_xlfn.XLOOKUP(D418, Products!$A$2:$A$21, Products!$F$2:$F$21,0)</f>
        <v>690</v>
      </c>
      <c r="J418" t="str">
        <f>_xlfn.XLOOKUP(C418, Stores!$A$2:$A$7, Stores!$D$2:$D$7)</f>
        <v>Sydney North</v>
      </c>
      <c r="K418" s="4">
        <f t="shared" si="12"/>
        <v>2697</v>
      </c>
      <c r="L418" s="4">
        <f t="shared" si="13"/>
        <v>627</v>
      </c>
      <c r="M418" s="10">
        <f>IF(Table1[[#This Row],[Revenue]]=0, "", Table1[[#This Row],[Profit]]/Table1[[#This Row],[Revenue]])</f>
        <v>0.2324805339265851</v>
      </c>
      <c r="N418" s="4" t="str">
        <f>IF(Table1[[#This Row],[Margin]]="", "check", IF(Table1[[#This Row],[Margin]]&lt;0.2, "Low", "OK"))</f>
        <v>OK</v>
      </c>
      <c r="O418" s="4" t="str" cm="1">
        <f t="array" ref="O418">_xlfn.IFS(Table1[[#This Row],[Revenue]]=0, "Check", Table1[[#This Row],[Revenue]]&gt;=1000, "Large", Table1[[#This Row],[Revenue]]&gt;=200, "Medium", TRUE, "Small")</f>
        <v>Large</v>
      </c>
      <c r="P418" s="4" t="str">
        <f>IF(AND(Table1[[#This Row],[Margin Flag]]="Low", Table1[[#This Row],[Revenue]]&gt;1000), "Review", "")</f>
        <v/>
      </c>
      <c r="Q418" s="4" t="str">
        <f>IF(OR(Table1[[#This Row],[Qty]]&gt;=5,Table1[[#This Row],[Order Size]] = "Large" ), "Bulk", "")</f>
        <v>Bulk</v>
      </c>
      <c r="R418" s="10">
        <f>_xlfn.XLOOKUP(G418, Lookup!$A$2:$A$7, Lookup!$B$2:$B$7, "")</f>
        <v>0.25</v>
      </c>
      <c r="S418" s="4" t="str">
        <f>IF(Table1[[#This Row],[Margin]]&lt;Table1[[#This Row],[Target Margin]], "Yes", "")</f>
        <v>Yes</v>
      </c>
    </row>
    <row r="419" spans="1:19">
      <c r="A419" t="s">
        <v>464</v>
      </c>
      <c r="B419" s="2">
        <v>46267</v>
      </c>
      <c r="C419" t="s">
        <v>57</v>
      </c>
      <c r="D419" t="s">
        <v>21</v>
      </c>
      <c r="E419">
        <v>1</v>
      </c>
      <c r="F419" t="str">
        <f>_xlfn.XLOOKUP(D419, Products!$A$2:$A$21, Products!$B$2:$B$21, "Not Found")</f>
        <v>Gaming Mouse</v>
      </c>
      <c r="G419" t="str">
        <f>_xlfn.XLOOKUP(D419, Products!$A$2:$A$21, Products!$C$2:$C$21,"not found")</f>
        <v>Accessories</v>
      </c>
      <c r="H419" s="4">
        <f>_xlfn.XLOOKUP(D419, Products!$A$2:$A$21, Products!$E$2:$E$21, 0)</f>
        <v>89</v>
      </c>
      <c r="I419" s="4">
        <f>_xlfn.XLOOKUP(D419, Products!$A$2:$A$21, Products!$F$2:$F$21,0)</f>
        <v>41</v>
      </c>
      <c r="J419" t="str">
        <f>_xlfn.XLOOKUP(C419, Stores!$A$2:$A$7, Stores!$D$2:$D$7)</f>
        <v>Sydney South</v>
      </c>
      <c r="K419" s="4">
        <f t="shared" si="12"/>
        <v>89</v>
      </c>
      <c r="L419" s="4">
        <f t="shared" si="13"/>
        <v>48</v>
      </c>
      <c r="M419" s="10">
        <f>IF(Table1[[#This Row],[Revenue]]=0, "", Table1[[#This Row],[Profit]]/Table1[[#This Row],[Revenue]])</f>
        <v>0.5393258426966292</v>
      </c>
      <c r="N419" s="4" t="str">
        <f>IF(Table1[[#This Row],[Margin]]="", "check", IF(Table1[[#This Row],[Margin]]&lt;0.2, "Low", "OK"))</f>
        <v>OK</v>
      </c>
      <c r="O419" s="4" t="str" cm="1">
        <f t="array" ref="O419">_xlfn.IFS(Table1[[#This Row],[Revenue]]=0, "Check", Table1[[#This Row],[Revenue]]&gt;=1000, "Large", Table1[[#This Row],[Revenue]]&gt;=200, "Medium", TRUE, "Small")</f>
        <v>Small</v>
      </c>
      <c r="P419" s="4" t="str">
        <f>IF(AND(Table1[[#This Row],[Margin Flag]]="Low", Table1[[#This Row],[Revenue]]&gt;1000), "Review", "")</f>
        <v/>
      </c>
      <c r="Q419" s="4" t="str">
        <f>IF(OR(Table1[[#This Row],[Qty]]&gt;=5,Table1[[#This Row],[Order Size]] = "Large" ), "Bulk", "")</f>
        <v/>
      </c>
      <c r="R419" s="10">
        <f>_xlfn.XLOOKUP(G419, Lookup!$A$2:$A$7, Lookup!$B$2:$B$7, "")</f>
        <v>0.25</v>
      </c>
      <c r="S419" s="4" t="str">
        <f>IF(Table1[[#This Row],[Margin]]&lt;Table1[[#This Row],[Target Margin]], "Yes", "")</f>
        <v/>
      </c>
    </row>
    <row r="420" spans="1:19">
      <c r="A420" t="s">
        <v>465</v>
      </c>
      <c r="B420" s="2">
        <v>46268</v>
      </c>
      <c r="C420" t="s">
        <v>23</v>
      </c>
      <c r="D420" t="s">
        <v>35</v>
      </c>
      <c r="E420">
        <v>1</v>
      </c>
      <c r="F420" t="str">
        <f>_xlfn.XLOOKUP(D420, Products!$A$2:$A$21, Products!$B$2:$B$21, "Not Found")</f>
        <v>Phone Case</v>
      </c>
      <c r="G420" t="str">
        <f>_xlfn.XLOOKUP(D420, Products!$A$2:$A$21, Products!$C$2:$C$21,"not found")</f>
        <v>Accessories</v>
      </c>
      <c r="H420" s="4">
        <f>_xlfn.XLOOKUP(D420, Products!$A$2:$A$21, Products!$E$2:$E$21, 0)</f>
        <v>39</v>
      </c>
      <c r="I420" s="4">
        <f>_xlfn.XLOOKUP(D420, Products!$A$2:$A$21, Products!$F$2:$F$21,0)</f>
        <v>9</v>
      </c>
      <c r="J420" t="str">
        <f>_xlfn.XLOOKUP(C420, Stores!$A$2:$A$7, Stores!$D$2:$D$7)</f>
        <v>Sydney East</v>
      </c>
      <c r="K420" s="4">
        <f t="shared" si="12"/>
        <v>39</v>
      </c>
      <c r="L420" s="4">
        <f t="shared" si="13"/>
        <v>30</v>
      </c>
      <c r="M420" s="10">
        <f>IF(Table1[[#This Row],[Revenue]]=0, "", Table1[[#This Row],[Profit]]/Table1[[#This Row],[Revenue]])</f>
        <v>0.76923076923076927</v>
      </c>
      <c r="N420" s="4" t="str">
        <f>IF(Table1[[#This Row],[Margin]]="", "check", IF(Table1[[#This Row],[Margin]]&lt;0.2, "Low", "OK"))</f>
        <v>OK</v>
      </c>
      <c r="O420" s="4" t="str" cm="1">
        <f t="array" ref="O420">_xlfn.IFS(Table1[[#This Row],[Revenue]]=0, "Check", Table1[[#This Row],[Revenue]]&gt;=1000, "Large", Table1[[#This Row],[Revenue]]&gt;=200, "Medium", TRUE, "Small")</f>
        <v>Small</v>
      </c>
      <c r="P420" s="4" t="str">
        <f>IF(AND(Table1[[#This Row],[Margin Flag]]="Low", Table1[[#This Row],[Revenue]]&gt;1000), "Review", "")</f>
        <v/>
      </c>
      <c r="Q420" s="4" t="str">
        <f>IF(OR(Table1[[#This Row],[Qty]]&gt;=5,Table1[[#This Row],[Order Size]] = "Large" ), "Bulk", "")</f>
        <v/>
      </c>
      <c r="R420" s="10">
        <f>_xlfn.XLOOKUP(G420, Lookup!$A$2:$A$7, Lookup!$B$2:$B$7, "")</f>
        <v>0.25</v>
      </c>
      <c r="S420" s="4" t="str">
        <f>IF(Table1[[#This Row],[Margin]]&lt;Table1[[#This Row],[Target Margin]], "Yes", "")</f>
        <v/>
      </c>
    </row>
    <row r="421" spans="1:19">
      <c r="A421" t="s">
        <v>466</v>
      </c>
      <c r="B421" s="2">
        <v>46268</v>
      </c>
      <c r="C421" t="s">
        <v>20</v>
      </c>
      <c r="D421" t="s">
        <v>80</v>
      </c>
      <c r="E421">
        <v>2</v>
      </c>
      <c r="F421" t="str">
        <f>_xlfn.XLOOKUP(D421, Products!$A$2:$A$21, Products!$B$2:$B$21, "Not Found")</f>
        <v>Over-Ear Headphones</v>
      </c>
      <c r="G421" t="str">
        <f>_xlfn.XLOOKUP(D421, Products!$A$2:$A$21, Products!$C$2:$C$21,"not found")</f>
        <v>Audio</v>
      </c>
      <c r="H421" s="4">
        <f>_xlfn.XLOOKUP(D421, Products!$A$2:$A$21, Products!$E$2:$E$21, 0)</f>
        <v>499</v>
      </c>
      <c r="I421" s="4">
        <f>_xlfn.XLOOKUP(D421, Products!$A$2:$A$21, Products!$F$2:$F$21,0)</f>
        <v>310</v>
      </c>
      <c r="J421" t="str">
        <f>_xlfn.XLOOKUP(C421, Stores!$A$2:$A$7, Stores!$D$2:$D$7)</f>
        <v>Sydney West</v>
      </c>
      <c r="K421" s="4">
        <f t="shared" si="12"/>
        <v>998</v>
      </c>
      <c r="L421" s="4">
        <f t="shared" si="13"/>
        <v>378</v>
      </c>
      <c r="M421" s="10">
        <f>IF(Table1[[#This Row],[Revenue]]=0, "", Table1[[#This Row],[Profit]]/Table1[[#This Row],[Revenue]])</f>
        <v>0.37875751503006011</v>
      </c>
      <c r="N421" s="4" t="str">
        <f>IF(Table1[[#This Row],[Margin]]="", "check", IF(Table1[[#This Row],[Margin]]&lt;0.2, "Low", "OK"))</f>
        <v>OK</v>
      </c>
      <c r="O421" s="4" t="str" cm="1">
        <f t="array" ref="O421">_xlfn.IFS(Table1[[#This Row],[Revenue]]=0, "Check", Table1[[#This Row],[Revenue]]&gt;=1000, "Large", Table1[[#This Row],[Revenue]]&gt;=200, "Medium", TRUE, "Small")</f>
        <v>Medium</v>
      </c>
      <c r="P421" s="4" t="str">
        <f>IF(AND(Table1[[#This Row],[Margin Flag]]="Low", Table1[[#This Row],[Revenue]]&gt;1000), "Review", "")</f>
        <v/>
      </c>
      <c r="Q421" s="4" t="str">
        <f>IF(OR(Table1[[#This Row],[Qty]]&gt;=5,Table1[[#This Row],[Order Size]] = "Large" ), "Bulk", "")</f>
        <v/>
      </c>
      <c r="R421" s="10">
        <f>_xlfn.XLOOKUP(G421, Lookup!$A$2:$A$7, Lookup!$B$2:$B$7, "")</f>
        <v>0.25</v>
      </c>
      <c r="S421" s="4" t="str">
        <f>IF(Table1[[#This Row],[Margin]]&lt;Table1[[#This Row],[Target Margin]], "Yes", "")</f>
        <v/>
      </c>
    </row>
    <row r="422" spans="1:19">
      <c r="A422" t="s">
        <v>467</v>
      </c>
      <c r="B422" s="2">
        <v>46268</v>
      </c>
      <c r="C422" t="s">
        <v>57</v>
      </c>
      <c r="D422" t="s">
        <v>106</v>
      </c>
      <c r="E422">
        <v>2</v>
      </c>
      <c r="F422" t="str">
        <f>_xlfn.XLOOKUP(D422, Products!$A$2:$A$21, Products!$B$2:$B$21, "Not Found")</f>
        <v>Laptop 14in</v>
      </c>
      <c r="G422" t="str">
        <f>_xlfn.XLOOKUP(D422, Products!$A$2:$A$21, Products!$C$2:$C$21,"not found")</f>
        <v>Computers</v>
      </c>
      <c r="H422" s="4">
        <f>_xlfn.XLOOKUP(D422, Products!$A$2:$A$21, Products!$E$2:$E$21, 0)</f>
        <v>1199</v>
      </c>
      <c r="I422" s="4">
        <f>_xlfn.XLOOKUP(D422, Products!$A$2:$A$21, Products!$F$2:$F$21,0)</f>
        <v>930</v>
      </c>
      <c r="J422" t="str">
        <f>_xlfn.XLOOKUP(C422, Stores!$A$2:$A$7, Stores!$D$2:$D$7)</f>
        <v>Sydney South</v>
      </c>
      <c r="K422" s="4">
        <f t="shared" si="12"/>
        <v>2398</v>
      </c>
      <c r="L422" s="4">
        <f t="shared" si="13"/>
        <v>538</v>
      </c>
      <c r="M422" s="10">
        <f>IF(Table1[[#This Row],[Revenue]]=0, "", Table1[[#This Row],[Profit]]/Table1[[#This Row],[Revenue]])</f>
        <v>0.22435362802335279</v>
      </c>
      <c r="N422" s="4" t="str">
        <f>IF(Table1[[#This Row],[Margin]]="", "check", IF(Table1[[#This Row],[Margin]]&lt;0.2, "Low", "OK"))</f>
        <v>OK</v>
      </c>
      <c r="O422" s="4" t="str" cm="1">
        <f t="array" ref="O422">_xlfn.IFS(Table1[[#This Row],[Revenue]]=0, "Check", Table1[[#This Row],[Revenue]]&gt;=1000, "Large", Table1[[#This Row],[Revenue]]&gt;=200, "Medium", TRUE, "Small")</f>
        <v>Large</v>
      </c>
      <c r="P422" s="4" t="str">
        <f>IF(AND(Table1[[#This Row],[Margin Flag]]="Low", Table1[[#This Row],[Revenue]]&gt;1000), "Review", "")</f>
        <v/>
      </c>
      <c r="Q422" s="4" t="str">
        <f>IF(OR(Table1[[#This Row],[Qty]]&gt;=5,Table1[[#This Row],[Order Size]] = "Large" ), "Bulk", "")</f>
        <v>Bulk</v>
      </c>
      <c r="R422" s="10">
        <f>_xlfn.XLOOKUP(G422, Lookup!$A$2:$A$7, Lookup!$B$2:$B$7, "")</f>
        <v>0.25</v>
      </c>
      <c r="S422" s="4" t="str">
        <f>IF(Table1[[#This Row],[Margin]]&lt;Table1[[#This Row],[Target Margin]], "Yes", "")</f>
        <v>Yes</v>
      </c>
    </row>
    <row r="423" spans="1:19">
      <c r="A423" t="s">
        <v>468</v>
      </c>
      <c r="B423" s="2">
        <v>46268</v>
      </c>
      <c r="C423" t="s">
        <v>26</v>
      </c>
      <c r="D423" t="s">
        <v>99</v>
      </c>
      <c r="E423">
        <v>1</v>
      </c>
      <c r="F423" t="str">
        <f>_xlfn.XLOOKUP(D423, Products!$A$2:$A$21, Products!$B$2:$B$21, "Not Found")</f>
        <v>Smartphone 256GB</v>
      </c>
      <c r="G423" t="str">
        <f>_xlfn.XLOOKUP(D423, Products!$A$2:$A$21, Products!$C$2:$C$21,"not found")</f>
        <v>Phones</v>
      </c>
      <c r="H423" s="4">
        <f>_xlfn.XLOOKUP(D423, Products!$A$2:$A$21, Products!$E$2:$E$21, 0)</f>
        <v>1499</v>
      </c>
      <c r="I423" s="4">
        <f>_xlfn.XLOOKUP(D423, Products!$A$2:$A$21, Products!$F$2:$F$21,0)</f>
        <v>1180</v>
      </c>
      <c r="J423" t="str">
        <f>_xlfn.XLOOKUP(C423, Stores!$A$2:$A$7, Stores!$D$2:$D$7)</f>
        <v>Sydney North</v>
      </c>
      <c r="K423" s="4">
        <f t="shared" si="12"/>
        <v>1499</v>
      </c>
      <c r="L423" s="4">
        <f t="shared" si="13"/>
        <v>319</v>
      </c>
      <c r="M423" s="10">
        <f>IF(Table1[[#This Row],[Revenue]]=0, "", Table1[[#This Row],[Profit]]/Table1[[#This Row],[Revenue]])</f>
        <v>0.21280853902601735</v>
      </c>
      <c r="N423" s="4" t="str">
        <f>IF(Table1[[#This Row],[Margin]]="", "check", IF(Table1[[#This Row],[Margin]]&lt;0.2, "Low", "OK"))</f>
        <v>OK</v>
      </c>
      <c r="O423" s="4" t="str" cm="1">
        <f t="array" ref="O423">_xlfn.IFS(Table1[[#This Row],[Revenue]]=0, "Check", Table1[[#This Row],[Revenue]]&gt;=1000, "Large", Table1[[#This Row],[Revenue]]&gt;=200, "Medium", TRUE, "Small")</f>
        <v>Large</v>
      </c>
      <c r="P423" s="4" t="str">
        <f>IF(AND(Table1[[#This Row],[Margin Flag]]="Low", Table1[[#This Row],[Revenue]]&gt;1000), "Review", "")</f>
        <v/>
      </c>
      <c r="Q423" s="4" t="str">
        <f>IF(OR(Table1[[#This Row],[Qty]]&gt;=5,Table1[[#This Row],[Order Size]] = "Large" ), "Bulk", "")</f>
        <v>Bulk</v>
      </c>
      <c r="R423" s="10">
        <f>_xlfn.XLOOKUP(G423, Lookup!$A$2:$A$7, Lookup!$B$2:$B$7, "")</f>
        <v>0.25</v>
      </c>
      <c r="S423" s="4" t="str">
        <f>IF(Table1[[#This Row],[Margin]]&lt;Table1[[#This Row],[Target Margin]], "Yes", "")</f>
        <v>Yes</v>
      </c>
    </row>
    <row r="424" spans="1:19">
      <c r="A424" t="s">
        <v>469</v>
      </c>
      <c r="B424" s="2">
        <v>46268</v>
      </c>
      <c r="C424" t="s">
        <v>26</v>
      </c>
      <c r="D424" t="s">
        <v>24</v>
      </c>
      <c r="E424">
        <v>1</v>
      </c>
      <c r="F424" t="str">
        <f>_xlfn.XLOOKUP(D424, Products!$A$2:$A$21, Products!$B$2:$B$21, "Not Found")</f>
        <v>Wireless Earbuds</v>
      </c>
      <c r="G424" t="str">
        <f>_xlfn.XLOOKUP(D424, Products!$A$2:$A$21, Products!$C$2:$C$21,"not found")</f>
        <v>Audio</v>
      </c>
      <c r="H424" s="4">
        <f>_xlfn.XLOOKUP(D424, Products!$A$2:$A$21, Products!$E$2:$E$21, 0)</f>
        <v>249</v>
      </c>
      <c r="I424" s="4">
        <f>_xlfn.XLOOKUP(D424, Products!$A$2:$A$21, Products!$F$2:$F$21,0)</f>
        <v>140</v>
      </c>
      <c r="J424" t="str">
        <f>_xlfn.XLOOKUP(C424, Stores!$A$2:$A$7, Stores!$D$2:$D$7)</f>
        <v>Sydney North</v>
      </c>
      <c r="K424" s="4">
        <f t="shared" si="12"/>
        <v>249</v>
      </c>
      <c r="L424" s="4">
        <f t="shared" si="13"/>
        <v>109</v>
      </c>
      <c r="M424" s="10">
        <f>IF(Table1[[#This Row],[Revenue]]=0, "", Table1[[#This Row],[Profit]]/Table1[[#This Row],[Revenue]])</f>
        <v>0.43775100401606426</v>
      </c>
      <c r="N424" s="4" t="str">
        <f>IF(Table1[[#This Row],[Margin]]="", "check", IF(Table1[[#This Row],[Margin]]&lt;0.2, "Low", "OK"))</f>
        <v>OK</v>
      </c>
      <c r="O424" s="4" t="str" cm="1">
        <f t="array" ref="O424">_xlfn.IFS(Table1[[#This Row],[Revenue]]=0, "Check", Table1[[#This Row],[Revenue]]&gt;=1000, "Large", Table1[[#This Row],[Revenue]]&gt;=200, "Medium", TRUE, "Small")</f>
        <v>Medium</v>
      </c>
      <c r="P424" s="4" t="str">
        <f>IF(AND(Table1[[#This Row],[Margin Flag]]="Low", Table1[[#This Row],[Revenue]]&gt;1000), "Review", "")</f>
        <v/>
      </c>
      <c r="Q424" s="4" t="str">
        <f>IF(OR(Table1[[#This Row],[Qty]]&gt;=5,Table1[[#This Row],[Order Size]] = "Large" ), "Bulk", "")</f>
        <v/>
      </c>
      <c r="R424" s="10">
        <f>_xlfn.XLOOKUP(G424, Lookup!$A$2:$A$7, Lookup!$B$2:$B$7, "")</f>
        <v>0.25</v>
      </c>
      <c r="S424" s="4" t="str">
        <f>IF(Table1[[#This Row],[Margin]]&lt;Table1[[#This Row],[Target Margin]], "Yes", "")</f>
        <v/>
      </c>
    </row>
    <row r="425" spans="1:19">
      <c r="A425" t="s">
        <v>470</v>
      </c>
      <c r="B425" s="2">
        <v>46268</v>
      </c>
      <c r="C425" t="s">
        <v>23</v>
      </c>
      <c r="D425" t="s">
        <v>24</v>
      </c>
      <c r="E425">
        <v>4</v>
      </c>
      <c r="F425" t="str">
        <f>_xlfn.XLOOKUP(D425, Products!$A$2:$A$21, Products!$B$2:$B$21, "Not Found")</f>
        <v>Wireless Earbuds</v>
      </c>
      <c r="G425" t="str">
        <f>_xlfn.XLOOKUP(D425, Products!$A$2:$A$21, Products!$C$2:$C$21,"not found")</f>
        <v>Audio</v>
      </c>
      <c r="H425" s="4">
        <f>_xlfn.XLOOKUP(D425, Products!$A$2:$A$21, Products!$E$2:$E$21, 0)</f>
        <v>249</v>
      </c>
      <c r="I425" s="4">
        <f>_xlfn.XLOOKUP(D425, Products!$A$2:$A$21, Products!$F$2:$F$21,0)</f>
        <v>140</v>
      </c>
      <c r="J425" t="str">
        <f>_xlfn.XLOOKUP(C425, Stores!$A$2:$A$7, Stores!$D$2:$D$7)</f>
        <v>Sydney East</v>
      </c>
      <c r="K425" s="4">
        <f t="shared" si="12"/>
        <v>996</v>
      </c>
      <c r="L425" s="4">
        <f t="shared" si="13"/>
        <v>436</v>
      </c>
      <c r="M425" s="10">
        <f>IF(Table1[[#This Row],[Revenue]]=0, "", Table1[[#This Row],[Profit]]/Table1[[#This Row],[Revenue]])</f>
        <v>0.43775100401606426</v>
      </c>
      <c r="N425" s="4" t="str">
        <f>IF(Table1[[#This Row],[Margin]]="", "check", IF(Table1[[#This Row],[Margin]]&lt;0.2, "Low", "OK"))</f>
        <v>OK</v>
      </c>
      <c r="O425" s="4" t="str" cm="1">
        <f t="array" ref="O425">_xlfn.IFS(Table1[[#This Row],[Revenue]]=0, "Check", Table1[[#This Row],[Revenue]]&gt;=1000, "Large", Table1[[#This Row],[Revenue]]&gt;=200, "Medium", TRUE, "Small")</f>
        <v>Medium</v>
      </c>
      <c r="P425" s="4" t="str">
        <f>IF(AND(Table1[[#This Row],[Margin Flag]]="Low", Table1[[#This Row],[Revenue]]&gt;1000), "Review", "")</f>
        <v/>
      </c>
      <c r="Q425" s="4" t="str">
        <f>IF(OR(Table1[[#This Row],[Qty]]&gt;=5,Table1[[#This Row],[Order Size]] = "Large" ), "Bulk", "")</f>
        <v/>
      </c>
      <c r="R425" s="10">
        <f>_xlfn.XLOOKUP(G425, Lookup!$A$2:$A$7, Lookup!$B$2:$B$7, "")</f>
        <v>0.25</v>
      </c>
      <c r="S425" s="4" t="str">
        <f>IF(Table1[[#This Row],[Margin]]&lt;Table1[[#This Row],[Target Margin]], "Yes", "")</f>
        <v/>
      </c>
    </row>
    <row r="426" spans="1:19">
      <c r="A426" t="s">
        <v>471</v>
      </c>
      <c r="B426" s="2">
        <v>46269</v>
      </c>
      <c r="C426" t="s">
        <v>26</v>
      </c>
      <c r="D426" t="s">
        <v>43</v>
      </c>
      <c r="E426">
        <v>1</v>
      </c>
      <c r="F426" t="str">
        <f>_xlfn.XLOOKUP(D426, Products!$A$2:$A$21, Products!$B$2:$B$21, "Not Found")</f>
        <v>Console Controller</v>
      </c>
      <c r="G426" t="str">
        <f>_xlfn.XLOOKUP(D426, Products!$A$2:$A$21, Products!$C$2:$C$21,"not found")</f>
        <v>Gaming</v>
      </c>
      <c r="H426" s="4">
        <f>_xlfn.XLOOKUP(D426, Products!$A$2:$A$21, Products!$E$2:$E$21, 0)</f>
        <v>99</v>
      </c>
      <c r="I426" s="4">
        <f>_xlfn.XLOOKUP(D426, Products!$A$2:$A$21, Products!$F$2:$F$21,0)</f>
        <v>58</v>
      </c>
      <c r="J426" t="str">
        <f>_xlfn.XLOOKUP(C426, Stores!$A$2:$A$7, Stores!$D$2:$D$7)</f>
        <v>Sydney North</v>
      </c>
      <c r="K426" s="4">
        <f t="shared" si="12"/>
        <v>99</v>
      </c>
      <c r="L426" s="4">
        <f t="shared" si="13"/>
        <v>41</v>
      </c>
      <c r="M426" s="10">
        <f>IF(Table1[[#This Row],[Revenue]]=0, "", Table1[[#This Row],[Profit]]/Table1[[#This Row],[Revenue]])</f>
        <v>0.41414141414141414</v>
      </c>
      <c r="N426" s="4" t="str">
        <f>IF(Table1[[#This Row],[Margin]]="", "check", IF(Table1[[#This Row],[Margin]]&lt;0.2, "Low", "OK"))</f>
        <v>OK</v>
      </c>
      <c r="O426" s="4" t="str" cm="1">
        <f t="array" ref="O426">_xlfn.IFS(Table1[[#This Row],[Revenue]]=0, "Check", Table1[[#This Row],[Revenue]]&gt;=1000, "Large", Table1[[#This Row],[Revenue]]&gt;=200, "Medium", TRUE, "Small")</f>
        <v>Small</v>
      </c>
      <c r="P426" s="4" t="str">
        <f>IF(AND(Table1[[#This Row],[Margin Flag]]="Low", Table1[[#This Row],[Revenue]]&gt;1000), "Review", "")</f>
        <v/>
      </c>
      <c r="Q426" s="4" t="str">
        <f>IF(OR(Table1[[#This Row],[Qty]]&gt;=5,Table1[[#This Row],[Order Size]] = "Large" ), "Bulk", "")</f>
        <v/>
      </c>
      <c r="R426" s="10">
        <f>_xlfn.XLOOKUP(G426, Lookup!$A$2:$A$7, Lookup!$B$2:$B$7, "")</f>
        <v>0.08</v>
      </c>
      <c r="S426" s="4" t="str">
        <f>IF(Table1[[#This Row],[Margin]]&lt;Table1[[#This Row],[Target Margin]], "Yes", "")</f>
        <v/>
      </c>
    </row>
    <row r="427" spans="1:19">
      <c r="A427" t="s">
        <v>472</v>
      </c>
      <c r="B427" s="2">
        <v>46269</v>
      </c>
      <c r="C427" t="s">
        <v>32</v>
      </c>
      <c r="D427" t="s">
        <v>21</v>
      </c>
      <c r="E427">
        <v>1</v>
      </c>
      <c r="F427" t="str">
        <f>_xlfn.XLOOKUP(D427, Products!$A$2:$A$21, Products!$B$2:$B$21, "Not Found")</f>
        <v>Gaming Mouse</v>
      </c>
      <c r="G427" t="str">
        <f>_xlfn.XLOOKUP(D427, Products!$A$2:$A$21, Products!$C$2:$C$21,"not found")</f>
        <v>Accessories</v>
      </c>
      <c r="H427" s="4">
        <f>_xlfn.XLOOKUP(D427, Products!$A$2:$A$21, Products!$E$2:$E$21, 0)</f>
        <v>89</v>
      </c>
      <c r="I427" s="4">
        <f>_xlfn.XLOOKUP(D427, Products!$A$2:$A$21, Products!$F$2:$F$21,0)</f>
        <v>41</v>
      </c>
      <c r="J427" t="str">
        <f>_xlfn.XLOOKUP(C427, Stores!$A$2:$A$7, Stores!$D$2:$D$7)</f>
        <v>Sydney South</v>
      </c>
      <c r="K427" s="4">
        <f t="shared" si="12"/>
        <v>89</v>
      </c>
      <c r="L427" s="4">
        <f t="shared" si="13"/>
        <v>48</v>
      </c>
      <c r="M427" s="10">
        <f>IF(Table1[[#This Row],[Revenue]]=0, "", Table1[[#This Row],[Profit]]/Table1[[#This Row],[Revenue]])</f>
        <v>0.5393258426966292</v>
      </c>
      <c r="N427" s="4" t="str">
        <f>IF(Table1[[#This Row],[Margin]]="", "check", IF(Table1[[#This Row],[Margin]]&lt;0.2, "Low", "OK"))</f>
        <v>OK</v>
      </c>
      <c r="O427" s="4" t="str" cm="1">
        <f t="array" ref="O427">_xlfn.IFS(Table1[[#This Row],[Revenue]]=0, "Check", Table1[[#This Row],[Revenue]]&gt;=1000, "Large", Table1[[#This Row],[Revenue]]&gt;=200, "Medium", TRUE, "Small")</f>
        <v>Small</v>
      </c>
      <c r="P427" s="4" t="str">
        <f>IF(AND(Table1[[#This Row],[Margin Flag]]="Low", Table1[[#This Row],[Revenue]]&gt;1000), "Review", "")</f>
        <v/>
      </c>
      <c r="Q427" s="4" t="str">
        <f>IF(OR(Table1[[#This Row],[Qty]]&gt;=5,Table1[[#This Row],[Order Size]] = "Large" ), "Bulk", "")</f>
        <v/>
      </c>
      <c r="R427" s="10">
        <f>_xlfn.XLOOKUP(G427, Lookup!$A$2:$A$7, Lookup!$B$2:$B$7, "")</f>
        <v>0.25</v>
      </c>
      <c r="S427" s="4" t="str">
        <f>IF(Table1[[#This Row],[Margin]]&lt;Table1[[#This Row],[Target Margin]], "Yes", "")</f>
        <v/>
      </c>
    </row>
    <row r="428" spans="1:19">
      <c r="A428" t="s">
        <v>473</v>
      </c>
      <c r="B428" s="2">
        <v>46269</v>
      </c>
      <c r="C428" t="s">
        <v>57</v>
      </c>
      <c r="D428" t="s">
        <v>69</v>
      </c>
      <c r="E428">
        <v>1</v>
      </c>
      <c r="F428" t="str">
        <f>_xlfn.XLOOKUP(D428, Products!$A$2:$A$21, Products!$B$2:$B$21, "Not Found")</f>
        <v>27in Monitor</v>
      </c>
      <c r="G428" t="str">
        <f>_xlfn.XLOOKUP(D428, Products!$A$2:$A$21, Products!$C$2:$C$21,"not found")</f>
        <v>Computers</v>
      </c>
      <c r="H428" s="4">
        <f>_xlfn.XLOOKUP(D428, Products!$A$2:$A$21, Products!$E$2:$E$21, 0)</f>
        <v>399</v>
      </c>
      <c r="I428" s="4">
        <f>_xlfn.XLOOKUP(D428, Products!$A$2:$A$21, Products!$F$2:$F$21,0)</f>
        <v>290</v>
      </c>
      <c r="J428" t="str">
        <f>_xlfn.XLOOKUP(C428, Stores!$A$2:$A$7, Stores!$D$2:$D$7)</f>
        <v>Sydney South</v>
      </c>
      <c r="K428" s="4">
        <f t="shared" si="12"/>
        <v>399</v>
      </c>
      <c r="L428" s="4">
        <f t="shared" si="13"/>
        <v>109</v>
      </c>
      <c r="M428" s="10">
        <f>IF(Table1[[#This Row],[Revenue]]=0, "", Table1[[#This Row],[Profit]]/Table1[[#This Row],[Revenue]])</f>
        <v>0.27318295739348369</v>
      </c>
      <c r="N428" s="4" t="str">
        <f>IF(Table1[[#This Row],[Margin]]="", "check", IF(Table1[[#This Row],[Margin]]&lt;0.2, "Low", "OK"))</f>
        <v>OK</v>
      </c>
      <c r="O428" s="4" t="str" cm="1">
        <f t="array" ref="O428">_xlfn.IFS(Table1[[#This Row],[Revenue]]=0, "Check", Table1[[#This Row],[Revenue]]&gt;=1000, "Large", Table1[[#This Row],[Revenue]]&gt;=200, "Medium", TRUE, "Small")</f>
        <v>Medium</v>
      </c>
      <c r="P428" s="4" t="str">
        <f>IF(AND(Table1[[#This Row],[Margin Flag]]="Low", Table1[[#This Row],[Revenue]]&gt;1000), "Review", "")</f>
        <v/>
      </c>
      <c r="Q428" s="4" t="str">
        <f>IF(OR(Table1[[#This Row],[Qty]]&gt;=5,Table1[[#This Row],[Order Size]] = "Large" ), "Bulk", "")</f>
        <v/>
      </c>
      <c r="R428" s="10">
        <f>_xlfn.XLOOKUP(G428, Lookup!$A$2:$A$7, Lookup!$B$2:$B$7, "")</f>
        <v>0.25</v>
      </c>
      <c r="S428" s="4" t="str">
        <f>IF(Table1[[#This Row],[Margin]]&lt;Table1[[#This Row],[Target Margin]], "Yes", "")</f>
        <v/>
      </c>
    </row>
    <row r="429" spans="1:19">
      <c r="A429" t="s">
        <v>474</v>
      </c>
      <c r="B429" s="2">
        <v>46269</v>
      </c>
      <c r="C429" t="s">
        <v>26</v>
      </c>
      <c r="D429" t="s">
        <v>58</v>
      </c>
      <c r="E429">
        <v>1</v>
      </c>
      <c r="F429" t="str">
        <f>_xlfn.XLOOKUP(D429, Products!$A$2:$A$21, Products!$B$2:$B$21, "Not Found")</f>
        <v>Mech Keyboard</v>
      </c>
      <c r="G429" t="str">
        <f>_xlfn.XLOOKUP(D429, Products!$A$2:$A$21, Products!$C$2:$C$21,"not found")</f>
        <v>Accessories</v>
      </c>
      <c r="H429" s="4">
        <f>_xlfn.XLOOKUP(D429, Products!$A$2:$A$21, Products!$E$2:$E$21, 0)</f>
        <v>149</v>
      </c>
      <c r="I429" s="4">
        <f>_xlfn.XLOOKUP(D429, Products!$A$2:$A$21, Products!$F$2:$F$21,0)</f>
        <v>72</v>
      </c>
      <c r="J429" t="str">
        <f>_xlfn.XLOOKUP(C429, Stores!$A$2:$A$7, Stores!$D$2:$D$7)</f>
        <v>Sydney North</v>
      </c>
      <c r="K429" s="4">
        <f t="shared" si="12"/>
        <v>149</v>
      </c>
      <c r="L429" s="4">
        <f t="shared" si="13"/>
        <v>77</v>
      </c>
      <c r="M429" s="10">
        <f>IF(Table1[[#This Row],[Revenue]]=0, "", Table1[[#This Row],[Profit]]/Table1[[#This Row],[Revenue]])</f>
        <v>0.51677852348993292</v>
      </c>
      <c r="N429" s="4" t="str">
        <f>IF(Table1[[#This Row],[Margin]]="", "check", IF(Table1[[#This Row],[Margin]]&lt;0.2, "Low", "OK"))</f>
        <v>OK</v>
      </c>
      <c r="O429" s="4" t="str" cm="1">
        <f t="array" ref="O429">_xlfn.IFS(Table1[[#This Row],[Revenue]]=0, "Check", Table1[[#This Row],[Revenue]]&gt;=1000, "Large", Table1[[#This Row],[Revenue]]&gt;=200, "Medium", TRUE, "Small")</f>
        <v>Small</v>
      </c>
      <c r="P429" s="4" t="str">
        <f>IF(AND(Table1[[#This Row],[Margin Flag]]="Low", Table1[[#This Row],[Revenue]]&gt;1000), "Review", "")</f>
        <v/>
      </c>
      <c r="Q429" s="4" t="str">
        <f>IF(OR(Table1[[#This Row],[Qty]]&gt;=5,Table1[[#This Row],[Order Size]] = "Large" ), "Bulk", "")</f>
        <v/>
      </c>
      <c r="R429" s="10">
        <f>_xlfn.XLOOKUP(G429, Lookup!$A$2:$A$7, Lookup!$B$2:$B$7, "")</f>
        <v>0.25</v>
      </c>
      <c r="S429" s="4" t="str">
        <f>IF(Table1[[#This Row],[Margin]]&lt;Table1[[#This Row],[Target Margin]], "Yes", "")</f>
        <v/>
      </c>
    </row>
    <row r="430" spans="1:19">
      <c r="A430" t="s">
        <v>475</v>
      </c>
      <c r="B430" s="2">
        <v>46269</v>
      </c>
      <c r="C430" t="s">
        <v>57</v>
      </c>
      <c r="D430" t="s">
        <v>80</v>
      </c>
      <c r="E430">
        <v>1</v>
      </c>
      <c r="F430" t="str">
        <f>_xlfn.XLOOKUP(D430, Products!$A$2:$A$21, Products!$B$2:$B$21, "Not Found")</f>
        <v>Over-Ear Headphones</v>
      </c>
      <c r="G430" t="str">
        <f>_xlfn.XLOOKUP(D430, Products!$A$2:$A$21, Products!$C$2:$C$21,"not found")</f>
        <v>Audio</v>
      </c>
      <c r="H430" s="4">
        <f>_xlfn.XLOOKUP(D430, Products!$A$2:$A$21, Products!$E$2:$E$21, 0)</f>
        <v>499</v>
      </c>
      <c r="I430" s="4">
        <f>_xlfn.XLOOKUP(D430, Products!$A$2:$A$21, Products!$F$2:$F$21,0)</f>
        <v>310</v>
      </c>
      <c r="J430" t="str">
        <f>_xlfn.XLOOKUP(C430, Stores!$A$2:$A$7, Stores!$D$2:$D$7)</f>
        <v>Sydney South</v>
      </c>
      <c r="K430" s="4">
        <f t="shared" si="12"/>
        <v>499</v>
      </c>
      <c r="L430" s="4">
        <f t="shared" si="13"/>
        <v>189</v>
      </c>
      <c r="M430" s="10">
        <f>IF(Table1[[#This Row],[Revenue]]=0, "", Table1[[#This Row],[Profit]]/Table1[[#This Row],[Revenue]])</f>
        <v>0.37875751503006011</v>
      </c>
      <c r="N430" s="4" t="str">
        <f>IF(Table1[[#This Row],[Margin]]="", "check", IF(Table1[[#This Row],[Margin]]&lt;0.2, "Low", "OK"))</f>
        <v>OK</v>
      </c>
      <c r="O430" s="4" t="str" cm="1">
        <f t="array" ref="O430">_xlfn.IFS(Table1[[#This Row],[Revenue]]=0, "Check", Table1[[#This Row],[Revenue]]&gt;=1000, "Large", Table1[[#This Row],[Revenue]]&gt;=200, "Medium", TRUE, "Small")</f>
        <v>Medium</v>
      </c>
      <c r="P430" s="4" t="str">
        <f>IF(AND(Table1[[#This Row],[Margin Flag]]="Low", Table1[[#This Row],[Revenue]]&gt;1000), "Review", "")</f>
        <v/>
      </c>
      <c r="Q430" s="4" t="str">
        <f>IF(OR(Table1[[#This Row],[Qty]]&gt;=5,Table1[[#This Row],[Order Size]] = "Large" ), "Bulk", "")</f>
        <v/>
      </c>
      <c r="R430" s="10">
        <f>_xlfn.XLOOKUP(G430, Lookup!$A$2:$A$7, Lookup!$B$2:$B$7, "")</f>
        <v>0.25</v>
      </c>
      <c r="S430" s="4" t="str">
        <f>IF(Table1[[#This Row],[Margin]]&lt;Table1[[#This Row],[Target Margin]], "Yes", "")</f>
        <v/>
      </c>
    </row>
    <row r="431" spans="1:19">
      <c r="A431" t="s">
        <v>476</v>
      </c>
      <c r="B431" s="2">
        <v>46269</v>
      </c>
      <c r="C431" t="s">
        <v>26</v>
      </c>
      <c r="D431" t="s">
        <v>60</v>
      </c>
      <c r="E431">
        <v>4</v>
      </c>
      <c r="F431" t="str">
        <f>_xlfn.XLOOKUP(D431, Products!$A$2:$A$21, Products!$B$2:$B$21, "Not Found")</f>
        <v>55in TV</v>
      </c>
      <c r="G431" t="str">
        <f>_xlfn.XLOOKUP(D431, Products!$A$2:$A$21, Products!$C$2:$C$21,"not found")</f>
        <v>TV</v>
      </c>
      <c r="H431" s="4">
        <f>_xlfn.XLOOKUP(D431, Products!$A$2:$A$21, Products!$E$2:$E$21, 0)</f>
        <v>1299</v>
      </c>
      <c r="I431" s="4">
        <f>_xlfn.XLOOKUP(D431, Products!$A$2:$A$21, Products!$F$2:$F$21,0)</f>
        <v>980</v>
      </c>
      <c r="J431" t="str">
        <f>_xlfn.XLOOKUP(C431, Stores!$A$2:$A$7, Stores!$D$2:$D$7)</f>
        <v>Sydney North</v>
      </c>
      <c r="K431" s="4">
        <f t="shared" si="12"/>
        <v>5196</v>
      </c>
      <c r="L431" s="4">
        <f t="shared" si="13"/>
        <v>1276</v>
      </c>
      <c r="M431" s="10">
        <f>IF(Table1[[#This Row],[Revenue]]=0, "", Table1[[#This Row],[Profit]]/Table1[[#This Row],[Revenue]])</f>
        <v>0.2455735180908391</v>
      </c>
      <c r="N431" s="4" t="str">
        <f>IF(Table1[[#This Row],[Margin]]="", "check", IF(Table1[[#This Row],[Margin]]&lt;0.2, "Low", "OK"))</f>
        <v>OK</v>
      </c>
      <c r="O431" s="4" t="str" cm="1">
        <f t="array" ref="O431">_xlfn.IFS(Table1[[#This Row],[Revenue]]=0, "Check", Table1[[#This Row],[Revenue]]&gt;=1000, "Large", Table1[[#This Row],[Revenue]]&gt;=200, "Medium", TRUE, "Small")</f>
        <v>Large</v>
      </c>
      <c r="P431" s="4" t="str">
        <f>IF(AND(Table1[[#This Row],[Margin Flag]]="Low", Table1[[#This Row],[Revenue]]&gt;1000), "Review", "")</f>
        <v/>
      </c>
      <c r="Q431" s="4" t="str">
        <f>IF(OR(Table1[[#This Row],[Qty]]&gt;=5,Table1[[#This Row],[Order Size]] = "Large" ), "Bulk", "")</f>
        <v>Bulk</v>
      </c>
      <c r="R431" s="10">
        <f>_xlfn.XLOOKUP(G431, Lookup!$A$2:$A$7, Lookup!$B$2:$B$7, "")</f>
        <v>0.25</v>
      </c>
      <c r="S431" s="4" t="str">
        <f>IF(Table1[[#This Row],[Margin]]&lt;Table1[[#This Row],[Target Margin]], "Yes", "")</f>
        <v>Yes</v>
      </c>
    </row>
    <row r="432" spans="1:19">
      <c r="A432" t="s">
        <v>477</v>
      </c>
      <c r="B432" s="2">
        <v>46269</v>
      </c>
      <c r="C432" t="s">
        <v>29</v>
      </c>
      <c r="D432" t="s">
        <v>38</v>
      </c>
      <c r="E432">
        <v>2</v>
      </c>
      <c r="F432" t="str">
        <f>_xlfn.XLOOKUP(D432, Products!$A$2:$A$21, Products!$B$2:$B$21, "Not Found")</f>
        <v>USB-C Charger</v>
      </c>
      <c r="G432" t="str">
        <f>_xlfn.XLOOKUP(D432, Products!$A$2:$A$21, Products!$C$2:$C$21,"not found")</f>
        <v>Accessories</v>
      </c>
      <c r="H432" s="4">
        <f>_xlfn.XLOOKUP(D432, Products!$A$2:$A$21, Products!$E$2:$E$21, 0)</f>
        <v>49</v>
      </c>
      <c r="I432" s="4">
        <f>_xlfn.XLOOKUP(D432, Products!$A$2:$A$21, Products!$F$2:$F$21,0)</f>
        <v>14</v>
      </c>
      <c r="J432" t="str">
        <f>_xlfn.XLOOKUP(C432, Stores!$A$2:$A$7, Stores!$D$2:$D$7)</f>
        <v>Sydney West</v>
      </c>
      <c r="K432" s="4">
        <f t="shared" si="12"/>
        <v>98</v>
      </c>
      <c r="L432" s="4">
        <f t="shared" si="13"/>
        <v>70</v>
      </c>
      <c r="M432" s="10">
        <f>IF(Table1[[#This Row],[Revenue]]=0, "", Table1[[#This Row],[Profit]]/Table1[[#This Row],[Revenue]])</f>
        <v>0.7142857142857143</v>
      </c>
      <c r="N432" s="4" t="str">
        <f>IF(Table1[[#This Row],[Margin]]="", "check", IF(Table1[[#This Row],[Margin]]&lt;0.2, "Low", "OK"))</f>
        <v>OK</v>
      </c>
      <c r="O432" s="4" t="str" cm="1">
        <f t="array" ref="O432">_xlfn.IFS(Table1[[#This Row],[Revenue]]=0, "Check", Table1[[#This Row],[Revenue]]&gt;=1000, "Large", Table1[[#This Row],[Revenue]]&gt;=200, "Medium", TRUE, "Small")</f>
        <v>Small</v>
      </c>
      <c r="P432" s="4" t="str">
        <f>IF(AND(Table1[[#This Row],[Margin Flag]]="Low", Table1[[#This Row],[Revenue]]&gt;1000), "Review", "")</f>
        <v/>
      </c>
      <c r="Q432" s="4" t="str">
        <f>IF(OR(Table1[[#This Row],[Qty]]&gt;=5,Table1[[#This Row],[Order Size]] = "Large" ), "Bulk", "")</f>
        <v/>
      </c>
      <c r="R432" s="10">
        <f>_xlfn.XLOOKUP(G432, Lookup!$A$2:$A$7, Lookup!$B$2:$B$7, "")</f>
        <v>0.25</v>
      </c>
      <c r="S432" s="4" t="str">
        <f>IF(Table1[[#This Row],[Margin]]&lt;Table1[[#This Row],[Target Margin]], "Yes", "")</f>
        <v/>
      </c>
    </row>
    <row r="433" spans="1:19">
      <c r="A433" t="s">
        <v>478</v>
      </c>
      <c r="B433" s="2">
        <v>46269</v>
      </c>
      <c r="C433" t="s">
        <v>23</v>
      </c>
      <c r="D433" t="s">
        <v>50</v>
      </c>
      <c r="E433">
        <v>1</v>
      </c>
      <c r="F433" t="str">
        <f>_xlfn.XLOOKUP(D433, Products!$A$2:$A$21, Products!$B$2:$B$21, "Not Found")</f>
        <v>Smartphone 128GB</v>
      </c>
      <c r="G433" t="str">
        <f>_xlfn.XLOOKUP(D433, Products!$A$2:$A$21, Products!$C$2:$C$21,"not found")</f>
        <v>Phones</v>
      </c>
      <c r="H433" s="4">
        <f>_xlfn.XLOOKUP(D433, Products!$A$2:$A$21, Products!$E$2:$E$21, 0)</f>
        <v>1099</v>
      </c>
      <c r="I433" s="4">
        <f>_xlfn.XLOOKUP(D433, Products!$A$2:$A$21, Products!$F$2:$F$21,0)</f>
        <v>860</v>
      </c>
      <c r="J433" t="str">
        <f>_xlfn.XLOOKUP(C433, Stores!$A$2:$A$7, Stores!$D$2:$D$7)</f>
        <v>Sydney East</v>
      </c>
      <c r="K433" s="4">
        <f t="shared" si="12"/>
        <v>1099</v>
      </c>
      <c r="L433" s="4">
        <f t="shared" si="13"/>
        <v>239</v>
      </c>
      <c r="M433" s="10">
        <f>IF(Table1[[#This Row],[Revenue]]=0, "", Table1[[#This Row],[Profit]]/Table1[[#This Row],[Revenue]])</f>
        <v>0.21747042766151045</v>
      </c>
      <c r="N433" s="4" t="str">
        <f>IF(Table1[[#This Row],[Margin]]="", "check", IF(Table1[[#This Row],[Margin]]&lt;0.2, "Low", "OK"))</f>
        <v>OK</v>
      </c>
      <c r="O433" s="4" t="str" cm="1">
        <f t="array" ref="O433">_xlfn.IFS(Table1[[#This Row],[Revenue]]=0, "Check", Table1[[#This Row],[Revenue]]&gt;=1000, "Large", Table1[[#This Row],[Revenue]]&gt;=200, "Medium", TRUE, "Small")</f>
        <v>Large</v>
      </c>
      <c r="P433" s="4" t="str">
        <f>IF(AND(Table1[[#This Row],[Margin Flag]]="Low", Table1[[#This Row],[Revenue]]&gt;1000), "Review", "")</f>
        <v/>
      </c>
      <c r="Q433" s="4" t="str">
        <f>IF(OR(Table1[[#This Row],[Qty]]&gt;=5,Table1[[#This Row],[Order Size]] = "Large" ), "Bulk", "")</f>
        <v>Bulk</v>
      </c>
      <c r="R433" s="10">
        <f>_xlfn.XLOOKUP(G433, Lookup!$A$2:$A$7, Lookup!$B$2:$B$7, "")</f>
        <v>0.25</v>
      </c>
      <c r="S433" s="4" t="str">
        <f>IF(Table1[[#This Row],[Margin]]&lt;Table1[[#This Row],[Target Margin]], "Yes", "")</f>
        <v>Yes</v>
      </c>
    </row>
    <row r="434" spans="1:19">
      <c r="A434" t="s">
        <v>479</v>
      </c>
      <c r="B434" s="2">
        <v>46269</v>
      </c>
      <c r="C434" t="s">
        <v>32</v>
      </c>
      <c r="D434" t="s">
        <v>21</v>
      </c>
      <c r="E434">
        <v>2</v>
      </c>
      <c r="F434" t="str">
        <f>_xlfn.XLOOKUP(D434, Products!$A$2:$A$21, Products!$B$2:$B$21, "Not Found")</f>
        <v>Gaming Mouse</v>
      </c>
      <c r="G434" t="str">
        <f>_xlfn.XLOOKUP(D434, Products!$A$2:$A$21, Products!$C$2:$C$21,"not found")</f>
        <v>Accessories</v>
      </c>
      <c r="H434" s="4">
        <f>_xlfn.XLOOKUP(D434, Products!$A$2:$A$21, Products!$E$2:$E$21, 0)</f>
        <v>89</v>
      </c>
      <c r="I434" s="4">
        <f>_xlfn.XLOOKUP(D434, Products!$A$2:$A$21, Products!$F$2:$F$21,0)</f>
        <v>41</v>
      </c>
      <c r="J434" t="str">
        <f>_xlfn.XLOOKUP(C434, Stores!$A$2:$A$7, Stores!$D$2:$D$7)</f>
        <v>Sydney South</v>
      </c>
      <c r="K434" s="4">
        <f t="shared" si="12"/>
        <v>178</v>
      </c>
      <c r="L434" s="4">
        <f t="shared" si="13"/>
        <v>96</v>
      </c>
      <c r="M434" s="10">
        <f>IF(Table1[[#This Row],[Revenue]]=0, "", Table1[[#This Row],[Profit]]/Table1[[#This Row],[Revenue]])</f>
        <v>0.5393258426966292</v>
      </c>
      <c r="N434" s="4" t="str">
        <f>IF(Table1[[#This Row],[Margin]]="", "check", IF(Table1[[#This Row],[Margin]]&lt;0.2, "Low", "OK"))</f>
        <v>OK</v>
      </c>
      <c r="O434" s="4" t="str" cm="1">
        <f t="array" ref="O434">_xlfn.IFS(Table1[[#This Row],[Revenue]]=0, "Check", Table1[[#This Row],[Revenue]]&gt;=1000, "Large", Table1[[#This Row],[Revenue]]&gt;=200, "Medium", TRUE, "Small")</f>
        <v>Small</v>
      </c>
      <c r="P434" s="4" t="str">
        <f>IF(AND(Table1[[#This Row],[Margin Flag]]="Low", Table1[[#This Row],[Revenue]]&gt;1000), "Review", "")</f>
        <v/>
      </c>
      <c r="Q434" s="4" t="str">
        <f>IF(OR(Table1[[#This Row],[Qty]]&gt;=5,Table1[[#This Row],[Order Size]] = "Large" ), "Bulk", "")</f>
        <v/>
      </c>
      <c r="R434" s="10">
        <f>_xlfn.XLOOKUP(G434, Lookup!$A$2:$A$7, Lookup!$B$2:$B$7, "")</f>
        <v>0.25</v>
      </c>
      <c r="S434" s="4" t="str">
        <f>IF(Table1[[#This Row],[Margin]]&lt;Table1[[#This Row],[Target Margin]], "Yes", "")</f>
        <v/>
      </c>
    </row>
    <row r="435" spans="1:19">
      <c r="A435" t="s">
        <v>480</v>
      </c>
      <c r="B435" s="2">
        <v>46269</v>
      </c>
      <c r="C435" t="s">
        <v>23</v>
      </c>
      <c r="D435" t="s">
        <v>152</v>
      </c>
      <c r="E435">
        <v>3</v>
      </c>
      <c r="F435" t="str">
        <f>_xlfn.XLOOKUP(D435, Products!$A$2:$A$21, Products!$B$2:$B$21, "Not Found")</f>
        <v>Game Console</v>
      </c>
      <c r="G435" t="str">
        <f>_xlfn.XLOOKUP(D435, Products!$A$2:$A$21, Products!$C$2:$C$21,"not found")</f>
        <v>Gaming</v>
      </c>
      <c r="H435" s="4">
        <f>_xlfn.XLOOKUP(D435, Products!$A$2:$A$21, Products!$E$2:$E$21, 0)</f>
        <v>499</v>
      </c>
      <c r="I435" s="4">
        <f>_xlfn.XLOOKUP(D435, Products!$A$2:$A$21, Products!$F$2:$F$21,0)</f>
        <v>420</v>
      </c>
      <c r="J435" t="str">
        <f>_xlfn.XLOOKUP(C435, Stores!$A$2:$A$7, Stores!$D$2:$D$7)</f>
        <v>Sydney East</v>
      </c>
      <c r="K435" s="4">
        <f t="shared" si="12"/>
        <v>1497</v>
      </c>
      <c r="L435" s="4">
        <f t="shared" si="13"/>
        <v>237</v>
      </c>
      <c r="M435" s="10">
        <f>IF(Table1[[#This Row],[Revenue]]=0, "", Table1[[#This Row],[Profit]]/Table1[[#This Row],[Revenue]])</f>
        <v>0.15831663326653306</v>
      </c>
      <c r="N435" s="4" t="str">
        <f>IF(Table1[[#This Row],[Margin]]="", "check", IF(Table1[[#This Row],[Margin]]&lt;0.2, "Low", "OK"))</f>
        <v>Low</v>
      </c>
      <c r="O435" s="4" t="str" cm="1">
        <f t="array" ref="O435">_xlfn.IFS(Table1[[#This Row],[Revenue]]=0, "Check", Table1[[#This Row],[Revenue]]&gt;=1000, "Large", Table1[[#This Row],[Revenue]]&gt;=200, "Medium", TRUE, "Small")</f>
        <v>Large</v>
      </c>
      <c r="P435" s="4" t="str">
        <f>IF(AND(Table1[[#This Row],[Margin Flag]]="Low", Table1[[#This Row],[Revenue]]&gt;1000), "Review", "")</f>
        <v>Review</v>
      </c>
      <c r="Q435" s="4" t="str">
        <f>IF(OR(Table1[[#This Row],[Qty]]&gt;=5,Table1[[#This Row],[Order Size]] = "Large" ), "Bulk", "")</f>
        <v>Bulk</v>
      </c>
      <c r="R435" s="10">
        <f>_xlfn.XLOOKUP(G435, Lookup!$A$2:$A$7, Lookup!$B$2:$B$7, "")</f>
        <v>0.08</v>
      </c>
      <c r="S435" s="4" t="str">
        <f>IF(Table1[[#This Row],[Margin]]&lt;Table1[[#This Row],[Target Margin]], "Yes", "")</f>
        <v/>
      </c>
    </row>
    <row r="436" spans="1:19">
      <c r="A436" t="s">
        <v>481</v>
      </c>
      <c r="B436" s="2">
        <v>46269</v>
      </c>
      <c r="C436" t="s">
        <v>32</v>
      </c>
      <c r="D436" t="s">
        <v>30</v>
      </c>
      <c r="E436">
        <v>1</v>
      </c>
      <c r="F436" t="str">
        <f>_xlfn.XLOOKUP(D436, Products!$A$2:$A$21, Products!$B$2:$B$21, "Not Found")</f>
        <v>Video Game</v>
      </c>
      <c r="G436" t="str">
        <f>_xlfn.XLOOKUP(D436, Products!$A$2:$A$21, Products!$C$2:$C$21,"not found")</f>
        <v>Gaming</v>
      </c>
      <c r="H436" s="4">
        <f>_xlfn.XLOOKUP(D436, Products!$A$2:$A$21, Products!$E$2:$E$21, 0)</f>
        <v>79</v>
      </c>
      <c r="I436" s="4">
        <f>_xlfn.XLOOKUP(D436, Products!$A$2:$A$21, Products!$F$2:$F$21,0)</f>
        <v>52</v>
      </c>
      <c r="J436" t="str">
        <f>_xlfn.XLOOKUP(C436, Stores!$A$2:$A$7, Stores!$D$2:$D$7)</f>
        <v>Sydney South</v>
      </c>
      <c r="K436" s="4">
        <f t="shared" si="12"/>
        <v>79</v>
      </c>
      <c r="L436" s="4">
        <f t="shared" si="13"/>
        <v>27</v>
      </c>
      <c r="M436" s="10">
        <f>IF(Table1[[#This Row],[Revenue]]=0, "", Table1[[#This Row],[Profit]]/Table1[[#This Row],[Revenue]])</f>
        <v>0.34177215189873417</v>
      </c>
      <c r="N436" s="4" t="str">
        <f>IF(Table1[[#This Row],[Margin]]="", "check", IF(Table1[[#This Row],[Margin]]&lt;0.2, "Low", "OK"))</f>
        <v>OK</v>
      </c>
      <c r="O436" s="4" t="str" cm="1">
        <f t="array" ref="O436">_xlfn.IFS(Table1[[#This Row],[Revenue]]=0, "Check", Table1[[#This Row],[Revenue]]&gt;=1000, "Large", Table1[[#This Row],[Revenue]]&gt;=200, "Medium", TRUE, "Small")</f>
        <v>Small</v>
      </c>
      <c r="P436" s="4" t="str">
        <f>IF(AND(Table1[[#This Row],[Margin Flag]]="Low", Table1[[#This Row],[Revenue]]&gt;1000), "Review", "")</f>
        <v/>
      </c>
      <c r="Q436" s="4" t="str">
        <f>IF(OR(Table1[[#This Row],[Qty]]&gt;=5,Table1[[#This Row],[Order Size]] = "Large" ), "Bulk", "")</f>
        <v/>
      </c>
      <c r="R436" s="10">
        <f>_xlfn.XLOOKUP(G436, Lookup!$A$2:$A$7, Lookup!$B$2:$B$7, "")</f>
        <v>0.08</v>
      </c>
      <c r="S436" s="4" t="str">
        <f>IF(Table1[[#This Row],[Margin]]&lt;Table1[[#This Row],[Target Margin]], "Yes", "")</f>
        <v/>
      </c>
    </row>
    <row r="437" spans="1:19">
      <c r="A437" t="s">
        <v>482</v>
      </c>
      <c r="B437" s="2">
        <v>46269</v>
      </c>
      <c r="C437" t="s">
        <v>20</v>
      </c>
      <c r="D437" t="s">
        <v>27</v>
      </c>
      <c r="E437">
        <v>1</v>
      </c>
      <c r="F437" t="str">
        <f>_xlfn.XLOOKUP(D437, Products!$A$2:$A$21, Products!$B$2:$B$21, "Not Found")</f>
        <v>Bluetooth Speaker</v>
      </c>
      <c r="G437" t="str">
        <f>_xlfn.XLOOKUP(D437, Products!$A$2:$A$21, Products!$C$2:$C$21,"not found")</f>
        <v>Audio</v>
      </c>
      <c r="H437" s="4">
        <f>_xlfn.XLOOKUP(D437, Products!$A$2:$A$21, Products!$E$2:$E$21, 0)</f>
        <v>179</v>
      </c>
      <c r="I437" s="4">
        <f>_xlfn.XLOOKUP(D437, Products!$A$2:$A$21, Products!$F$2:$F$21,0)</f>
        <v>95</v>
      </c>
      <c r="J437" t="str">
        <f>_xlfn.XLOOKUP(C437, Stores!$A$2:$A$7, Stores!$D$2:$D$7)</f>
        <v>Sydney West</v>
      </c>
      <c r="K437" s="4">
        <f t="shared" si="12"/>
        <v>179</v>
      </c>
      <c r="L437" s="4">
        <f t="shared" si="13"/>
        <v>84</v>
      </c>
      <c r="M437" s="10">
        <f>IF(Table1[[#This Row],[Revenue]]=0, "", Table1[[#This Row],[Profit]]/Table1[[#This Row],[Revenue]])</f>
        <v>0.46927374301675978</v>
      </c>
      <c r="N437" s="4" t="str">
        <f>IF(Table1[[#This Row],[Margin]]="", "check", IF(Table1[[#This Row],[Margin]]&lt;0.2, "Low", "OK"))</f>
        <v>OK</v>
      </c>
      <c r="O437" s="4" t="str" cm="1">
        <f t="array" ref="O437">_xlfn.IFS(Table1[[#This Row],[Revenue]]=0, "Check", Table1[[#This Row],[Revenue]]&gt;=1000, "Large", Table1[[#This Row],[Revenue]]&gt;=200, "Medium", TRUE, "Small")</f>
        <v>Small</v>
      </c>
      <c r="P437" s="4" t="str">
        <f>IF(AND(Table1[[#This Row],[Margin Flag]]="Low", Table1[[#This Row],[Revenue]]&gt;1000), "Review", "")</f>
        <v/>
      </c>
      <c r="Q437" s="4" t="str">
        <f>IF(OR(Table1[[#This Row],[Qty]]&gt;=5,Table1[[#This Row],[Order Size]] = "Large" ), "Bulk", "")</f>
        <v/>
      </c>
      <c r="R437" s="10">
        <f>_xlfn.XLOOKUP(G437, Lookup!$A$2:$A$7, Lookup!$B$2:$B$7, "")</f>
        <v>0.25</v>
      </c>
      <c r="S437" s="4" t="str">
        <f>IF(Table1[[#This Row],[Margin]]&lt;Table1[[#This Row],[Target Margin]], "Yes", "")</f>
        <v/>
      </c>
    </row>
    <row r="438" spans="1:19">
      <c r="A438" t="s">
        <v>483</v>
      </c>
      <c r="B438" s="2">
        <v>46270</v>
      </c>
      <c r="C438" t="s">
        <v>20</v>
      </c>
      <c r="D438" t="s">
        <v>69</v>
      </c>
      <c r="E438">
        <v>1</v>
      </c>
      <c r="F438" t="str">
        <f>_xlfn.XLOOKUP(D438, Products!$A$2:$A$21, Products!$B$2:$B$21, "Not Found")</f>
        <v>27in Monitor</v>
      </c>
      <c r="G438" t="str">
        <f>_xlfn.XLOOKUP(D438, Products!$A$2:$A$21, Products!$C$2:$C$21,"not found")</f>
        <v>Computers</v>
      </c>
      <c r="H438" s="4">
        <f>_xlfn.XLOOKUP(D438, Products!$A$2:$A$21, Products!$E$2:$E$21, 0)</f>
        <v>399</v>
      </c>
      <c r="I438" s="4">
        <f>_xlfn.XLOOKUP(D438, Products!$A$2:$A$21, Products!$F$2:$F$21,0)</f>
        <v>290</v>
      </c>
      <c r="J438" t="str">
        <f>_xlfn.XLOOKUP(C438, Stores!$A$2:$A$7, Stores!$D$2:$D$7)</f>
        <v>Sydney West</v>
      </c>
      <c r="K438" s="4">
        <f t="shared" si="12"/>
        <v>399</v>
      </c>
      <c r="L438" s="4">
        <f t="shared" si="13"/>
        <v>109</v>
      </c>
      <c r="M438" s="10">
        <f>IF(Table1[[#This Row],[Revenue]]=0, "", Table1[[#This Row],[Profit]]/Table1[[#This Row],[Revenue]])</f>
        <v>0.27318295739348369</v>
      </c>
      <c r="N438" s="4" t="str">
        <f>IF(Table1[[#This Row],[Margin]]="", "check", IF(Table1[[#This Row],[Margin]]&lt;0.2, "Low", "OK"))</f>
        <v>OK</v>
      </c>
      <c r="O438" s="4" t="str" cm="1">
        <f t="array" ref="O438">_xlfn.IFS(Table1[[#This Row],[Revenue]]=0, "Check", Table1[[#This Row],[Revenue]]&gt;=1000, "Large", Table1[[#This Row],[Revenue]]&gt;=200, "Medium", TRUE, "Small")</f>
        <v>Medium</v>
      </c>
      <c r="P438" s="4" t="str">
        <f>IF(AND(Table1[[#This Row],[Margin Flag]]="Low", Table1[[#This Row],[Revenue]]&gt;1000), "Review", "")</f>
        <v/>
      </c>
      <c r="Q438" s="4" t="str">
        <f>IF(OR(Table1[[#This Row],[Qty]]&gt;=5,Table1[[#This Row],[Order Size]] = "Large" ), "Bulk", "")</f>
        <v/>
      </c>
      <c r="R438" s="10">
        <f>_xlfn.XLOOKUP(G438, Lookup!$A$2:$A$7, Lookup!$B$2:$B$7, "")</f>
        <v>0.25</v>
      </c>
      <c r="S438" s="4" t="str">
        <f>IF(Table1[[#This Row],[Margin]]&lt;Table1[[#This Row],[Target Margin]], "Yes", "")</f>
        <v/>
      </c>
    </row>
    <row r="439" spans="1:19">
      <c r="A439" t="s">
        <v>484</v>
      </c>
      <c r="B439" s="2">
        <v>46270</v>
      </c>
      <c r="C439" t="s">
        <v>29</v>
      </c>
      <c r="D439" t="s">
        <v>67</v>
      </c>
      <c r="E439">
        <v>1</v>
      </c>
      <c r="F439" t="str">
        <f>_xlfn.XLOOKUP(D439, Products!$A$2:$A$21, Products!$B$2:$B$21, "Not Found")</f>
        <v>Soundbar</v>
      </c>
      <c r="G439" t="str">
        <f>_xlfn.XLOOKUP(D439, Products!$A$2:$A$21, Products!$C$2:$C$21,"not found")</f>
        <v>Audio</v>
      </c>
      <c r="H439" s="4">
        <f>_xlfn.XLOOKUP(D439, Products!$A$2:$A$21, Products!$E$2:$E$21, 0)</f>
        <v>699</v>
      </c>
      <c r="I439" s="4">
        <f>_xlfn.XLOOKUP(D439, Products!$A$2:$A$21, Products!$F$2:$F$21,0)</f>
        <v>450</v>
      </c>
      <c r="J439" t="str">
        <f>_xlfn.XLOOKUP(C439, Stores!$A$2:$A$7, Stores!$D$2:$D$7)</f>
        <v>Sydney West</v>
      </c>
      <c r="K439" s="4">
        <f t="shared" si="12"/>
        <v>699</v>
      </c>
      <c r="L439" s="4">
        <f t="shared" si="13"/>
        <v>249</v>
      </c>
      <c r="M439" s="10">
        <f>IF(Table1[[#This Row],[Revenue]]=0, "", Table1[[#This Row],[Profit]]/Table1[[#This Row],[Revenue]])</f>
        <v>0.35622317596566522</v>
      </c>
      <c r="N439" s="4" t="str">
        <f>IF(Table1[[#This Row],[Margin]]="", "check", IF(Table1[[#This Row],[Margin]]&lt;0.2, "Low", "OK"))</f>
        <v>OK</v>
      </c>
      <c r="O439" s="4" t="str" cm="1">
        <f t="array" ref="O439">_xlfn.IFS(Table1[[#This Row],[Revenue]]=0, "Check", Table1[[#This Row],[Revenue]]&gt;=1000, "Large", Table1[[#This Row],[Revenue]]&gt;=200, "Medium", TRUE, "Small")</f>
        <v>Medium</v>
      </c>
      <c r="P439" s="4" t="str">
        <f>IF(AND(Table1[[#This Row],[Margin Flag]]="Low", Table1[[#This Row],[Revenue]]&gt;1000), "Review", "")</f>
        <v/>
      </c>
      <c r="Q439" s="4" t="str">
        <f>IF(OR(Table1[[#This Row],[Qty]]&gt;=5,Table1[[#This Row],[Order Size]] = "Large" ), "Bulk", "")</f>
        <v/>
      </c>
      <c r="R439" s="10">
        <f>_xlfn.XLOOKUP(G439, Lookup!$A$2:$A$7, Lookup!$B$2:$B$7, "")</f>
        <v>0.25</v>
      </c>
      <c r="S439" s="4" t="str">
        <f>IF(Table1[[#This Row],[Margin]]&lt;Table1[[#This Row],[Target Margin]], "Yes", "")</f>
        <v/>
      </c>
    </row>
    <row r="440" spans="1:19">
      <c r="A440" t="s">
        <v>485</v>
      </c>
      <c r="B440" s="2">
        <v>46270</v>
      </c>
      <c r="C440" t="s">
        <v>23</v>
      </c>
      <c r="D440" t="s">
        <v>80</v>
      </c>
      <c r="E440">
        <v>2</v>
      </c>
      <c r="F440" t="str">
        <f>_xlfn.XLOOKUP(D440, Products!$A$2:$A$21, Products!$B$2:$B$21, "Not Found")</f>
        <v>Over-Ear Headphones</v>
      </c>
      <c r="G440" t="str">
        <f>_xlfn.XLOOKUP(D440, Products!$A$2:$A$21, Products!$C$2:$C$21,"not found")</f>
        <v>Audio</v>
      </c>
      <c r="H440" s="4">
        <f>_xlfn.XLOOKUP(D440, Products!$A$2:$A$21, Products!$E$2:$E$21, 0)</f>
        <v>499</v>
      </c>
      <c r="I440" s="4">
        <f>_xlfn.XLOOKUP(D440, Products!$A$2:$A$21, Products!$F$2:$F$21,0)</f>
        <v>310</v>
      </c>
      <c r="J440" t="str">
        <f>_xlfn.XLOOKUP(C440, Stores!$A$2:$A$7, Stores!$D$2:$D$7)</f>
        <v>Sydney East</v>
      </c>
      <c r="K440" s="4">
        <f t="shared" si="12"/>
        <v>998</v>
      </c>
      <c r="L440" s="4">
        <f t="shared" si="13"/>
        <v>378</v>
      </c>
      <c r="M440" s="10">
        <f>IF(Table1[[#This Row],[Revenue]]=0, "", Table1[[#This Row],[Profit]]/Table1[[#This Row],[Revenue]])</f>
        <v>0.37875751503006011</v>
      </c>
      <c r="N440" s="4" t="str">
        <f>IF(Table1[[#This Row],[Margin]]="", "check", IF(Table1[[#This Row],[Margin]]&lt;0.2, "Low", "OK"))</f>
        <v>OK</v>
      </c>
      <c r="O440" s="4" t="str" cm="1">
        <f t="array" ref="O440">_xlfn.IFS(Table1[[#This Row],[Revenue]]=0, "Check", Table1[[#This Row],[Revenue]]&gt;=1000, "Large", Table1[[#This Row],[Revenue]]&gt;=200, "Medium", TRUE, "Small")</f>
        <v>Medium</v>
      </c>
      <c r="P440" s="4" t="str">
        <f>IF(AND(Table1[[#This Row],[Margin Flag]]="Low", Table1[[#This Row],[Revenue]]&gt;1000), "Review", "")</f>
        <v/>
      </c>
      <c r="Q440" s="4" t="str">
        <f>IF(OR(Table1[[#This Row],[Qty]]&gt;=5,Table1[[#This Row],[Order Size]] = "Large" ), "Bulk", "")</f>
        <v/>
      </c>
      <c r="R440" s="10">
        <f>_xlfn.XLOOKUP(G440, Lookup!$A$2:$A$7, Lookup!$B$2:$B$7, "")</f>
        <v>0.25</v>
      </c>
      <c r="S440" s="4" t="str">
        <f>IF(Table1[[#This Row],[Margin]]&lt;Table1[[#This Row],[Target Margin]], "Yes", "")</f>
        <v/>
      </c>
    </row>
    <row r="441" spans="1:19">
      <c r="A441" t="s">
        <v>486</v>
      </c>
      <c r="B441" s="2">
        <v>46270</v>
      </c>
      <c r="C441" t="s">
        <v>23</v>
      </c>
      <c r="D441" t="s">
        <v>38</v>
      </c>
      <c r="E441">
        <v>3</v>
      </c>
      <c r="F441" t="str">
        <f>_xlfn.XLOOKUP(D441, Products!$A$2:$A$21, Products!$B$2:$B$21, "Not Found")</f>
        <v>USB-C Charger</v>
      </c>
      <c r="G441" t="str">
        <f>_xlfn.XLOOKUP(D441, Products!$A$2:$A$21, Products!$C$2:$C$21,"not found")</f>
        <v>Accessories</v>
      </c>
      <c r="H441" s="4">
        <f>_xlfn.XLOOKUP(D441, Products!$A$2:$A$21, Products!$E$2:$E$21, 0)</f>
        <v>49</v>
      </c>
      <c r="I441" s="4">
        <f>_xlfn.XLOOKUP(D441, Products!$A$2:$A$21, Products!$F$2:$F$21,0)</f>
        <v>14</v>
      </c>
      <c r="J441" t="str">
        <f>_xlfn.XLOOKUP(C441, Stores!$A$2:$A$7, Stores!$D$2:$D$7)</f>
        <v>Sydney East</v>
      </c>
      <c r="K441" s="4">
        <f t="shared" si="12"/>
        <v>147</v>
      </c>
      <c r="L441" s="4">
        <f t="shared" si="13"/>
        <v>105</v>
      </c>
      <c r="M441" s="10">
        <f>IF(Table1[[#This Row],[Revenue]]=0, "", Table1[[#This Row],[Profit]]/Table1[[#This Row],[Revenue]])</f>
        <v>0.7142857142857143</v>
      </c>
      <c r="N441" s="4" t="str">
        <f>IF(Table1[[#This Row],[Margin]]="", "check", IF(Table1[[#This Row],[Margin]]&lt;0.2, "Low", "OK"))</f>
        <v>OK</v>
      </c>
      <c r="O441" s="4" t="str" cm="1">
        <f t="array" ref="O441">_xlfn.IFS(Table1[[#This Row],[Revenue]]=0, "Check", Table1[[#This Row],[Revenue]]&gt;=1000, "Large", Table1[[#This Row],[Revenue]]&gt;=200, "Medium", TRUE, "Small")</f>
        <v>Small</v>
      </c>
      <c r="P441" s="4" t="str">
        <f>IF(AND(Table1[[#This Row],[Margin Flag]]="Low", Table1[[#This Row],[Revenue]]&gt;1000), "Review", "")</f>
        <v/>
      </c>
      <c r="Q441" s="4" t="str">
        <f>IF(OR(Table1[[#This Row],[Qty]]&gt;=5,Table1[[#This Row],[Order Size]] = "Large" ), "Bulk", "")</f>
        <v/>
      </c>
      <c r="R441" s="10">
        <f>_xlfn.XLOOKUP(G441, Lookup!$A$2:$A$7, Lookup!$B$2:$B$7, "")</f>
        <v>0.25</v>
      </c>
      <c r="S441" s="4" t="str">
        <f>IF(Table1[[#This Row],[Margin]]&lt;Table1[[#This Row],[Target Margin]], "Yes", "")</f>
        <v/>
      </c>
    </row>
    <row r="442" spans="1:19">
      <c r="A442" t="s">
        <v>487</v>
      </c>
      <c r="B442" s="2">
        <v>46270</v>
      </c>
      <c r="C442" t="s">
        <v>32</v>
      </c>
      <c r="D442" t="s">
        <v>60</v>
      </c>
      <c r="E442">
        <v>1</v>
      </c>
      <c r="F442" t="str">
        <f>_xlfn.XLOOKUP(D442, Products!$A$2:$A$21, Products!$B$2:$B$21, "Not Found")</f>
        <v>55in TV</v>
      </c>
      <c r="G442" t="str">
        <f>_xlfn.XLOOKUP(D442, Products!$A$2:$A$21, Products!$C$2:$C$21,"not found")</f>
        <v>TV</v>
      </c>
      <c r="H442" s="4">
        <f>_xlfn.XLOOKUP(D442, Products!$A$2:$A$21, Products!$E$2:$E$21, 0)</f>
        <v>1299</v>
      </c>
      <c r="I442" s="4">
        <f>_xlfn.XLOOKUP(D442, Products!$A$2:$A$21, Products!$F$2:$F$21,0)</f>
        <v>980</v>
      </c>
      <c r="J442" t="str">
        <f>_xlfn.XLOOKUP(C442, Stores!$A$2:$A$7, Stores!$D$2:$D$7)</f>
        <v>Sydney South</v>
      </c>
      <c r="K442" s="4">
        <f t="shared" si="12"/>
        <v>1299</v>
      </c>
      <c r="L442" s="4">
        <f t="shared" si="13"/>
        <v>319</v>
      </c>
      <c r="M442" s="10">
        <f>IF(Table1[[#This Row],[Revenue]]=0, "", Table1[[#This Row],[Profit]]/Table1[[#This Row],[Revenue]])</f>
        <v>0.2455735180908391</v>
      </c>
      <c r="N442" s="4" t="str">
        <f>IF(Table1[[#This Row],[Margin]]="", "check", IF(Table1[[#This Row],[Margin]]&lt;0.2, "Low", "OK"))</f>
        <v>OK</v>
      </c>
      <c r="O442" s="4" t="str" cm="1">
        <f t="array" ref="O442">_xlfn.IFS(Table1[[#This Row],[Revenue]]=0, "Check", Table1[[#This Row],[Revenue]]&gt;=1000, "Large", Table1[[#This Row],[Revenue]]&gt;=200, "Medium", TRUE, "Small")</f>
        <v>Large</v>
      </c>
      <c r="P442" s="4" t="str">
        <f>IF(AND(Table1[[#This Row],[Margin Flag]]="Low", Table1[[#This Row],[Revenue]]&gt;1000), "Review", "")</f>
        <v/>
      </c>
      <c r="Q442" s="4" t="str">
        <f>IF(OR(Table1[[#This Row],[Qty]]&gt;=5,Table1[[#This Row],[Order Size]] = "Large" ), "Bulk", "")</f>
        <v>Bulk</v>
      </c>
      <c r="R442" s="10">
        <f>_xlfn.XLOOKUP(G442, Lookup!$A$2:$A$7, Lookup!$B$2:$B$7, "")</f>
        <v>0.25</v>
      </c>
      <c r="S442" s="4" t="str">
        <f>IF(Table1[[#This Row],[Margin]]&lt;Table1[[#This Row],[Target Margin]], "Yes", "")</f>
        <v>Yes</v>
      </c>
    </row>
    <row r="443" spans="1:19">
      <c r="A443" t="s">
        <v>488</v>
      </c>
      <c r="B443" s="2">
        <v>46270</v>
      </c>
      <c r="C443" t="s">
        <v>20</v>
      </c>
      <c r="D443" t="s">
        <v>38</v>
      </c>
      <c r="E443">
        <v>1</v>
      </c>
      <c r="F443" t="str">
        <f>_xlfn.XLOOKUP(D443, Products!$A$2:$A$21, Products!$B$2:$B$21, "Not Found")</f>
        <v>USB-C Charger</v>
      </c>
      <c r="G443" t="str">
        <f>_xlfn.XLOOKUP(D443, Products!$A$2:$A$21, Products!$C$2:$C$21,"not found")</f>
        <v>Accessories</v>
      </c>
      <c r="H443" s="4">
        <f>_xlfn.XLOOKUP(D443, Products!$A$2:$A$21, Products!$E$2:$E$21, 0)</f>
        <v>49</v>
      </c>
      <c r="I443" s="4">
        <f>_xlfn.XLOOKUP(D443, Products!$A$2:$A$21, Products!$F$2:$F$21,0)</f>
        <v>14</v>
      </c>
      <c r="J443" t="str">
        <f>_xlfn.XLOOKUP(C443, Stores!$A$2:$A$7, Stores!$D$2:$D$7)</f>
        <v>Sydney West</v>
      </c>
      <c r="K443" s="4">
        <f t="shared" si="12"/>
        <v>49</v>
      </c>
      <c r="L443" s="4">
        <f t="shared" si="13"/>
        <v>35</v>
      </c>
      <c r="M443" s="10">
        <f>IF(Table1[[#This Row],[Revenue]]=0, "", Table1[[#This Row],[Profit]]/Table1[[#This Row],[Revenue]])</f>
        <v>0.7142857142857143</v>
      </c>
      <c r="N443" s="4" t="str">
        <f>IF(Table1[[#This Row],[Margin]]="", "check", IF(Table1[[#This Row],[Margin]]&lt;0.2, "Low", "OK"))</f>
        <v>OK</v>
      </c>
      <c r="O443" s="4" t="str" cm="1">
        <f t="array" ref="O443">_xlfn.IFS(Table1[[#This Row],[Revenue]]=0, "Check", Table1[[#This Row],[Revenue]]&gt;=1000, "Large", Table1[[#This Row],[Revenue]]&gt;=200, "Medium", TRUE, "Small")</f>
        <v>Small</v>
      </c>
      <c r="P443" s="4" t="str">
        <f>IF(AND(Table1[[#This Row],[Margin Flag]]="Low", Table1[[#This Row],[Revenue]]&gt;1000), "Review", "")</f>
        <v/>
      </c>
      <c r="Q443" s="4" t="str">
        <f>IF(OR(Table1[[#This Row],[Qty]]&gt;=5,Table1[[#This Row],[Order Size]] = "Large" ), "Bulk", "")</f>
        <v/>
      </c>
      <c r="R443" s="10">
        <f>_xlfn.XLOOKUP(G443, Lookup!$A$2:$A$7, Lookup!$B$2:$B$7, "")</f>
        <v>0.25</v>
      </c>
      <c r="S443" s="4" t="str">
        <f>IF(Table1[[#This Row],[Margin]]&lt;Table1[[#This Row],[Target Margin]], "Yes", "")</f>
        <v/>
      </c>
    </row>
    <row r="444" spans="1:19">
      <c r="A444" t="s">
        <v>489</v>
      </c>
      <c r="B444" s="2">
        <v>46271</v>
      </c>
      <c r="C444" t="s">
        <v>23</v>
      </c>
      <c r="D444" t="s">
        <v>106</v>
      </c>
      <c r="E444">
        <v>3</v>
      </c>
      <c r="F444" t="str">
        <f>_xlfn.XLOOKUP(D444, Products!$A$2:$A$21, Products!$B$2:$B$21, "Not Found")</f>
        <v>Laptop 14in</v>
      </c>
      <c r="G444" t="str">
        <f>_xlfn.XLOOKUP(D444, Products!$A$2:$A$21, Products!$C$2:$C$21,"not found")</f>
        <v>Computers</v>
      </c>
      <c r="H444" s="4">
        <f>_xlfn.XLOOKUP(D444, Products!$A$2:$A$21, Products!$E$2:$E$21, 0)</f>
        <v>1199</v>
      </c>
      <c r="I444" s="4">
        <f>_xlfn.XLOOKUP(D444, Products!$A$2:$A$21, Products!$F$2:$F$21,0)</f>
        <v>930</v>
      </c>
      <c r="J444" t="str">
        <f>_xlfn.XLOOKUP(C444, Stores!$A$2:$A$7, Stores!$D$2:$D$7)</f>
        <v>Sydney East</v>
      </c>
      <c r="K444" s="4">
        <f t="shared" si="12"/>
        <v>3597</v>
      </c>
      <c r="L444" s="4">
        <f t="shared" si="13"/>
        <v>807</v>
      </c>
      <c r="M444" s="10">
        <f>IF(Table1[[#This Row],[Revenue]]=0, "", Table1[[#This Row],[Profit]]/Table1[[#This Row],[Revenue]])</f>
        <v>0.22435362802335279</v>
      </c>
      <c r="N444" s="4" t="str">
        <f>IF(Table1[[#This Row],[Margin]]="", "check", IF(Table1[[#This Row],[Margin]]&lt;0.2, "Low", "OK"))</f>
        <v>OK</v>
      </c>
      <c r="O444" s="4" t="str" cm="1">
        <f t="array" ref="O444">_xlfn.IFS(Table1[[#This Row],[Revenue]]=0, "Check", Table1[[#This Row],[Revenue]]&gt;=1000, "Large", Table1[[#This Row],[Revenue]]&gt;=200, "Medium", TRUE, "Small")</f>
        <v>Large</v>
      </c>
      <c r="P444" s="4" t="str">
        <f>IF(AND(Table1[[#This Row],[Margin Flag]]="Low", Table1[[#This Row],[Revenue]]&gt;1000), "Review", "")</f>
        <v/>
      </c>
      <c r="Q444" s="4" t="str">
        <f>IF(OR(Table1[[#This Row],[Qty]]&gt;=5,Table1[[#This Row],[Order Size]] = "Large" ), "Bulk", "")</f>
        <v>Bulk</v>
      </c>
      <c r="R444" s="10">
        <f>_xlfn.XLOOKUP(G444, Lookup!$A$2:$A$7, Lookup!$B$2:$B$7, "")</f>
        <v>0.25</v>
      </c>
      <c r="S444" s="4" t="str">
        <f>IF(Table1[[#This Row],[Margin]]&lt;Table1[[#This Row],[Target Margin]], "Yes", "")</f>
        <v>Yes</v>
      </c>
    </row>
    <row r="445" spans="1:19">
      <c r="A445" t="s">
        <v>490</v>
      </c>
      <c r="B445" s="2">
        <v>46271</v>
      </c>
      <c r="C445" t="s">
        <v>23</v>
      </c>
      <c r="D445" t="s">
        <v>152</v>
      </c>
      <c r="E445">
        <v>1</v>
      </c>
      <c r="F445" t="str">
        <f>_xlfn.XLOOKUP(D445, Products!$A$2:$A$21, Products!$B$2:$B$21, "Not Found")</f>
        <v>Game Console</v>
      </c>
      <c r="G445" t="str">
        <f>_xlfn.XLOOKUP(D445, Products!$A$2:$A$21, Products!$C$2:$C$21,"not found")</f>
        <v>Gaming</v>
      </c>
      <c r="H445" s="4">
        <f>_xlfn.XLOOKUP(D445, Products!$A$2:$A$21, Products!$E$2:$E$21, 0)</f>
        <v>499</v>
      </c>
      <c r="I445" s="4">
        <f>_xlfn.XLOOKUP(D445, Products!$A$2:$A$21, Products!$F$2:$F$21,0)</f>
        <v>420</v>
      </c>
      <c r="J445" t="str">
        <f>_xlfn.XLOOKUP(C445, Stores!$A$2:$A$7, Stores!$D$2:$D$7)</f>
        <v>Sydney East</v>
      </c>
      <c r="K445" s="4">
        <f t="shared" si="12"/>
        <v>499</v>
      </c>
      <c r="L445" s="4">
        <f t="shared" si="13"/>
        <v>79</v>
      </c>
      <c r="M445" s="10">
        <f>IF(Table1[[#This Row],[Revenue]]=0, "", Table1[[#This Row],[Profit]]/Table1[[#This Row],[Revenue]])</f>
        <v>0.15831663326653306</v>
      </c>
      <c r="N445" s="4" t="str">
        <f>IF(Table1[[#This Row],[Margin]]="", "check", IF(Table1[[#This Row],[Margin]]&lt;0.2, "Low", "OK"))</f>
        <v>Low</v>
      </c>
      <c r="O445" s="4" t="str" cm="1">
        <f t="array" ref="O445">_xlfn.IFS(Table1[[#This Row],[Revenue]]=0, "Check", Table1[[#This Row],[Revenue]]&gt;=1000, "Large", Table1[[#This Row],[Revenue]]&gt;=200, "Medium", TRUE, "Small")</f>
        <v>Medium</v>
      </c>
      <c r="P445" s="4" t="str">
        <f>IF(AND(Table1[[#This Row],[Margin Flag]]="Low", Table1[[#This Row],[Revenue]]&gt;1000), "Review", "")</f>
        <v/>
      </c>
      <c r="Q445" s="4" t="str">
        <f>IF(OR(Table1[[#This Row],[Qty]]&gt;=5,Table1[[#This Row],[Order Size]] = "Large" ), "Bulk", "")</f>
        <v/>
      </c>
      <c r="R445" s="10">
        <f>_xlfn.XLOOKUP(G445, Lookup!$A$2:$A$7, Lookup!$B$2:$B$7, "")</f>
        <v>0.08</v>
      </c>
      <c r="S445" s="4" t="str">
        <f>IF(Table1[[#This Row],[Margin]]&lt;Table1[[#This Row],[Target Margin]], "Yes", "")</f>
        <v/>
      </c>
    </row>
    <row r="446" spans="1:19">
      <c r="A446" t="s">
        <v>491</v>
      </c>
      <c r="B446" s="2">
        <v>46271</v>
      </c>
      <c r="C446" t="s">
        <v>20</v>
      </c>
      <c r="D446" t="s">
        <v>54</v>
      </c>
      <c r="E446">
        <v>1</v>
      </c>
      <c r="F446" t="str">
        <f>_xlfn.XLOOKUP(D446, Products!$A$2:$A$21, Products!$B$2:$B$21, "Not Found")</f>
        <v>Tablet 11in</v>
      </c>
      <c r="G446" t="str">
        <f>_xlfn.XLOOKUP(D446, Products!$A$2:$A$21, Products!$C$2:$C$21,"not found")</f>
        <v>Computers</v>
      </c>
      <c r="H446" s="4">
        <f>_xlfn.XLOOKUP(D446, Products!$A$2:$A$21, Products!$E$2:$E$21, 0)</f>
        <v>899</v>
      </c>
      <c r="I446" s="4">
        <f>_xlfn.XLOOKUP(D446, Products!$A$2:$A$21, Products!$F$2:$F$21,0)</f>
        <v>690</v>
      </c>
      <c r="J446" t="str">
        <f>_xlfn.XLOOKUP(C446, Stores!$A$2:$A$7, Stores!$D$2:$D$7)</f>
        <v>Sydney West</v>
      </c>
      <c r="K446" s="4">
        <f t="shared" si="12"/>
        <v>899</v>
      </c>
      <c r="L446" s="4">
        <f t="shared" si="13"/>
        <v>209</v>
      </c>
      <c r="M446" s="10">
        <f>IF(Table1[[#This Row],[Revenue]]=0, "", Table1[[#This Row],[Profit]]/Table1[[#This Row],[Revenue]])</f>
        <v>0.2324805339265851</v>
      </c>
      <c r="N446" s="4" t="str">
        <f>IF(Table1[[#This Row],[Margin]]="", "check", IF(Table1[[#This Row],[Margin]]&lt;0.2, "Low", "OK"))</f>
        <v>OK</v>
      </c>
      <c r="O446" s="4" t="str" cm="1">
        <f t="array" ref="O446">_xlfn.IFS(Table1[[#This Row],[Revenue]]=0, "Check", Table1[[#This Row],[Revenue]]&gt;=1000, "Large", Table1[[#This Row],[Revenue]]&gt;=200, "Medium", TRUE, "Small")</f>
        <v>Medium</v>
      </c>
      <c r="P446" s="4" t="str">
        <f>IF(AND(Table1[[#This Row],[Margin Flag]]="Low", Table1[[#This Row],[Revenue]]&gt;1000), "Review", "")</f>
        <v/>
      </c>
      <c r="Q446" s="4" t="str">
        <f>IF(OR(Table1[[#This Row],[Qty]]&gt;=5,Table1[[#This Row],[Order Size]] = "Large" ), "Bulk", "")</f>
        <v/>
      </c>
      <c r="R446" s="10">
        <f>_xlfn.XLOOKUP(G446, Lookup!$A$2:$A$7, Lookup!$B$2:$B$7, "")</f>
        <v>0.25</v>
      </c>
      <c r="S446" s="4" t="str">
        <f>IF(Table1[[#This Row],[Margin]]&lt;Table1[[#This Row],[Target Margin]], "Yes", "")</f>
        <v>Yes</v>
      </c>
    </row>
    <row r="447" spans="1:19">
      <c r="A447" t="s">
        <v>492</v>
      </c>
      <c r="B447" s="2">
        <v>46271</v>
      </c>
      <c r="C447" t="s">
        <v>26</v>
      </c>
      <c r="D447" t="s">
        <v>27</v>
      </c>
      <c r="E447">
        <v>1</v>
      </c>
      <c r="F447" t="str">
        <f>_xlfn.XLOOKUP(D447, Products!$A$2:$A$21, Products!$B$2:$B$21, "Not Found")</f>
        <v>Bluetooth Speaker</v>
      </c>
      <c r="G447" t="str">
        <f>_xlfn.XLOOKUP(D447, Products!$A$2:$A$21, Products!$C$2:$C$21,"not found")</f>
        <v>Audio</v>
      </c>
      <c r="H447" s="4">
        <f>_xlfn.XLOOKUP(D447, Products!$A$2:$A$21, Products!$E$2:$E$21, 0)</f>
        <v>179</v>
      </c>
      <c r="I447" s="4">
        <f>_xlfn.XLOOKUP(D447, Products!$A$2:$A$21, Products!$F$2:$F$21,0)</f>
        <v>95</v>
      </c>
      <c r="J447" t="str">
        <f>_xlfn.XLOOKUP(C447, Stores!$A$2:$A$7, Stores!$D$2:$D$7)</f>
        <v>Sydney North</v>
      </c>
      <c r="K447" s="4">
        <f t="shared" si="12"/>
        <v>179</v>
      </c>
      <c r="L447" s="4">
        <f t="shared" si="13"/>
        <v>84</v>
      </c>
      <c r="M447" s="10">
        <f>IF(Table1[[#This Row],[Revenue]]=0, "", Table1[[#This Row],[Profit]]/Table1[[#This Row],[Revenue]])</f>
        <v>0.46927374301675978</v>
      </c>
      <c r="N447" s="4" t="str">
        <f>IF(Table1[[#This Row],[Margin]]="", "check", IF(Table1[[#This Row],[Margin]]&lt;0.2, "Low", "OK"))</f>
        <v>OK</v>
      </c>
      <c r="O447" s="4" t="str" cm="1">
        <f t="array" ref="O447">_xlfn.IFS(Table1[[#This Row],[Revenue]]=0, "Check", Table1[[#This Row],[Revenue]]&gt;=1000, "Large", Table1[[#This Row],[Revenue]]&gt;=200, "Medium", TRUE, "Small")</f>
        <v>Small</v>
      </c>
      <c r="P447" s="4" t="str">
        <f>IF(AND(Table1[[#This Row],[Margin Flag]]="Low", Table1[[#This Row],[Revenue]]&gt;1000), "Review", "")</f>
        <v/>
      </c>
      <c r="Q447" s="4" t="str">
        <f>IF(OR(Table1[[#This Row],[Qty]]&gt;=5,Table1[[#This Row],[Order Size]] = "Large" ), "Bulk", "")</f>
        <v/>
      </c>
      <c r="R447" s="10">
        <f>_xlfn.XLOOKUP(G447, Lookup!$A$2:$A$7, Lookup!$B$2:$B$7, "")</f>
        <v>0.25</v>
      </c>
      <c r="S447" s="4" t="str">
        <f>IF(Table1[[#This Row],[Margin]]&lt;Table1[[#This Row],[Target Margin]], "Yes", "")</f>
        <v/>
      </c>
    </row>
    <row r="448" spans="1:19">
      <c r="A448" t="s">
        <v>493</v>
      </c>
      <c r="B448" s="2">
        <v>46271</v>
      </c>
      <c r="C448" t="s">
        <v>29</v>
      </c>
      <c r="D448" t="s">
        <v>69</v>
      </c>
      <c r="E448">
        <v>1</v>
      </c>
      <c r="F448" t="str">
        <f>_xlfn.XLOOKUP(D448, Products!$A$2:$A$21, Products!$B$2:$B$21, "Not Found")</f>
        <v>27in Monitor</v>
      </c>
      <c r="G448" t="str">
        <f>_xlfn.XLOOKUP(D448, Products!$A$2:$A$21, Products!$C$2:$C$21,"not found")</f>
        <v>Computers</v>
      </c>
      <c r="H448" s="4">
        <f>_xlfn.XLOOKUP(D448, Products!$A$2:$A$21, Products!$E$2:$E$21, 0)</f>
        <v>399</v>
      </c>
      <c r="I448" s="4">
        <f>_xlfn.XLOOKUP(D448, Products!$A$2:$A$21, Products!$F$2:$F$21,0)</f>
        <v>290</v>
      </c>
      <c r="J448" t="str">
        <f>_xlfn.XLOOKUP(C448, Stores!$A$2:$A$7, Stores!$D$2:$D$7)</f>
        <v>Sydney West</v>
      </c>
      <c r="K448" s="4">
        <f t="shared" si="12"/>
        <v>399</v>
      </c>
      <c r="L448" s="4">
        <f t="shared" si="13"/>
        <v>109</v>
      </c>
      <c r="M448" s="10">
        <f>IF(Table1[[#This Row],[Revenue]]=0, "", Table1[[#This Row],[Profit]]/Table1[[#This Row],[Revenue]])</f>
        <v>0.27318295739348369</v>
      </c>
      <c r="N448" s="4" t="str">
        <f>IF(Table1[[#This Row],[Margin]]="", "check", IF(Table1[[#This Row],[Margin]]&lt;0.2, "Low", "OK"))</f>
        <v>OK</v>
      </c>
      <c r="O448" s="4" t="str" cm="1">
        <f t="array" ref="O448">_xlfn.IFS(Table1[[#This Row],[Revenue]]=0, "Check", Table1[[#This Row],[Revenue]]&gt;=1000, "Large", Table1[[#This Row],[Revenue]]&gt;=200, "Medium", TRUE, "Small")</f>
        <v>Medium</v>
      </c>
      <c r="P448" s="4" t="str">
        <f>IF(AND(Table1[[#This Row],[Margin Flag]]="Low", Table1[[#This Row],[Revenue]]&gt;1000), "Review", "")</f>
        <v/>
      </c>
      <c r="Q448" s="4" t="str">
        <f>IF(OR(Table1[[#This Row],[Qty]]&gt;=5,Table1[[#This Row],[Order Size]] = "Large" ), "Bulk", "")</f>
        <v/>
      </c>
      <c r="R448" s="10">
        <f>_xlfn.XLOOKUP(G448, Lookup!$A$2:$A$7, Lookup!$B$2:$B$7, "")</f>
        <v>0.25</v>
      </c>
      <c r="S448" s="4" t="str">
        <f>IF(Table1[[#This Row],[Margin]]&lt;Table1[[#This Row],[Target Margin]], "Yes", "")</f>
        <v/>
      </c>
    </row>
    <row r="449" spans="1:19">
      <c r="A449" t="s">
        <v>494</v>
      </c>
      <c r="B449" s="2">
        <v>46271</v>
      </c>
      <c r="C449" t="s">
        <v>32</v>
      </c>
      <c r="D449" t="s">
        <v>38</v>
      </c>
      <c r="E449">
        <v>1</v>
      </c>
      <c r="F449" t="str">
        <f>_xlfn.XLOOKUP(D449, Products!$A$2:$A$21, Products!$B$2:$B$21, "Not Found")</f>
        <v>USB-C Charger</v>
      </c>
      <c r="G449" t="str">
        <f>_xlfn.XLOOKUP(D449, Products!$A$2:$A$21, Products!$C$2:$C$21,"not found")</f>
        <v>Accessories</v>
      </c>
      <c r="H449" s="4">
        <f>_xlfn.XLOOKUP(D449, Products!$A$2:$A$21, Products!$E$2:$E$21, 0)</f>
        <v>49</v>
      </c>
      <c r="I449" s="4">
        <f>_xlfn.XLOOKUP(D449, Products!$A$2:$A$21, Products!$F$2:$F$21,0)</f>
        <v>14</v>
      </c>
      <c r="J449" t="str">
        <f>_xlfn.XLOOKUP(C449, Stores!$A$2:$A$7, Stores!$D$2:$D$7)</f>
        <v>Sydney South</v>
      </c>
      <c r="K449" s="4">
        <f t="shared" si="12"/>
        <v>49</v>
      </c>
      <c r="L449" s="4">
        <f t="shared" si="13"/>
        <v>35</v>
      </c>
      <c r="M449" s="10">
        <f>IF(Table1[[#This Row],[Revenue]]=0, "", Table1[[#This Row],[Profit]]/Table1[[#This Row],[Revenue]])</f>
        <v>0.7142857142857143</v>
      </c>
      <c r="N449" s="4" t="str">
        <f>IF(Table1[[#This Row],[Margin]]="", "check", IF(Table1[[#This Row],[Margin]]&lt;0.2, "Low", "OK"))</f>
        <v>OK</v>
      </c>
      <c r="O449" s="4" t="str" cm="1">
        <f t="array" ref="O449">_xlfn.IFS(Table1[[#This Row],[Revenue]]=0, "Check", Table1[[#This Row],[Revenue]]&gt;=1000, "Large", Table1[[#This Row],[Revenue]]&gt;=200, "Medium", TRUE, "Small")</f>
        <v>Small</v>
      </c>
      <c r="P449" s="4" t="str">
        <f>IF(AND(Table1[[#This Row],[Margin Flag]]="Low", Table1[[#This Row],[Revenue]]&gt;1000), "Review", "")</f>
        <v/>
      </c>
      <c r="Q449" s="4" t="str">
        <f>IF(OR(Table1[[#This Row],[Qty]]&gt;=5,Table1[[#This Row],[Order Size]] = "Large" ), "Bulk", "")</f>
        <v/>
      </c>
      <c r="R449" s="10">
        <f>_xlfn.XLOOKUP(G449, Lookup!$A$2:$A$7, Lookup!$B$2:$B$7, "")</f>
        <v>0.25</v>
      </c>
      <c r="S449" s="4" t="str">
        <f>IF(Table1[[#This Row],[Margin]]&lt;Table1[[#This Row],[Target Margin]], "Yes", "")</f>
        <v/>
      </c>
    </row>
    <row r="450" spans="1:19">
      <c r="A450" t="s">
        <v>495</v>
      </c>
      <c r="B450" s="2">
        <v>46271</v>
      </c>
      <c r="C450" t="s">
        <v>20</v>
      </c>
      <c r="D450" t="s">
        <v>99</v>
      </c>
      <c r="E450">
        <v>1</v>
      </c>
      <c r="F450" t="str">
        <f>_xlfn.XLOOKUP(D450, Products!$A$2:$A$21, Products!$B$2:$B$21, "Not Found")</f>
        <v>Smartphone 256GB</v>
      </c>
      <c r="G450" t="str">
        <f>_xlfn.XLOOKUP(D450, Products!$A$2:$A$21, Products!$C$2:$C$21,"not found")</f>
        <v>Phones</v>
      </c>
      <c r="H450" s="4">
        <f>_xlfn.XLOOKUP(D450, Products!$A$2:$A$21, Products!$E$2:$E$21, 0)</f>
        <v>1499</v>
      </c>
      <c r="I450" s="4">
        <f>_xlfn.XLOOKUP(D450, Products!$A$2:$A$21, Products!$F$2:$F$21,0)</f>
        <v>1180</v>
      </c>
      <c r="J450" t="str">
        <f>_xlfn.XLOOKUP(C450, Stores!$A$2:$A$7, Stores!$D$2:$D$7)</f>
        <v>Sydney West</v>
      </c>
      <c r="K450" s="4">
        <f t="shared" si="12"/>
        <v>1499</v>
      </c>
      <c r="L450" s="4">
        <f t="shared" si="13"/>
        <v>319</v>
      </c>
      <c r="M450" s="10">
        <f>IF(Table1[[#This Row],[Revenue]]=0, "", Table1[[#This Row],[Profit]]/Table1[[#This Row],[Revenue]])</f>
        <v>0.21280853902601735</v>
      </c>
      <c r="N450" s="4" t="str">
        <f>IF(Table1[[#This Row],[Margin]]="", "check", IF(Table1[[#This Row],[Margin]]&lt;0.2, "Low", "OK"))</f>
        <v>OK</v>
      </c>
      <c r="O450" s="4" t="str" cm="1">
        <f t="array" ref="O450">_xlfn.IFS(Table1[[#This Row],[Revenue]]=0, "Check", Table1[[#This Row],[Revenue]]&gt;=1000, "Large", Table1[[#This Row],[Revenue]]&gt;=200, "Medium", TRUE, "Small")</f>
        <v>Large</v>
      </c>
      <c r="P450" s="4" t="str">
        <f>IF(AND(Table1[[#This Row],[Margin Flag]]="Low", Table1[[#This Row],[Revenue]]&gt;1000), "Review", "")</f>
        <v/>
      </c>
      <c r="Q450" s="4" t="str">
        <f>IF(OR(Table1[[#This Row],[Qty]]&gt;=5,Table1[[#This Row],[Order Size]] = "Large" ), "Bulk", "")</f>
        <v>Bulk</v>
      </c>
      <c r="R450" s="10">
        <f>_xlfn.XLOOKUP(G450, Lookup!$A$2:$A$7, Lookup!$B$2:$B$7, "")</f>
        <v>0.25</v>
      </c>
      <c r="S450" s="4" t="str">
        <f>IF(Table1[[#This Row],[Margin]]&lt;Table1[[#This Row],[Target Margin]], "Yes", "")</f>
        <v>Yes</v>
      </c>
    </row>
    <row r="451" spans="1:19">
      <c r="A451" t="s">
        <v>496</v>
      </c>
      <c r="B451" s="2">
        <v>46271</v>
      </c>
      <c r="C451" t="s">
        <v>32</v>
      </c>
      <c r="D451" t="s">
        <v>69</v>
      </c>
      <c r="E451">
        <v>1</v>
      </c>
      <c r="F451" t="str">
        <f>_xlfn.XLOOKUP(D451, Products!$A$2:$A$21, Products!$B$2:$B$21, "Not Found")</f>
        <v>27in Monitor</v>
      </c>
      <c r="G451" t="str">
        <f>_xlfn.XLOOKUP(D451, Products!$A$2:$A$21, Products!$C$2:$C$21,"not found")</f>
        <v>Computers</v>
      </c>
      <c r="H451" s="4">
        <f>_xlfn.XLOOKUP(D451, Products!$A$2:$A$21, Products!$E$2:$E$21, 0)</f>
        <v>399</v>
      </c>
      <c r="I451" s="4">
        <f>_xlfn.XLOOKUP(D451, Products!$A$2:$A$21, Products!$F$2:$F$21,0)</f>
        <v>290</v>
      </c>
      <c r="J451" t="str">
        <f>_xlfn.XLOOKUP(C451, Stores!$A$2:$A$7, Stores!$D$2:$D$7)</f>
        <v>Sydney South</v>
      </c>
      <c r="K451" s="4">
        <f t="shared" ref="K451:K514" si="14" xml:space="preserve"> E451*H451</f>
        <v>399</v>
      </c>
      <c r="L451" s="4">
        <f t="shared" ref="L451:L514" si="15" xml:space="preserve"> K451 - (E451 * I451)</f>
        <v>109</v>
      </c>
      <c r="M451" s="10">
        <f>IF(Table1[[#This Row],[Revenue]]=0, "", Table1[[#This Row],[Profit]]/Table1[[#This Row],[Revenue]])</f>
        <v>0.27318295739348369</v>
      </c>
      <c r="N451" s="4" t="str">
        <f>IF(Table1[[#This Row],[Margin]]="", "check", IF(Table1[[#This Row],[Margin]]&lt;0.2, "Low", "OK"))</f>
        <v>OK</v>
      </c>
      <c r="O451" s="4" t="str" cm="1">
        <f t="array" ref="O451">_xlfn.IFS(Table1[[#This Row],[Revenue]]=0, "Check", Table1[[#This Row],[Revenue]]&gt;=1000, "Large", Table1[[#This Row],[Revenue]]&gt;=200, "Medium", TRUE, "Small")</f>
        <v>Medium</v>
      </c>
      <c r="P451" s="4" t="str">
        <f>IF(AND(Table1[[#This Row],[Margin Flag]]="Low", Table1[[#This Row],[Revenue]]&gt;1000), "Review", "")</f>
        <v/>
      </c>
      <c r="Q451" s="4" t="str">
        <f>IF(OR(Table1[[#This Row],[Qty]]&gt;=5,Table1[[#This Row],[Order Size]] = "Large" ), "Bulk", "")</f>
        <v/>
      </c>
      <c r="R451" s="10">
        <f>_xlfn.XLOOKUP(G451, Lookup!$A$2:$A$7, Lookup!$B$2:$B$7, "")</f>
        <v>0.25</v>
      </c>
      <c r="S451" s="4" t="str">
        <f>IF(Table1[[#This Row],[Margin]]&lt;Table1[[#This Row],[Target Margin]], "Yes", "")</f>
        <v/>
      </c>
    </row>
    <row r="452" spans="1:19">
      <c r="A452" t="s">
        <v>497</v>
      </c>
      <c r="B452" s="2">
        <v>46271</v>
      </c>
      <c r="C452" t="s">
        <v>23</v>
      </c>
      <c r="D452" t="s">
        <v>27</v>
      </c>
      <c r="E452">
        <v>2</v>
      </c>
      <c r="F452" t="str">
        <f>_xlfn.XLOOKUP(D452, Products!$A$2:$A$21, Products!$B$2:$B$21, "Not Found")</f>
        <v>Bluetooth Speaker</v>
      </c>
      <c r="G452" t="str">
        <f>_xlfn.XLOOKUP(D452, Products!$A$2:$A$21, Products!$C$2:$C$21,"not found")</f>
        <v>Audio</v>
      </c>
      <c r="H452" s="4">
        <f>_xlfn.XLOOKUP(D452, Products!$A$2:$A$21, Products!$E$2:$E$21, 0)</f>
        <v>179</v>
      </c>
      <c r="I452" s="4">
        <f>_xlfn.XLOOKUP(D452, Products!$A$2:$A$21, Products!$F$2:$F$21,0)</f>
        <v>95</v>
      </c>
      <c r="J452" t="str">
        <f>_xlfn.XLOOKUP(C452, Stores!$A$2:$A$7, Stores!$D$2:$D$7)</f>
        <v>Sydney East</v>
      </c>
      <c r="K452" s="4">
        <f t="shared" si="14"/>
        <v>358</v>
      </c>
      <c r="L452" s="4">
        <f t="shared" si="15"/>
        <v>168</v>
      </c>
      <c r="M452" s="10">
        <f>IF(Table1[[#This Row],[Revenue]]=0, "", Table1[[#This Row],[Profit]]/Table1[[#This Row],[Revenue]])</f>
        <v>0.46927374301675978</v>
      </c>
      <c r="N452" s="4" t="str">
        <f>IF(Table1[[#This Row],[Margin]]="", "check", IF(Table1[[#This Row],[Margin]]&lt;0.2, "Low", "OK"))</f>
        <v>OK</v>
      </c>
      <c r="O452" s="4" t="str" cm="1">
        <f t="array" ref="O452">_xlfn.IFS(Table1[[#This Row],[Revenue]]=0, "Check", Table1[[#This Row],[Revenue]]&gt;=1000, "Large", Table1[[#This Row],[Revenue]]&gt;=200, "Medium", TRUE, "Small")</f>
        <v>Medium</v>
      </c>
      <c r="P452" s="4" t="str">
        <f>IF(AND(Table1[[#This Row],[Margin Flag]]="Low", Table1[[#This Row],[Revenue]]&gt;1000), "Review", "")</f>
        <v/>
      </c>
      <c r="Q452" s="4" t="str">
        <f>IF(OR(Table1[[#This Row],[Qty]]&gt;=5,Table1[[#This Row],[Order Size]] = "Large" ), "Bulk", "")</f>
        <v/>
      </c>
      <c r="R452" s="10">
        <f>_xlfn.XLOOKUP(G452, Lookup!$A$2:$A$7, Lookup!$B$2:$B$7, "")</f>
        <v>0.25</v>
      </c>
      <c r="S452" s="4" t="str">
        <f>IF(Table1[[#This Row],[Margin]]&lt;Table1[[#This Row],[Target Margin]], "Yes", "")</f>
        <v/>
      </c>
    </row>
    <row r="453" spans="1:19">
      <c r="A453" t="s">
        <v>498</v>
      </c>
      <c r="B453" s="2">
        <v>46272</v>
      </c>
      <c r="C453" t="s">
        <v>32</v>
      </c>
      <c r="D453" t="s">
        <v>21</v>
      </c>
      <c r="E453">
        <v>1</v>
      </c>
      <c r="F453" t="str">
        <f>_xlfn.XLOOKUP(D453, Products!$A$2:$A$21, Products!$B$2:$B$21, "Not Found")</f>
        <v>Gaming Mouse</v>
      </c>
      <c r="G453" t="str">
        <f>_xlfn.XLOOKUP(D453, Products!$A$2:$A$21, Products!$C$2:$C$21,"not found")</f>
        <v>Accessories</v>
      </c>
      <c r="H453" s="4">
        <f>_xlfn.XLOOKUP(D453, Products!$A$2:$A$21, Products!$E$2:$E$21, 0)</f>
        <v>89</v>
      </c>
      <c r="I453" s="4">
        <f>_xlfn.XLOOKUP(D453, Products!$A$2:$A$21, Products!$F$2:$F$21,0)</f>
        <v>41</v>
      </c>
      <c r="J453" t="str">
        <f>_xlfn.XLOOKUP(C453, Stores!$A$2:$A$7, Stores!$D$2:$D$7)</f>
        <v>Sydney South</v>
      </c>
      <c r="K453" s="4">
        <f t="shared" si="14"/>
        <v>89</v>
      </c>
      <c r="L453" s="4">
        <f t="shared" si="15"/>
        <v>48</v>
      </c>
      <c r="M453" s="10">
        <f>IF(Table1[[#This Row],[Revenue]]=0, "", Table1[[#This Row],[Profit]]/Table1[[#This Row],[Revenue]])</f>
        <v>0.5393258426966292</v>
      </c>
      <c r="N453" s="4" t="str">
        <f>IF(Table1[[#This Row],[Margin]]="", "check", IF(Table1[[#This Row],[Margin]]&lt;0.2, "Low", "OK"))</f>
        <v>OK</v>
      </c>
      <c r="O453" s="4" t="str" cm="1">
        <f t="array" ref="O453">_xlfn.IFS(Table1[[#This Row],[Revenue]]=0, "Check", Table1[[#This Row],[Revenue]]&gt;=1000, "Large", Table1[[#This Row],[Revenue]]&gt;=200, "Medium", TRUE, "Small")</f>
        <v>Small</v>
      </c>
      <c r="P453" s="4" t="str">
        <f>IF(AND(Table1[[#This Row],[Margin Flag]]="Low", Table1[[#This Row],[Revenue]]&gt;1000), "Review", "")</f>
        <v/>
      </c>
      <c r="Q453" s="4" t="str">
        <f>IF(OR(Table1[[#This Row],[Qty]]&gt;=5,Table1[[#This Row],[Order Size]] = "Large" ), "Bulk", "")</f>
        <v/>
      </c>
      <c r="R453" s="10">
        <f>_xlfn.XLOOKUP(G453, Lookup!$A$2:$A$7, Lookup!$B$2:$B$7, "")</f>
        <v>0.25</v>
      </c>
      <c r="S453" s="4" t="str">
        <f>IF(Table1[[#This Row],[Margin]]&lt;Table1[[#This Row],[Target Margin]], "Yes", "")</f>
        <v/>
      </c>
    </row>
    <row r="454" spans="1:19">
      <c r="A454" t="s">
        <v>499</v>
      </c>
      <c r="B454" s="2">
        <v>46272</v>
      </c>
      <c r="C454" t="s">
        <v>29</v>
      </c>
      <c r="D454" t="s">
        <v>54</v>
      </c>
      <c r="E454">
        <v>1</v>
      </c>
      <c r="F454" t="str">
        <f>_xlfn.XLOOKUP(D454, Products!$A$2:$A$21, Products!$B$2:$B$21, "Not Found")</f>
        <v>Tablet 11in</v>
      </c>
      <c r="G454" t="str">
        <f>_xlfn.XLOOKUP(D454, Products!$A$2:$A$21, Products!$C$2:$C$21,"not found")</f>
        <v>Computers</v>
      </c>
      <c r="H454" s="4">
        <f>_xlfn.XLOOKUP(D454, Products!$A$2:$A$21, Products!$E$2:$E$21, 0)</f>
        <v>899</v>
      </c>
      <c r="I454" s="4">
        <f>_xlfn.XLOOKUP(D454, Products!$A$2:$A$21, Products!$F$2:$F$21,0)</f>
        <v>690</v>
      </c>
      <c r="J454" t="str">
        <f>_xlfn.XLOOKUP(C454, Stores!$A$2:$A$7, Stores!$D$2:$D$7)</f>
        <v>Sydney West</v>
      </c>
      <c r="K454" s="4">
        <f t="shared" si="14"/>
        <v>899</v>
      </c>
      <c r="L454" s="4">
        <f t="shared" si="15"/>
        <v>209</v>
      </c>
      <c r="M454" s="10">
        <f>IF(Table1[[#This Row],[Revenue]]=0, "", Table1[[#This Row],[Profit]]/Table1[[#This Row],[Revenue]])</f>
        <v>0.2324805339265851</v>
      </c>
      <c r="N454" s="4" t="str">
        <f>IF(Table1[[#This Row],[Margin]]="", "check", IF(Table1[[#This Row],[Margin]]&lt;0.2, "Low", "OK"))</f>
        <v>OK</v>
      </c>
      <c r="O454" s="4" t="str" cm="1">
        <f t="array" ref="O454">_xlfn.IFS(Table1[[#This Row],[Revenue]]=0, "Check", Table1[[#This Row],[Revenue]]&gt;=1000, "Large", Table1[[#This Row],[Revenue]]&gt;=200, "Medium", TRUE, "Small")</f>
        <v>Medium</v>
      </c>
      <c r="P454" s="4" t="str">
        <f>IF(AND(Table1[[#This Row],[Margin Flag]]="Low", Table1[[#This Row],[Revenue]]&gt;1000), "Review", "")</f>
        <v/>
      </c>
      <c r="Q454" s="4" t="str">
        <f>IF(OR(Table1[[#This Row],[Qty]]&gt;=5,Table1[[#This Row],[Order Size]] = "Large" ), "Bulk", "")</f>
        <v/>
      </c>
      <c r="R454" s="10">
        <f>_xlfn.XLOOKUP(G454, Lookup!$A$2:$A$7, Lookup!$B$2:$B$7, "")</f>
        <v>0.25</v>
      </c>
      <c r="S454" s="4" t="str">
        <f>IF(Table1[[#This Row],[Margin]]&lt;Table1[[#This Row],[Target Margin]], "Yes", "")</f>
        <v>Yes</v>
      </c>
    </row>
    <row r="455" spans="1:19">
      <c r="A455" t="s">
        <v>500</v>
      </c>
      <c r="B455" s="2">
        <v>46272</v>
      </c>
      <c r="C455" t="s">
        <v>26</v>
      </c>
      <c r="D455" t="s">
        <v>30</v>
      </c>
      <c r="E455">
        <v>2</v>
      </c>
      <c r="F455" t="str">
        <f>_xlfn.XLOOKUP(D455, Products!$A$2:$A$21, Products!$B$2:$B$21, "Not Found")</f>
        <v>Video Game</v>
      </c>
      <c r="G455" t="str">
        <f>_xlfn.XLOOKUP(D455, Products!$A$2:$A$21, Products!$C$2:$C$21,"not found")</f>
        <v>Gaming</v>
      </c>
      <c r="H455" s="4">
        <f>_xlfn.XLOOKUP(D455, Products!$A$2:$A$21, Products!$E$2:$E$21, 0)</f>
        <v>79</v>
      </c>
      <c r="I455" s="4">
        <f>_xlfn.XLOOKUP(D455, Products!$A$2:$A$21, Products!$F$2:$F$21,0)</f>
        <v>52</v>
      </c>
      <c r="J455" t="str">
        <f>_xlfn.XLOOKUP(C455, Stores!$A$2:$A$7, Stores!$D$2:$D$7)</f>
        <v>Sydney North</v>
      </c>
      <c r="K455" s="4">
        <f t="shared" si="14"/>
        <v>158</v>
      </c>
      <c r="L455" s="4">
        <f t="shared" si="15"/>
        <v>54</v>
      </c>
      <c r="M455" s="10">
        <f>IF(Table1[[#This Row],[Revenue]]=0, "", Table1[[#This Row],[Profit]]/Table1[[#This Row],[Revenue]])</f>
        <v>0.34177215189873417</v>
      </c>
      <c r="N455" s="4" t="str">
        <f>IF(Table1[[#This Row],[Margin]]="", "check", IF(Table1[[#This Row],[Margin]]&lt;0.2, "Low", "OK"))</f>
        <v>OK</v>
      </c>
      <c r="O455" s="4" t="str" cm="1">
        <f t="array" ref="O455">_xlfn.IFS(Table1[[#This Row],[Revenue]]=0, "Check", Table1[[#This Row],[Revenue]]&gt;=1000, "Large", Table1[[#This Row],[Revenue]]&gt;=200, "Medium", TRUE, "Small")</f>
        <v>Small</v>
      </c>
      <c r="P455" s="4" t="str">
        <f>IF(AND(Table1[[#This Row],[Margin Flag]]="Low", Table1[[#This Row],[Revenue]]&gt;1000), "Review", "")</f>
        <v/>
      </c>
      <c r="Q455" s="4" t="str">
        <f>IF(OR(Table1[[#This Row],[Qty]]&gt;=5,Table1[[#This Row],[Order Size]] = "Large" ), "Bulk", "")</f>
        <v/>
      </c>
      <c r="R455" s="10">
        <f>_xlfn.XLOOKUP(G455, Lookup!$A$2:$A$7, Lookup!$B$2:$B$7, "")</f>
        <v>0.08</v>
      </c>
      <c r="S455" s="4" t="str">
        <f>IF(Table1[[#This Row],[Margin]]&lt;Table1[[#This Row],[Target Margin]], "Yes", "")</f>
        <v/>
      </c>
    </row>
    <row r="456" spans="1:19">
      <c r="A456" t="s">
        <v>501</v>
      </c>
      <c r="B456" s="2">
        <v>46272</v>
      </c>
      <c r="C456" t="s">
        <v>29</v>
      </c>
      <c r="D456" t="s">
        <v>69</v>
      </c>
      <c r="E456">
        <v>3</v>
      </c>
      <c r="F456" t="str">
        <f>_xlfn.XLOOKUP(D456, Products!$A$2:$A$21, Products!$B$2:$B$21, "Not Found")</f>
        <v>27in Monitor</v>
      </c>
      <c r="G456" t="str">
        <f>_xlfn.XLOOKUP(D456, Products!$A$2:$A$21, Products!$C$2:$C$21,"not found")</f>
        <v>Computers</v>
      </c>
      <c r="H456" s="4">
        <f>_xlfn.XLOOKUP(D456, Products!$A$2:$A$21, Products!$E$2:$E$21, 0)</f>
        <v>399</v>
      </c>
      <c r="I456" s="4">
        <f>_xlfn.XLOOKUP(D456, Products!$A$2:$A$21, Products!$F$2:$F$21,0)</f>
        <v>290</v>
      </c>
      <c r="J456" t="str">
        <f>_xlfn.XLOOKUP(C456, Stores!$A$2:$A$7, Stores!$D$2:$D$7)</f>
        <v>Sydney West</v>
      </c>
      <c r="K456" s="4">
        <f t="shared" si="14"/>
        <v>1197</v>
      </c>
      <c r="L456" s="4">
        <f t="shared" si="15"/>
        <v>327</v>
      </c>
      <c r="M456" s="10">
        <f>IF(Table1[[#This Row],[Revenue]]=0, "", Table1[[#This Row],[Profit]]/Table1[[#This Row],[Revenue]])</f>
        <v>0.27318295739348369</v>
      </c>
      <c r="N456" s="4" t="str">
        <f>IF(Table1[[#This Row],[Margin]]="", "check", IF(Table1[[#This Row],[Margin]]&lt;0.2, "Low", "OK"))</f>
        <v>OK</v>
      </c>
      <c r="O456" s="4" t="str" cm="1">
        <f t="array" ref="O456">_xlfn.IFS(Table1[[#This Row],[Revenue]]=0, "Check", Table1[[#This Row],[Revenue]]&gt;=1000, "Large", Table1[[#This Row],[Revenue]]&gt;=200, "Medium", TRUE, "Small")</f>
        <v>Large</v>
      </c>
      <c r="P456" s="4" t="str">
        <f>IF(AND(Table1[[#This Row],[Margin Flag]]="Low", Table1[[#This Row],[Revenue]]&gt;1000), "Review", "")</f>
        <v/>
      </c>
      <c r="Q456" s="4" t="str">
        <f>IF(OR(Table1[[#This Row],[Qty]]&gt;=5,Table1[[#This Row],[Order Size]] = "Large" ), "Bulk", "")</f>
        <v>Bulk</v>
      </c>
      <c r="R456" s="10">
        <f>_xlfn.XLOOKUP(G456, Lookup!$A$2:$A$7, Lookup!$B$2:$B$7, "")</f>
        <v>0.25</v>
      </c>
      <c r="S456" s="4" t="str">
        <f>IF(Table1[[#This Row],[Margin]]&lt;Table1[[#This Row],[Target Margin]], "Yes", "")</f>
        <v/>
      </c>
    </row>
    <row r="457" spans="1:19">
      <c r="A457" t="s">
        <v>502</v>
      </c>
      <c r="B457" s="2">
        <v>46272</v>
      </c>
      <c r="C457" t="s">
        <v>57</v>
      </c>
      <c r="D457" t="s">
        <v>50</v>
      </c>
      <c r="E457">
        <v>1</v>
      </c>
      <c r="F457" t="str">
        <f>_xlfn.XLOOKUP(D457, Products!$A$2:$A$21, Products!$B$2:$B$21, "Not Found")</f>
        <v>Smartphone 128GB</v>
      </c>
      <c r="G457" t="str">
        <f>_xlfn.XLOOKUP(D457, Products!$A$2:$A$21, Products!$C$2:$C$21,"not found")</f>
        <v>Phones</v>
      </c>
      <c r="H457" s="4">
        <f>_xlfn.XLOOKUP(D457, Products!$A$2:$A$21, Products!$E$2:$E$21, 0)</f>
        <v>1099</v>
      </c>
      <c r="I457" s="4">
        <f>_xlfn.XLOOKUP(D457, Products!$A$2:$A$21, Products!$F$2:$F$21,0)</f>
        <v>860</v>
      </c>
      <c r="J457" t="str">
        <f>_xlfn.XLOOKUP(C457, Stores!$A$2:$A$7, Stores!$D$2:$D$7)</f>
        <v>Sydney South</v>
      </c>
      <c r="K457" s="4">
        <f t="shared" si="14"/>
        <v>1099</v>
      </c>
      <c r="L457" s="4">
        <f t="shared" si="15"/>
        <v>239</v>
      </c>
      <c r="M457" s="10">
        <f>IF(Table1[[#This Row],[Revenue]]=0, "", Table1[[#This Row],[Profit]]/Table1[[#This Row],[Revenue]])</f>
        <v>0.21747042766151045</v>
      </c>
      <c r="N457" s="4" t="str">
        <f>IF(Table1[[#This Row],[Margin]]="", "check", IF(Table1[[#This Row],[Margin]]&lt;0.2, "Low", "OK"))</f>
        <v>OK</v>
      </c>
      <c r="O457" s="4" t="str" cm="1">
        <f t="array" ref="O457">_xlfn.IFS(Table1[[#This Row],[Revenue]]=0, "Check", Table1[[#This Row],[Revenue]]&gt;=1000, "Large", Table1[[#This Row],[Revenue]]&gt;=200, "Medium", TRUE, "Small")</f>
        <v>Large</v>
      </c>
      <c r="P457" s="4" t="str">
        <f>IF(AND(Table1[[#This Row],[Margin Flag]]="Low", Table1[[#This Row],[Revenue]]&gt;1000), "Review", "")</f>
        <v/>
      </c>
      <c r="Q457" s="4" t="str">
        <f>IF(OR(Table1[[#This Row],[Qty]]&gt;=5,Table1[[#This Row],[Order Size]] = "Large" ), "Bulk", "")</f>
        <v>Bulk</v>
      </c>
      <c r="R457" s="10">
        <f>_xlfn.XLOOKUP(G457, Lookup!$A$2:$A$7, Lookup!$B$2:$B$7, "")</f>
        <v>0.25</v>
      </c>
      <c r="S457" s="4" t="str">
        <f>IF(Table1[[#This Row],[Margin]]&lt;Table1[[#This Row],[Target Margin]], "Yes", "")</f>
        <v>Yes</v>
      </c>
    </row>
    <row r="458" spans="1:19">
      <c r="A458" t="s">
        <v>503</v>
      </c>
      <c r="B458" s="2">
        <v>46272</v>
      </c>
      <c r="C458" t="s">
        <v>32</v>
      </c>
      <c r="D458" t="s">
        <v>38</v>
      </c>
      <c r="E458">
        <v>1</v>
      </c>
      <c r="F458" t="str">
        <f>_xlfn.XLOOKUP(D458, Products!$A$2:$A$21, Products!$B$2:$B$21, "Not Found")</f>
        <v>USB-C Charger</v>
      </c>
      <c r="G458" t="str">
        <f>_xlfn.XLOOKUP(D458, Products!$A$2:$A$21, Products!$C$2:$C$21,"not found")</f>
        <v>Accessories</v>
      </c>
      <c r="H458" s="4">
        <f>_xlfn.XLOOKUP(D458, Products!$A$2:$A$21, Products!$E$2:$E$21, 0)</f>
        <v>49</v>
      </c>
      <c r="I458" s="4">
        <f>_xlfn.XLOOKUP(D458, Products!$A$2:$A$21, Products!$F$2:$F$21,0)</f>
        <v>14</v>
      </c>
      <c r="J458" t="str">
        <f>_xlfn.XLOOKUP(C458, Stores!$A$2:$A$7, Stores!$D$2:$D$7)</f>
        <v>Sydney South</v>
      </c>
      <c r="K458" s="4">
        <f t="shared" si="14"/>
        <v>49</v>
      </c>
      <c r="L458" s="4">
        <f t="shared" si="15"/>
        <v>35</v>
      </c>
      <c r="M458" s="10">
        <f>IF(Table1[[#This Row],[Revenue]]=0, "", Table1[[#This Row],[Profit]]/Table1[[#This Row],[Revenue]])</f>
        <v>0.7142857142857143</v>
      </c>
      <c r="N458" s="4" t="str">
        <f>IF(Table1[[#This Row],[Margin]]="", "check", IF(Table1[[#This Row],[Margin]]&lt;0.2, "Low", "OK"))</f>
        <v>OK</v>
      </c>
      <c r="O458" s="4" t="str" cm="1">
        <f t="array" ref="O458">_xlfn.IFS(Table1[[#This Row],[Revenue]]=0, "Check", Table1[[#This Row],[Revenue]]&gt;=1000, "Large", Table1[[#This Row],[Revenue]]&gt;=200, "Medium", TRUE, "Small")</f>
        <v>Small</v>
      </c>
      <c r="P458" s="4" t="str">
        <f>IF(AND(Table1[[#This Row],[Margin Flag]]="Low", Table1[[#This Row],[Revenue]]&gt;1000), "Review", "")</f>
        <v/>
      </c>
      <c r="Q458" s="4" t="str">
        <f>IF(OR(Table1[[#This Row],[Qty]]&gt;=5,Table1[[#This Row],[Order Size]] = "Large" ), "Bulk", "")</f>
        <v/>
      </c>
      <c r="R458" s="10">
        <f>_xlfn.XLOOKUP(G458, Lookup!$A$2:$A$7, Lookup!$B$2:$B$7, "")</f>
        <v>0.25</v>
      </c>
      <c r="S458" s="4" t="str">
        <f>IF(Table1[[#This Row],[Margin]]&lt;Table1[[#This Row],[Target Margin]], "Yes", "")</f>
        <v/>
      </c>
    </row>
    <row r="459" spans="1:19">
      <c r="A459" t="s">
        <v>504</v>
      </c>
      <c r="B459" s="2">
        <v>46272</v>
      </c>
      <c r="C459" t="s">
        <v>20</v>
      </c>
      <c r="D459" t="s">
        <v>60</v>
      </c>
      <c r="E459">
        <v>1</v>
      </c>
      <c r="F459" t="str">
        <f>_xlfn.XLOOKUP(D459, Products!$A$2:$A$21, Products!$B$2:$B$21, "Not Found")</f>
        <v>55in TV</v>
      </c>
      <c r="G459" t="str">
        <f>_xlfn.XLOOKUP(D459, Products!$A$2:$A$21, Products!$C$2:$C$21,"not found")</f>
        <v>TV</v>
      </c>
      <c r="H459" s="4">
        <f>_xlfn.XLOOKUP(D459, Products!$A$2:$A$21, Products!$E$2:$E$21, 0)</f>
        <v>1299</v>
      </c>
      <c r="I459" s="4">
        <f>_xlfn.XLOOKUP(D459, Products!$A$2:$A$21, Products!$F$2:$F$21,0)</f>
        <v>980</v>
      </c>
      <c r="J459" t="str">
        <f>_xlfn.XLOOKUP(C459, Stores!$A$2:$A$7, Stores!$D$2:$D$7)</f>
        <v>Sydney West</v>
      </c>
      <c r="K459" s="4">
        <f t="shared" si="14"/>
        <v>1299</v>
      </c>
      <c r="L459" s="4">
        <f t="shared" si="15"/>
        <v>319</v>
      </c>
      <c r="M459" s="10">
        <f>IF(Table1[[#This Row],[Revenue]]=0, "", Table1[[#This Row],[Profit]]/Table1[[#This Row],[Revenue]])</f>
        <v>0.2455735180908391</v>
      </c>
      <c r="N459" s="4" t="str">
        <f>IF(Table1[[#This Row],[Margin]]="", "check", IF(Table1[[#This Row],[Margin]]&lt;0.2, "Low", "OK"))</f>
        <v>OK</v>
      </c>
      <c r="O459" s="4" t="str" cm="1">
        <f t="array" ref="O459">_xlfn.IFS(Table1[[#This Row],[Revenue]]=0, "Check", Table1[[#This Row],[Revenue]]&gt;=1000, "Large", Table1[[#This Row],[Revenue]]&gt;=200, "Medium", TRUE, "Small")</f>
        <v>Large</v>
      </c>
      <c r="P459" s="4" t="str">
        <f>IF(AND(Table1[[#This Row],[Margin Flag]]="Low", Table1[[#This Row],[Revenue]]&gt;1000), "Review", "")</f>
        <v/>
      </c>
      <c r="Q459" s="4" t="str">
        <f>IF(OR(Table1[[#This Row],[Qty]]&gt;=5,Table1[[#This Row],[Order Size]] = "Large" ), "Bulk", "")</f>
        <v>Bulk</v>
      </c>
      <c r="R459" s="10">
        <f>_xlfn.XLOOKUP(G459, Lookup!$A$2:$A$7, Lookup!$B$2:$B$7, "")</f>
        <v>0.25</v>
      </c>
      <c r="S459" s="4" t="str">
        <f>IF(Table1[[#This Row],[Margin]]&lt;Table1[[#This Row],[Target Margin]], "Yes", "")</f>
        <v>Yes</v>
      </c>
    </row>
    <row r="460" spans="1:19">
      <c r="A460" t="s">
        <v>505</v>
      </c>
      <c r="B460" s="2">
        <v>46273</v>
      </c>
      <c r="C460" t="s">
        <v>20</v>
      </c>
      <c r="D460" t="s">
        <v>21</v>
      </c>
      <c r="E460">
        <v>1</v>
      </c>
      <c r="F460" t="str">
        <f>_xlfn.XLOOKUP(D460, Products!$A$2:$A$21, Products!$B$2:$B$21, "Not Found")</f>
        <v>Gaming Mouse</v>
      </c>
      <c r="G460" t="str">
        <f>_xlfn.XLOOKUP(D460, Products!$A$2:$A$21, Products!$C$2:$C$21,"not found")</f>
        <v>Accessories</v>
      </c>
      <c r="H460" s="4">
        <f>_xlfn.XLOOKUP(D460, Products!$A$2:$A$21, Products!$E$2:$E$21, 0)</f>
        <v>89</v>
      </c>
      <c r="I460" s="4">
        <f>_xlfn.XLOOKUP(D460, Products!$A$2:$A$21, Products!$F$2:$F$21,0)</f>
        <v>41</v>
      </c>
      <c r="J460" t="str">
        <f>_xlfn.XLOOKUP(C460, Stores!$A$2:$A$7, Stores!$D$2:$D$7)</f>
        <v>Sydney West</v>
      </c>
      <c r="K460" s="4">
        <f t="shared" si="14"/>
        <v>89</v>
      </c>
      <c r="L460" s="4">
        <f t="shared" si="15"/>
        <v>48</v>
      </c>
      <c r="M460" s="10">
        <f>IF(Table1[[#This Row],[Revenue]]=0, "", Table1[[#This Row],[Profit]]/Table1[[#This Row],[Revenue]])</f>
        <v>0.5393258426966292</v>
      </c>
      <c r="N460" s="4" t="str">
        <f>IF(Table1[[#This Row],[Margin]]="", "check", IF(Table1[[#This Row],[Margin]]&lt;0.2, "Low", "OK"))</f>
        <v>OK</v>
      </c>
      <c r="O460" s="4" t="str" cm="1">
        <f t="array" ref="O460">_xlfn.IFS(Table1[[#This Row],[Revenue]]=0, "Check", Table1[[#This Row],[Revenue]]&gt;=1000, "Large", Table1[[#This Row],[Revenue]]&gt;=200, "Medium", TRUE, "Small")</f>
        <v>Small</v>
      </c>
      <c r="P460" s="4" t="str">
        <f>IF(AND(Table1[[#This Row],[Margin Flag]]="Low", Table1[[#This Row],[Revenue]]&gt;1000), "Review", "")</f>
        <v/>
      </c>
      <c r="Q460" s="4" t="str">
        <f>IF(OR(Table1[[#This Row],[Qty]]&gt;=5,Table1[[#This Row],[Order Size]] = "Large" ), "Bulk", "")</f>
        <v/>
      </c>
      <c r="R460" s="10">
        <f>_xlfn.XLOOKUP(G460, Lookup!$A$2:$A$7, Lookup!$B$2:$B$7, "")</f>
        <v>0.25</v>
      </c>
      <c r="S460" s="4" t="str">
        <f>IF(Table1[[#This Row],[Margin]]&lt;Table1[[#This Row],[Target Margin]], "Yes", "")</f>
        <v/>
      </c>
    </row>
    <row r="461" spans="1:19">
      <c r="A461" t="s">
        <v>506</v>
      </c>
      <c r="B461" s="2">
        <v>46273</v>
      </c>
      <c r="C461" t="s">
        <v>57</v>
      </c>
      <c r="D461" t="s">
        <v>35</v>
      </c>
      <c r="E461">
        <v>2</v>
      </c>
      <c r="F461" t="str">
        <f>_xlfn.XLOOKUP(D461, Products!$A$2:$A$21, Products!$B$2:$B$21, "Not Found")</f>
        <v>Phone Case</v>
      </c>
      <c r="G461" t="str">
        <f>_xlfn.XLOOKUP(D461, Products!$A$2:$A$21, Products!$C$2:$C$21,"not found")</f>
        <v>Accessories</v>
      </c>
      <c r="H461" s="4">
        <f>_xlfn.XLOOKUP(D461, Products!$A$2:$A$21, Products!$E$2:$E$21, 0)</f>
        <v>39</v>
      </c>
      <c r="I461" s="4">
        <f>_xlfn.XLOOKUP(D461, Products!$A$2:$A$21, Products!$F$2:$F$21,0)</f>
        <v>9</v>
      </c>
      <c r="J461" t="str">
        <f>_xlfn.XLOOKUP(C461, Stores!$A$2:$A$7, Stores!$D$2:$D$7)</f>
        <v>Sydney South</v>
      </c>
      <c r="K461" s="4">
        <f t="shared" si="14"/>
        <v>78</v>
      </c>
      <c r="L461" s="4">
        <f t="shared" si="15"/>
        <v>60</v>
      </c>
      <c r="M461" s="10">
        <f>IF(Table1[[#This Row],[Revenue]]=0, "", Table1[[#This Row],[Profit]]/Table1[[#This Row],[Revenue]])</f>
        <v>0.76923076923076927</v>
      </c>
      <c r="N461" s="4" t="str">
        <f>IF(Table1[[#This Row],[Margin]]="", "check", IF(Table1[[#This Row],[Margin]]&lt;0.2, "Low", "OK"))</f>
        <v>OK</v>
      </c>
      <c r="O461" s="4" t="str" cm="1">
        <f t="array" ref="O461">_xlfn.IFS(Table1[[#This Row],[Revenue]]=0, "Check", Table1[[#This Row],[Revenue]]&gt;=1000, "Large", Table1[[#This Row],[Revenue]]&gt;=200, "Medium", TRUE, "Small")</f>
        <v>Small</v>
      </c>
      <c r="P461" s="4" t="str">
        <f>IF(AND(Table1[[#This Row],[Margin Flag]]="Low", Table1[[#This Row],[Revenue]]&gt;1000), "Review", "")</f>
        <v/>
      </c>
      <c r="Q461" s="4" t="str">
        <f>IF(OR(Table1[[#This Row],[Qty]]&gt;=5,Table1[[#This Row],[Order Size]] = "Large" ), "Bulk", "")</f>
        <v/>
      </c>
      <c r="R461" s="10">
        <f>_xlfn.XLOOKUP(G461, Lookup!$A$2:$A$7, Lookup!$B$2:$B$7, "")</f>
        <v>0.25</v>
      </c>
      <c r="S461" s="4" t="str">
        <f>IF(Table1[[#This Row],[Margin]]&lt;Table1[[#This Row],[Target Margin]], "Yes", "")</f>
        <v/>
      </c>
    </row>
    <row r="462" spans="1:19">
      <c r="A462" t="s">
        <v>507</v>
      </c>
      <c r="B462" s="2">
        <v>46273</v>
      </c>
      <c r="C462" t="s">
        <v>57</v>
      </c>
      <c r="D462" t="s">
        <v>21</v>
      </c>
      <c r="E462">
        <v>1</v>
      </c>
      <c r="F462" t="str">
        <f>_xlfn.XLOOKUP(D462, Products!$A$2:$A$21, Products!$B$2:$B$21, "Not Found")</f>
        <v>Gaming Mouse</v>
      </c>
      <c r="G462" t="str">
        <f>_xlfn.XLOOKUP(D462, Products!$A$2:$A$21, Products!$C$2:$C$21,"not found")</f>
        <v>Accessories</v>
      </c>
      <c r="H462" s="4">
        <f>_xlfn.XLOOKUP(D462, Products!$A$2:$A$21, Products!$E$2:$E$21, 0)</f>
        <v>89</v>
      </c>
      <c r="I462" s="4">
        <f>_xlfn.XLOOKUP(D462, Products!$A$2:$A$21, Products!$F$2:$F$21,0)</f>
        <v>41</v>
      </c>
      <c r="J462" t="str">
        <f>_xlfn.XLOOKUP(C462, Stores!$A$2:$A$7, Stores!$D$2:$D$7)</f>
        <v>Sydney South</v>
      </c>
      <c r="K462" s="4">
        <f t="shared" si="14"/>
        <v>89</v>
      </c>
      <c r="L462" s="4">
        <f t="shared" si="15"/>
        <v>48</v>
      </c>
      <c r="M462" s="10">
        <f>IF(Table1[[#This Row],[Revenue]]=0, "", Table1[[#This Row],[Profit]]/Table1[[#This Row],[Revenue]])</f>
        <v>0.5393258426966292</v>
      </c>
      <c r="N462" s="4" t="str">
        <f>IF(Table1[[#This Row],[Margin]]="", "check", IF(Table1[[#This Row],[Margin]]&lt;0.2, "Low", "OK"))</f>
        <v>OK</v>
      </c>
      <c r="O462" s="4" t="str" cm="1">
        <f t="array" ref="O462">_xlfn.IFS(Table1[[#This Row],[Revenue]]=0, "Check", Table1[[#This Row],[Revenue]]&gt;=1000, "Large", Table1[[#This Row],[Revenue]]&gt;=200, "Medium", TRUE, "Small")</f>
        <v>Small</v>
      </c>
      <c r="P462" s="4" t="str">
        <f>IF(AND(Table1[[#This Row],[Margin Flag]]="Low", Table1[[#This Row],[Revenue]]&gt;1000), "Review", "")</f>
        <v/>
      </c>
      <c r="Q462" s="4" t="str">
        <f>IF(OR(Table1[[#This Row],[Qty]]&gt;=5,Table1[[#This Row],[Order Size]] = "Large" ), "Bulk", "")</f>
        <v/>
      </c>
      <c r="R462" s="10">
        <f>_xlfn.XLOOKUP(G462, Lookup!$A$2:$A$7, Lookup!$B$2:$B$7, "")</f>
        <v>0.25</v>
      </c>
      <c r="S462" s="4" t="str">
        <f>IF(Table1[[#This Row],[Margin]]&lt;Table1[[#This Row],[Target Margin]], "Yes", "")</f>
        <v/>
      </c>
    </row>
    <row r="463" spans="1:19">
      <c r="A463" t="s">
        <v>508</v>
      </c>
      <c r="B463" s="2">
        <v>46274</v>
      </c>
      <c r="C463" t="s">
        <v>57</v>
      </c>
      <c r="D463" t="s">
        <v>43</v>
      </c>
      <c r="E463">
        <v>1</v>
      </c>
      <c r="F463" t="str">
        <f>_xlfn.XLOOKUP(D463, Products!$A$2:$A$21, Products!$B$2:$B$21, "Not Found")</f>
        <v>Console Controller</v>
      </c>
      <c r="G463" t="str">
        <f>_xlfn.XLOOKUP(D463, Products!$A$2:$A$21, Products!$C$2:$C$21,"not found")</f>
        <v>Gaming</v>
      </c>
      <c r="H463" s="4">
        <f>_xlfn.XLOOKUP(D463, Products!$A$2:$A$21, Products!$E$2:$E$21, 0)</f>
        <v>99</v>
      </c>
      <c r="I463" s="4">
        <f>_xlfn.XLOOKUP(D463, Products!$A$2:$A$21, Products!$F$2:$F$21,0)</f>
        <v>58</v>
      </c>
      <c r="J463" t="str">
        <f>_xlfn.XLOOKUP(C463, Stores!$A$2:$A$7, Stores!$D$2:$D$7)</f>
        <v>Sydney South</v>
      </c>
      <c r="K463" s="4">
        <f t="shared" si="14"/>
        <v>99</v>
      </c>
      <c r="L463" s="4">
        <f t="shared" si="15"/>
        <v>41</v>
      </c>
      <c r="M463" s="10">
        <f>IF(Table1[[#This Row],[Revenue]]=0, "", Table1[[#This Row],[Profit]]/Table1[[#This Row],[Revenue]])</f>
        <v>0.41414141414141414</v>
      </c>
      <c r="N463" s="4" t="str">
        <f>IF(Table1[[#This Row],[Margin]]="", "check", IF(Table1[[#This Row],[Margin]]&lt;0.2, "Low", "OK"))</f>
        <v>OK</v>
      </c>
      <c r="O463" s="4" t="str" cm="1">
        <f t="array" ref="O463">_xlfn.IFS(Table1[[#This Row],[Revenue]]=0, "Check", Table1[[#This Row],[Revenue]]&gt;=1000, "Large", Table1[[#This Row],[Revenue]]&gt;=200, "Medium", TRUE, "Small")</f>
        <v>Small</v>
      </c>
      <c r="P463" s="4" t="str">
        <f>IF(AND(Table1[[#This Row],[Margin Flag]]="Low", Table1[[#This Row],[Revenue]]&gt;1000), "Review", "")</f>
        <v/>
      </c>
      <c r="Q463" s="4" t="str">
        <f>IF(OR(Table1[[#This Row],[Qty]]&gt;=5,Table1[[#This Row],[Order Size]] = "Large" ), "Bulk", "")</f>
        <v/>
      </c>
      <c r="R463" s="10">
        <f>_xlfn.XLOOKUP(G463, Lookup!$A$2:$A$7, Lookup!$B$2:$B$7, "")</f>
        <v>0.08</v>
      </c>
      <c r="S463" s="4" t="str">
        <f>IF(Table1[[#This Row],[Margin]]&lt;Table1[[#This Row],[Target Margin]], "Yes", "")</f>
        <v/>
      </c>
    </row>
    <row r="464" spans="1:19">
      <c r="A464" t="s">
        <v>509</v>
      </c>
      <c r="B464" s="2">
        <v>46274</v>
      </c>
      <c r="C464" t="s">
        <v>26</v>
      </c>
      <c r="D464" t="s">
        <v>35</v>
      </c>
      <c r="E464">
        <v>1</v>
      </c>
      <c r="F464" t="str">
        <f>_xlfn.XLOOKUP(D464, Products!$A$2:$A$21, Products!$B$2:$B$21, "Not Found")</f>
        <v>Phone Case</v>
      </c>
      <c r="G464" t="str">
        <f>_xlfn.XLOOKUP(D464, Products!$A$2:$A$21, Products!$C$2:$C$21,"not found")</f>
        <v>Accessories</v>
      </c>
      <c r="H464" s="4">
        <f>_xlfn.XLOOKUP(D464, Products!$A$2:$A$21, Products!$E$2:$E$21, 0)</f>
        <v>39</v>
      </c>
      <c r="I464" s="4">
        <f>_xlfn.XLOOKUP(D464, Products!$A$2:$A$21, Products!$F$2:$F$21,0)</f>
        <v>9</v>
      </c>
      <c r="J464" t="str">
        <f>_xlfn.XLOOKUP(C464, Stores!$A$2:$A$7, Stores!$D$2:$D$7)</f>
        <v>Sydney North</v>
      </c>
      <c r="K464" s="4">
        <f t="shared" si="14"/>
        <v>39</v>
      </c>
      <c r="L464" s="4">
        <f t="shared" si="15"/>
        <v>30</v>
      </c>
      <c r="M464" s="10">
        <f>IF(Table1[[#This Row],[Revenue]]=0, "", Table1[[#This Row],[Profit]]/Table1[[#This Row],[Revenue]])</f>
        <v>0.76923076923076927</v>
      </c>
      <c r="N464" s="4" t="str">
        <f>IF(Table1[[#This Row],[Margin]]="", "check", IF(Table1[[#This Row],[Margin]]&lt;0.2, "Low", "OK"))</f>
        <v>OK</v>
      </c>
      <c r="O464" s="4" t="str" cm="1">
        <f t="array" ref="O464">_xlfn.IFS(Table1[[#This Row],[Revenue]]=0, "Check", Table1[[#This Row],[Revenue]]&gt;=1000, "Large", Table1[[#This Row],[Revenue]]&gt;=200, "Medium", TRUE, "Small")</f>
        <v>Small</v>
      </c>
      <c r="P464" s="4" t="str">
        <f>IF(AND(Table1[[#This Row],[Margin Flag]]="Low", Table1[[#This Row],[Revenue]]&gt;1000), "Review", "")</f>
        <v/>
      </c>
      <c r="Q464" s="4" t="str">
        <f>IF(OR(Table1[[#This Row],[Qty]]&gt;=5,Table1[[#This Row],[Order Size]] = "Large" ), "Bulk", "")</f>
        <v/>
      </c>
      <c r="R464" s="10">
        <f>_xlfn.XLOOKUP(G464, Lookup!$A$2:$A$7, Lookup!$B$2:$B$7, "")</f>
        <v>0.25</v>
      </c>
      <c r="S464" s="4" t="str">
        <f>IF(Table1[[#This Row],[Margin]]&lt;Table1[[#This Row],[Target Margin]], "Yes", "")</f>
        <v/>
      </c>
    </row>
    <row r="465" spans="1:19">
      <c r="A465" t="s">
        <v>510</v>
      </c>
      <c r="B465" s="2">
        <v>46274</v>
      </c>
      <c r="C465" t="s">
        <v>26</v>
      </c>
      <c r="D465" t="s">
        <v>27</v>
      </c>
      <c r="E465">
        <v>1</v>
      </c>
      <c r="F465" t="str">
        <f>_xlfn.XLOOKUP(D465, Products!$A$2:$A$21, Products!$B$2:$B$21, "Not Found")</f>
        <v>Bluetooth Speaker</v>
      </c>
      <c r="G465" t="str">
        <f>_xlfn.XLOOKUP(D465, Products!$A$2:$A$21, Products!$C$2:$C$21,"not found")</f>
        <v>Audio</v>
      </c>
      <c r="H465" s="4">
        <f>_xlfn.XLOOKUP(D465, Products!$A$2:$A$21, Products!$E$2:$E$21, 0)</f>
        <v>179</v>
      </c>
      <c r="I465" s="4">
        <f>_xlfn.XLOOKUP(D465, Products!$A$2:$A$21, Products!$F$2:$F$21,0)</f>
        <v>95</v>
      </c>
      <c r="J465" t="str">
        <f>_xlfn.XLOOKUP(C465, Stores!$A$2:$A$7, Stores!$D$2:$D$7)</f>
        <v>Sydney North</v>
      </c>
      <c r="K465" s="4">
        <f t="shared" si="14"/>
        <v>179</v>
      </c>
      <c r="L465" s="4">
        <f t="shared" si="15"/>
        <v>84</v>
      </c>
      <c r="M465" s="10">
        <f>IF(Table1[[#This Row],[Revenue]]=0, "", Table1[[#This Row],[Profit]]/Table1[[#This Row],[Revenue]])</f>
        <v>0.46927374301675978</v>
      </c>
      <c r="N465" s="4" t="str">
        <f>IF(Table1[[#This Row],[Margin]]="", "check", IF(Table1[[#This Row],[Margin]]&lt;0.2, "Low", "OK"))</f>
        <v>OK</v>
      </c>
      <c r="O465" s="4" t="str" cm="1">
        <f t="array" ref="O465">_xlfn.IFS(Table1[[#This Row],[Revenue]]=0, "Check", Table1[[#This Row],[Revenue]]&gt;=1000, "Large", Table1[[#This Row],[Revenue]]&gt;=200, "Medium", TRUE, "Small")</f>
        <v>Small</v>
      </c>
      <c r="P465" s="4" t="str">
        <f>IF(AND(Table1[[#This Row],[Margin Flag]]="Low", Table1[[#This Row],[Revenue]]&gt;1000), "Review", "")</f>
        <v/>
      </c>
      <c r="Q465" s="4" t="str">
        <f>IF(OR(Table1[[#This Row],[Qty]]&gt;=5,Table1[[#This Row],[Order Size]] = "Large" ), "Bulk", "")</f>
        <v/>
      </c>
      <c r="R465" s="10">
        <f>_xlfn.XLOOKUP(G465, Lookup!$A$2:$A$7, Lookup!$B$2:$B$7, "")</f>
        <v>0.25</v>
      </c>
      <c r="S465" s="4" t="str">
        <f>IF(Table1[[#This Row],[Margin]]&lt;Table1[[#This Row],[Target Margin]], "Yes", "")</f>
        <v/>
      </c>
    </row>
    <row r="466" spans="1:19">
      <c r="A466" t="s">
        <v>511</v>
      </c>
      <c r="B466" s="2">
        <v>46274</v>
      </c>
      <c r="C466" t="s">
        <v>20</v>
      </c>
      <c r="D466" t="s">
        <v>27</v>
      </c>
      <c r="E466">
        <v>2</v>
      </c>
      <c r="F466" t="str">
        <f>_xlfn.XLOOKUP(D466, Products!$A$2:$A$21, Products!$B$2:$B$21, "Not Found")</f>
        <v>Bluetooth Speaker</v>
      </c>
      <c r="G466" t="str">
        <f>_xlfn.XLOOKUP(D466, Products!$A$2:$A$21, Products!$C$2:$C$21,"not found")</f>
        <v>Audio</v>
      </c>
      <c r="H466" s="4">
        <f>_xlfn.XLOOKUP(D466, Products!$A$2:$A$21, Products!$E$2:$E$21, 0)</f>
        <v>179</v>
      </c>
      <c r="I466" s="4">
        <f>_xlfn.XLOOKUP(D466, Products!$A$2:$A$21, Products!$F$2:$F$21,0)</f>
        <v>95</v>
      </c>
      <c r="J466" t="str">
        <f>_xlfn.XLOOKUP(C466, Stores!$A$2:$A$7, Stores!$D$2:$D$7)</f>
        <v>Sydney West</v>
      </c>
      <c r="K466" s="4">
        <f t="shared" si="14"/>
        <v>358</v>
      </c>
      <c r="L466" s="4">
        <f t="shared" si="15"/>
        <v>168</v>
      </c>
      <c r="M466" s="10">
        <f>IF(Table1[[#This Row],[Revenue]]=0, "", Table1[[#This Row],[Profit]]/Table1[[#This Row],[Revenue]])</f>
        <v>0.46927374301675978</v>
      </c>
      <c r="N466" s="4" t="str">
        <f>IF(Table1[[#This Row],[Margin]]="", "check", IF(Table1[[#This Row],[Margin]]&lt;0.2, "Low", "OK"))</f>
        <v>OK</v>
      </c>
      <c r="O466" s="4" t="str" cm="1">
        <f t="array" ref="O466">_xlfn.IFS(Table1[[#This Row],[Revenue]]=0, "Check", Table1[[#This Row],[Revenue]]&gt;=1000, "Large", Table1[[#This Row],[Revenue]]&gt;=200, "Medium", TRUE, "Small")</f>
        <v>Medium</v>
      </c>
      <c r="P466" s="4" t="str">
        <f>IF(AND(Table1[[#This Row],[Margin Flag]]="Low", Table1[[#This Row],[Revenue]]&gt;1000), "Review", "")</f>
        <v/>
      </c>
      <c r="Q466" s="4" t="str">
        <f>IF(OR(Table1[[#This Row],[Qty]]&gt;=5,Table1[[#This Row],[Order Size]] = "Large" ), "Bulk", "")</f>
        <v/>
      </c>
      <c r="R466" s="10">
        <f>_xlfn.XLOOKUP(G466, Lookup!$A$2:$A$7, Lookup!$B$2:$B$7, "")</f>
        <v>0.25</v>
      </c>
      <c r="S466" s="4" t="str">
        <f>IF(Table1[[#This Row],[Margin]]&lt;Table1[[#This Row],[Target Margin]], "Yes", "")</f>
        <v/>
      </c>
    </row>
    <row r="467" spans="1:19">
      <c r="A467" t="s">
        <v>512</v>
      </c>
      <c r="B467" s="2">
        <v>46274</v>
      </c>
      <c r="C467" t="s">
        <v>57</v>
      </c>
      <c r="D467" t="s">
        <v>38</v>
      </c>
      <c r="E467">
        <v>1</v>
      </c>
      <c r="F467" t="str">
        <f>_xlfn.XLOOKUP(D467, Products!$A$2:$A$21, Products!$B$2:$B$21, "Not Found")</f>
        <v>USB-C Charger</v>
      </c>
      <c r="G467" t="str">
        <f>_xlfn.XLOOKUP(D467, Products!$A$2:$A$21, Products!$C$2:$C$21,"not found")</f>
        <v>Accessories</v>
      </c>
      <c r="H467" s="4">
        <f>_xlfn.XLOOKUP(D467, Products!$A$2:$A$21, Products!$E$2:$E$21, 0)</f>
        <v>49</v>
      </c>
      <c r="I467" s="4">
        <f>_xlfn.XLOOKUP(D467, Products!$A$2:$A$21, Products!$F$2:$F$21,0)</f>
        <v>14</v>
      </c>
      <c r="J467" t="str">
        <f>_xlfn.XLOOKUP(C467, Stores!$A$2:$A$7, Stores!$D$2:$D$7)</f>
        <v>Sydney South</v>
      </c>
      <c r="K467" s="4">
        <f t="shared" si="14"/>
        <v>49</v>
      </c>
      <c r="L467" s="4">
        <f t="shared" si="15"/>
        <v>35</v>
      </c>
      <c r="M467" s="10">
        <f>IF(Table1[[#This Row],[Revenue]]=0, "", Table1[[#This Row],[Profit]]/Table1[[#This Row],[Revenue]])</f>
        <v>0.7142857142857143</v>
      </c>
      <c r="N467" s="4" t="str">
        <f>IF(Table1[[#This Row],[Margin]]="", "check", IF(Table1[[#This Row],[Margin]]&lt;0.2, "Low", "OK"))</f>
        <v>OK</v>
      </c>
      <c r="O467" s="4" t="str" cm="1">
        <f t="array" ref="O467">_xlfn.IFS(Table1[[#This Row],[Revenue]]=0, "Check", Table1[[#This Row],[Revenue]]&gt;=1000, "Large", Table1[[#This Row],[Revenue]]&gt;=200, "Medium", TRUE, "Small")</f>
        <v>Small</v>
      </c>
      <c r="P467" s="4" t="str">
        <f>IF(AND(Table1[[#This Row],[Margin Flag]]="Low", Table1[[#This Row],[Revenue]]&gt;1000), "Review", "")</f>
        <v/>
      </c>
      <c r="Q467" s="4" t="str">
        <f>IF(OR(Table1[[#This Row],[Qty]]&gt;=5,Table1[[#This Row],[Order Size]] = "Large" ), "Bulk", "")</f>
        <v/>
      </c>
      <c r="R467" s="10">
        <f>_xlfn.XLOOKUP(G467, Lookup!$A$2:$A$7, Lookup!$B$2:$B$7, "")</f>
        <v>0.25</v>
      </c>
      <c r="S467" s="4" t="str">
        <f>IF(Table1[[#This Row],[Margin]]&lt;Table1[[#This Row],[Target Margin]], "Yes", "")</f>
        <v/>
      </c>
    </row>
    <row r="468" spans="1:19">
      <c r="A468" t="s">
        <v>513</v>
      </c>
      <c r="B468" s="2">
        <v>46274</v>
      </c>
      <c r="C468" t="s">
        <v>29</v>
      </c>
      <c r="D468" t="s">
        <v>35</v>
      </c>
      <c r="E468">
        <v>1</v>
      </c>
      <c r="F468" t="str">
        <f>_xlfn.XLOOKUP(D468, Products!$A$2:$A$21, Products!$B$2:$B$21, "Not Found")</f>
        <v>Phone Case</v>
      </c>
      <c r="G468" t="str">
        <f>_xlfn.XLOOKUP(D468, Products!$A$2:$A$21, Products!$C$2:$C$21,"not found")</f>
        <v>Accessories</v>
      </c>
      <c r="H468" s="4">
        <f>_xlfn.XLOOKUP(D468, Products!$A$2:$A$21, Products!$E$2:$E$21, 0)</f>
        <v>39</v>
      </c>
      <c r="I468" s="4">
        <f>_xlfn.XLOOKUP(D468, Products!$A$2:$A$21, Products!$F$2:$F$21,0)</f>
        <v>9</v>
      </c>
      <c r="J468" t="str">
        <f>_xlfn.XLOOKUP(C468, Stores!$A$2:$A$7, Stores!$D$2:$D$7)</f>
        <v>Sydney West</v>
      </c>
      <c r="K468" s="4">
        <f t="shared" si="14"/>
        <v>39</v>
      </c>
      <c r="L468" s="4">
        <f t="shared" si="15"/>
        <v>30</v>
      </c>
      <c r="M468" s="10">
        <f>IF(Table1[[#This Row],[Revenue]]=0, "", Table1[[#This Row],[Profit]]/Table1[[#This Row],[Revenue]])</f>
        <v>0.76923076923076927</v>
      </c>
      <c r="N468" s="4" t="str">
        <f>IF(Table1[[#This Row],[Margin]]="", "check", IF(Table1[[#This Row],[Margin]]&lt;0.2, "Low", "OK"))</f>
        <v>OK</v>
      </c>
      <c r="O468" s="4" t="str" cm="1">
        <f t="array" ref="O468">_xlfn.IFS(Table1[[#This Row],[Revenue]]=0, "Check", Table1[[#This Row],[Revenue]]&gt;=1000, "Large", Table1[[#This Row],[Revenue]]&gt;=200, "Medium", TRUE, "Small")</f>
        <v>Small</v>
      </c>
      <c r="P468" s="4" t="str">
        <f>IF(AND(Table1[[#This Row],[Margin Flag]]="Low", Table1[[#This Row],[Revenue]]&gt;1000), "Review", "")</f>
        <v/>
      </c>
      <c r="Q468" s="4" t="str">
        <f>IF(OR(Table1[[#This Row],[Qty]]&gt;=5,Table1[[#This Row],[Order Size]] = "Large" ), "Bulk", "")</f>
        <v/>
      </c>
      <c r="R468" s="10">
        <f>_xlfn.XLOOKUP(G468, Lookup!$A$2:$A$7, Lookup!$B$2:$B$7, "")</f>
        <v>0.25</v>
      </c>
      <c r="S468" s="4" t="str">
        <f>IF(Table1[[#This Row],[Margin]]&lt;Table1[[#This Row],[Target Margin]], "Yes", "")</f>
        <v/>
      </c>
    </row>
    <row r="469" spans="1:19">
      <c r="A469" t="s">
        <v>514</v>
      </c>
      <c r="B469" s="2">
        <v>46274</v>
      </c>
      <c r="C469" t="s">
        <v>32</v>
      </c>
      <c r="D469" t="s">
        <v>80</v>
      </c>
      <c r="E469">
        <v>1</v>
      </c>
      <c r="F469" t="str">
        <f>_xlfn.XLOOKUP(D469, Products!$A$2:$A$21, Products!$B$2:$B$21, "Not Found")</f>
        <v>Over-Ear Headphones</v>
      </c>
      <c r="G469" t="str">
        <f>_xlfn.XLOOKUP(D469, Products!$A$2:$A$21, Products!$C$2:$C$21,"not found")</f>
        <v>Audio</v>
      </c>
      <c r="H469" s="4">
        <f>_xlfn.XLOOKUP(D469, Products!$A$2:$A$21, Products!$E$2:$E$21, 0)</f>
        <v>499</v>
      </c>
      <c r="I469" s="4">
        <f>_xlfn.XLOOKUP(D469, Products!$A$2:$A$21, Products!$F$2:$F$21,0)</f>
        <v>310</v>
      </c>
      <c r="J469" t="str">
        <f>_xlfn.XLOOKUP(C469, Stores!$A$2:$A$7, Stores!$D$2:$D$7)</f>
        <v>Sydney South</v>
      </c>
      <c r="K469" s="4">
        <f t="shared" si="14"/>
        <v>499</v>
      </c>
      <c r="L469" s="4">
        <f t="shared" si="15"/>
        <v>189</v>
      </c>
      <c r="M469" s="10">
        <f>IF(Table1[[#This Row],[Revenue]]=0, "", Table1[[#This Row],[Profit]]/Table1[[#This Row],[Revenue]])</f>
        <v>0.37875751503006011</v>
      </c>
      <c r="N469" s="4" t="str">
        <f>IF(Table1[[#This Row],[Margin]]="", "check", IF(Table1[[#This Row],[Margin]]&lt;0.2, "Low", "OK"))</f>
        <v>OK</v>
      </c>
      <c r="O469" s="4" t="str" cm="1">
        <f t="array" ref="O469">_xlfn.IFS(Table1[[#This Row],[Revenue]]=0, "Check", Table1[[#This Row],[Revenue]]&gt;=1000, "Large", Table1[[#This Row],[Revenue]]&gt;=200, "Medium", TRUE, "Small")</f>
        <v>Medium</v>
      </c>
      <c r="P469" s="4" t="str">
        <f>IF(AND(Table1[[#This Row],[Margin Flag]]="Low", Table1[[#This Row],[Revenue]]&gt;1000), "Review", "")</f>
        <v/>
      </c>
      <c r="Q469" s="4" t="str">
        <f>IF(OR(Table1[[#This Row],[Qty]]&gt;=5,Table1[[#This Row],[Order Size]] = "Large" ), "Bulk", "")</f>
        <v/>
      </c>
      <c r="R469" s="10">
        <f>_xlfn.XLOOKUP(G469, Lookup!$A$2:$A$7, Lookup!$B$2:$B$7, "")</f>
        <v>0.25</v>
      </c>
      <c r="S469" s="4" t="str">
        <f>IF(Table1[[#This Row],[Margin]]&lt;Table1[[#This Row],[Target Margin]], "Yes", "")</f>
        <v/>
      </c>
    </row>
    <row r="470" spans="1:19">
      <c r="A470" t="s">
        <v>515</v>
      </c>
      <c r="B470" s="2">
        <v>46274</v>
      </c>
      <c r="C470" t="s">
        <v>29</v>
      </c>
      <c r="D470" t="s">
        <v>50</v>
      </c>
      <c r="E470">
        <v>2</v>
      </c>
      <c r="F470" t="str">
        <f>_xlfn.XLOOKUP(D470, Products!$A$2:$A$21, Products!$B$2:$B$21, "Not Found")</f>
        <v>Smartphone 128GB</v>
      </c>
      <c r="G470" t="str">
        <f>_xlfn.XLOOKUP(D470, Products!$A$2:$A$21, Products!$C$2:$C$21,"not found")</f>
        <v>Phones</v>
      </c>
      <c r="H470" s="4">
        <f>_xlfn.XLOOKUP(D470, Products!$A$2:$A$21, Products!$E$2:$E$21, 0)</f>
        <v>1099</v>
      </c>
      <c r="I470" s="4">
        <f>_xlfn.XLOOKUP(D470, Products!$A$2:$A$21, Products!$F$2:$F$21,0)</f>
        <v>860</v>
      </c>
      <c r="J470" t="str">
        <f>_xlfn.XLOOKUP(C470, Stores!$A$2:$A$7, Stores!$D$2:$D$7)</f>
        <v>Sydney West</v>
      </c>
      <c r="K470" s="4">
        <f t="shared" si="14"/>
        <v>2198</v>
      </c>
      <c r="L470" s="4">
        <f t="shared" si="15"/>
        <v>478</v>
      </c>
      <c r="M470" s="10">
        <f>IF(Table1[[#This Row],[Revenue]]=0, "", Table1[[#This Row],[Profit]]/Table1[[#This Row],[Revenue]])</f>
        <v>0.21747042766151045</v>
      </c>
      <c r="N470" s="4" t="str">
        <f>IF(Table1[[#This Row],[Margin]]="", "check", IF(Table1[[#This Row],[Margin]]&lt;0.2, "Low", "OK"))</f>
        <v>OK</v>
      </c>
      <c r="O470" s="4" t="str" cm="1">
        <f t="array" ref="O470">_xlfn.IFS(Table1[[#This Row],[Revenue]]=0, "Check", Table1[[#This Row],[Revenue]]&gt;=1000, "Large", Table1[[#This Row],[Revenue]]&gt;=200, "Medium", TRUE, "Small")</f>
        <v>Large</v>
      </c>
      <c r="P470" s="4" t="str">
        <f>IF(AND(Table1[[#This Row],[Margin Flag]]="Low", Table1[[#This Row],[Revenue]]&gt;1000), "Review", "")</f>
        <v/>
      </c>
      <c r="Q470" s="4" t="str">
        <f>IF(OR(Table1[[#This Row],[Qty]]&gt;=5,Table1[[#This Row],[Order Size]] = "Large" ), "Bulk", "")</f>
        <v>Bulk</v>
      </c>
      <c r="R470" s="10">
        <f>_xlfn.XLOOKUP(G470, Lookup!$A$2:$A$7, Lookup!$B$2:$B$7, "")</f>
        <v>0.25</v>
      </c>
      <c r="S470" s="4" t="str">
        <f>IF(Table1[[#This Row],[Margin]]&lt;Table1[[#This Row],[Target Margin]], "Yes", "")</f>
        <v>Yes</v>
      </c>
    </row>
    <row r="471" spans="1:19">
      <c r="A471" t="s">
        <v>516</v>
      </c>
      <c r="B471" s="2">
        <v>46275</v>
      </c>
      <c r="C471" t="s">
        <v>29</v>
      </c>
      <c r="D471" t="s">
        <v>130</v>
      </c>
      <c r="E471">
        <v>1</v>
      </c>
      <c r="F471" t="str">
        <f>_xlfn.XLOOKUP(D471, Products!$A$2:$A$21, Products!$B$2:$B$21, "Not Found")</f>
        <v>65in TV</v>
      </c>
      <c r="G471" t="str">
        <f>_xlfn.XLOOKUP(D471, Products!$A$2:$A$21, Products!$C$2:$C$21,"not found")</f>
        <v>TV</v>
      </c>
      <c r="H471" s="4">
        <f>_xlfn.XLOOKUP(D471, Products!$A$2:$A$21, Products!$E$2:$E$21, 0)</f>
        <v>1999</v>
      </c>
      <c r="I471" s="4">
        <f>_xlfn.XLOOKUP(D471, Products!$A$2:$A$21, Products!$F$2:$F$21,0)</f>
        <v>1520</v>
      </c>
      <c r="J471" t="str">
        <f>_xlfn.XLOOKUP(C471, Stores!$A$2:$A$7, Stores!$D$2:$D$7)</f>
        <v>Sydney West</v>
      </c>
      <c r="K471" s="4">
        <f t="shared" si="14"/>
        <v>1999</v>
      </c>
      <c r="L471" s="4">
        <f t="shared" si="15"/>
        <v>479</v>
      </c>
      <c r="M471" s="10">
        <f>IF(Table1[[#This Row],[Revenue]]=0, "", Table1[[#This Row],[Profit]]/Table1[[#This Row],[Revenue]])</f>
        <v>0.23961980990495246</v>
      </c>
      <c r="N471" s="4" t="str">
        <f>IF(Table1[[#This Row],[Margin]]="", "check", IF(Table1[[#This Row],[Margin]]&lt;0.2, "Low", "OK"))</f>
        <v>OK</v>
      </c>
      <c r="O471" s="4" t="str" cm="1">
        <f t="array" ref="O471">_xlfn.IFS(Table1[[#This Row],[Revenue]]=0, "Check", Table1[[#This Row],[Revenue]]&gt;=1000, "Large", Table1[[#This Row],[Revenue]]&gt;=200, "Medium", TRUE, "Small")</f>
        <v>Large</v>
      </c>
      <c r="P471" s="4" t="str">
        <f>IF(AND(Table1[[#This Row],[Margin Flag]]="Low", Table1[[#This Row],[Revenue]]&gt;1000), "Review", "")</f>
        <v/>
      </c>
      <c r="Q471" s="4" t="str">
        <f>IF(OR(Table1[[#This Row],[Qty]]&gt;=5,Table1[[#This Row],[Order Size]] = "Large" ), "Bulk", "")</f>
        <v>Bulk</v>
      </c>
      <c r="R471" s="10">
        <f>_xlfn.XLOOKUP(G471, Lookup!$A$2:$A$7, Lookup!$B$2:$B$7, "")</f>
        <v>0.25</v>
      </c>
      <c r="S471" s="4" t="str">
        <f>IF(Table1[[#This Row],[Margin]]&lt;Table1[[#This Row],[Target Margin]], "Yes", "")</f>
        <v>Yes</v>
      </c>
    </row>
    <row r="472" spans="1:19">
      <c r="A472" t="s">
        <v>517</v>
      </c>
      <c r="B472" s="2">
        <v>46275</v>
      </c>
      <c r="C472" t="s">
        <v>57</v>
      </c>
      <c r="D472" t="s">
        <v>21</v>
      </c>
      <c r="E472">
        <v>1</v>
      </c>
      <c r="F472" t="str">
        <f>_xlfn.XLOOKUP(D472, Products!$A$2:$A$21, Products!$B$2:$B$21, "Not Found")</f>
        <v>Gaming Mouse</v>
      </c>
      <c r="G472" t="str">
        <f>_xlfn.XLOOKUP(D472, Products!$A$2:$A$21, Products!$C$2:$C$21,"not found")</f>
        <v>Accessories</v>
      </c>
      <c r="H472" s="4">
        <f>_xlfn.XLOOKUP(D472, Products!$A$2:$A$21, Products!$E$2:$E$21, 0)</f>
        <v>89</v>
      </c>
      <c r="I472" s="4">
        <f>_xlfn.XLOOKUP(D472, Products!$A$2:$A$21, Products!$F$2:$F$21,0)</f>
        <v>41</v>
      </c>
      <c r="J472" t="str">
        <f>_xlfn.XLOOKUP(C472, Stores!$A$2:$A$7, Stores!$D$2:$D$7)</f>
        <v>Sydney South</v>
      </c>
      <c r="K472" s="4">
        <f t="shared" si="14"/>
        <v>89</v>
      </c>
      <c r="L472" s="4">
        <f t="shared" si="15"/>
        <v>48</v>
      </c>
      <c r="M472" s="10">
        <f>IF(Table1[[#This Row],[Revenue]]=0, "", Table1[[#This Row],[Profit]]/Table1[[#This Row],[Revenue]])</f>
        <v>0.5393258426966292</v>
      </c>
      <c r="N472" s="4" t="str">
        <f>IF(Table1[[#This Row],[Margin]]="", "check", IF(Table1[[#This Row],[Margin]]&lt;0.2, "Low", "OK"))</f>
        <v>OK</v>
      </c>
      <c r="O472" s="4" t="str" cm="1">
        <f t="array" ref="O472">_xlfn.IFS(Table1[[#This Row],[Revenue]]=0, "Check", Table1[[#This Row],[Revenue]]&gt;=1000, "Large", Table1[[#This Row],[Revenue]]&gt;=200, "Medium", TRUE, "Small")</f>
        <v>Small</v>
      </c>
      <c r="P472" s="4" t="str">
        <f>IF(AND(Table1[[#This Row],[Margin Flag]]="Low", Table1[[#This Row],[Revenue]]&gt;1000), "Review", "")</f>
        <v/>
      </c>
      <c r="Q472" s="4" t="str">
        <f>IF(OR(Table1[[#This Row],[Qty]]&gt;=5,Table1[[#This Row],[Order Size]] = "Large" ), "Bulk", "")</f>
        <v/>
      </c>
      <c r="R472" s="10">
        <f>_xlfn.XLOOKUP(G472, Lookup!$A$2:$A$7, Lookup!$B$2:$B$7, "")</f>
        <v>0.25</v>
      </c>
      <c r="S472" s="4" t="str">
        <f>IF(Table1[[#This Row],[Margin]]&lt;Table1[[#This Row],[Target Margin]], "Yes", "")</f>
        <v/>
      </c>
    </row>
    <row r="473" spans="1:19">
      <c r="A473" t="s">
        <v>518</v>
      </c>
      <c r="B473" s="2">
        <v>46275</v>
      </c>
      <c r="C473" t="s">
        <v>29</v>
      </c>
      <c r="D473" t="s">
        <v>43</v>
      </c>
      <c r="E473">
        <v>1</v>
      </c>
      <c r="F473" t="str">
        <f>_xlfn.XLOOKUP(D473, Products!$A$2:$A$21, Products!$B$2:$B$21, "Not Found")</f>
        <v>Console Controller</v>
      </c>
      <c r="G473" t="str">
        <f>_xlfn.XLOOKUP(D473, Products!$A$2:$A$21, Products!$C$2:$C$21,"not found")</f>
        <v>Gaming</v>
      </c>
      <c r="H473" s="4">
        <f>_xlfn.XLOOKUP(D473, Products!$A$2:$A$21, Products!$E$2:$E$21, 0)</f>
        <v>99</v>
      </c>
      <c r="I473" s="4">
        <f>_xlfn.XLOOKUP(D473, Products!$A$2:$A$21, Products!$F$2:$F$21,0)</f>
        <v>58</v>
      </c>
      <c r="J473" t="str">
        <f>_xlfn.XLOOKUP(C473, Stores!$A$2:$A$7, Stores!$D$2:$D$7)</f>
        <v>Sydney West</v>
      </c>
      <c r="K473" s="4">
        <f t="shared" si="14"/>
        <v>99</v>
      </c>
      <c r="L473" s="4">
        <f t="shared" si="15"/>
        <v>41</v>
      </c>
      <c r="M473" s="10">
        <f>IF(Table1[[#This Row],[Revenue]]=0, "", Table1[[#This Row],[Profit]]/Table1[[#This Row],[Revenue]])</f>
        <v>0.41414141414141414</v>
      </c>
      <c r="N473" s="4" t="str">
        <f>IF(Table1[[#This Row],[Margin]]="", "check", IF(Table1[[#This Row],[Margin]]&lt;0.2, "Low", "OK"))</f>
        <v>OK</v>
      </c>
      <c r="O473" s="4" t="str" cm="1">
        <f t="array" ref="O473">_xlfn.IFS(Table1[[#This Row],[Revenue]]=0, "Check", Table1[[#This Row],[Revenue]]&gt;=1000, "Large", Table1[[#This Row],[Revenue]]&gt;=200, "Medium", TRUE, "Small")</f>
        <v>Small</v>
      </c>
      <c r="P473" s="4" t="str">
        <f>IF(AND(Table1[[#This Row],[Margin Flag]]="Low", Table1[[#This Row],[Revenue]]&gt;1000), "Review", "")</f>
        <v/>
      </c>
      <c r="Q473" s="4" t="str">
        <f>IF(OR(Table1[[#This Row],[Qty]]&gt;=5,Table1[[#This Row],[Order Size]] = "Large" ), "Bulk", "")</f>
        <v/>
      </c>
      <c r="R473" s="10">
        <f>_xlfn.XLOOKUP(G473, Lookup!$A$2:$A$7, Lookup!$B$2:$B$7, "")</f>
        <v>0.08</v>
      </c>
      <c r="S473" s="4" t="str">
        <f>IF(Table1[[#This Row],[Margin]]&lt;Table1[[#This Row],[Target Margin]], "Yes", "")</f>
        <v/>
      </c>
    </row>
    <row r="474" spans="1:19">
      <c r="A474" t="s">
        <v>519</v>
      </c>
      <c r="B474" s="2">
        <v>46275</v>
      </c>
      <c r="C474" t="s">
        <v>29</v>
      </c>
      <c r="D474" t="s">
        <v>38</v>
      </c>
      <c r="E474">
        <v>1</v>
      </c>
      <c r="F474" t="str">
        <f>_xlfn.XLOOKUP(D474, Products!$A$2:$A$21, Products!$B$2:$B$21, "Not Found")</f>
        <v>USB-C Charger</v>
      </c>
      <c r="G474" t="str">
        <f>_xlfn.XLOOKUP(D474, Products!$A$2:$A$21, Products!$C$2:$C$21,"not found")</f>
        <v>Accessories</v>
      </c>
      <c r="H474" s="4">
        <f>_xlfn.XLOOKUP(D474, Products!$A$2:$A$21, Products!$E$2:$E$21, 0)</f>
        <v>49</v>
      </c>
      <c r="I474" s="4">
        <f>_xlfn.XLOOKUP(D474, Products!$A$2:$A$21, Products!$F$2:$F$21,0)</f>
        <v>14</v>
      </c>
      <c r="J474" t="str">
        <f>_xlfn.XLOOKUP(C474, Stores!$A$2:$A$7, Stores!$D$2:$D$7)</f>
        <v>Sydney West</v>
      </c>
      <c r="K474" s="4">
        <f t="shared" si="14"/>
        <v>49</v>
      </c>
      <c r="L474" s="4">
        <f t="shared" si="15"/>
        <v>35</v>
      </c>
      <c r="M474" s="10">
        <f>IF(Table1[[#This Row],[Revenue]]=0, "", Table1[[#This Row],[Profit]]/Table1[[#This Row],[Revenue]])</f>
        <v>0.7142857142857143</v>
      </c>
      <c r="N474" s="4" t="str">
        <f>IF(Table1[[#This Row],[Margin]]="", "check", IF(Table1[[#This Row],[Margin]]&lt;0.2, "Low", "OK"))</f>
        <v>OK</v>
      </c>
      <c r="O474" s="4" t="str" cm="1">
        <f t="array" ref="O474">_xlfn.IFS(Table1[[#This Row],[Revenue]]=0, "Check", Table1[[#This Row],[Revenue]]&gt;=1000, "Large", Table1[[#This Row],[Revenue]]&gt;=200, "Medium", TRUE, "Small")</f>
        <v>Small</v>
      </c>
      <c r="P474" s="4" t="str">
        <f>IF(AND(Table1[[#This Row],[Margin Flag]]="Low", Table1[[#This Row],[Revenue]]&gt;1000), "Review", "")</f>
        <v/>
      </c>
      <c r="Q474" s="4" t="str">
        <f>IF(OR(Table1[[#This Row],[Qty]]&gt;=5,Table1[[#This Row],[Order Size]] = "Large" ), "Bulk", "")</f>
        <v/>
      </c>
      <c r="R474" s="10">
        <f>_xlfn.XLOOKUP(G474, Lookup!$A$2:$A$7, Lookup!$B$2:$B$7, "")</f>
        <v>0.25</v>
      </c>
      <c r="S474" s="4" t="str">
        <f>IF(Table1[[#This Row],[Margin]]&lt;Table1[[#This Row],[Target Margin]], "Yes", "")</f>
        <v/>
      </c>
    </row>
    <row r="475" spans="1:19">
      <c r="A475" t="s">
        <v>520</v>
      </c>
      <c r="B475" s="2">
        <v>46275</v>
      </c>
      <c r="C475" t="s">
        <v>32</v>
      </c>
      <c r="D475" t="s">
        <v>27</v>
      </c>
      <c r="E475">
        <v>4</v>
      </c>
      <c r="F475" t="str">
        <f>_xlfn.XLOOKUP(D475, Products!$A$2:$A$21, Products!$B$2:$B$21, "Not Found")</f>
        <v>Bluetooth Speaker</v>
      </c>
      <c r="G475" t="str">
        <f>_xlfn.XLOOKUP(D475, Products!$A$2:$A$21, Products!$C$2:$C$21,"not found")</f>
        <v>Audio</v>
      </c>
      <c r="H475" s="4">
        <f>_xlfn.XLOOKUP(D475, Products!$A$2:$A$21, Products!$E$2:$E$21, 0)</f>
        <v>179</v>
      </c>
      <c r="I475" s="4">
        <f>_xlfn.XLOOKUP(D475, Products!$A$2:$A$21, Products!$F$2:$F$21,0)</f>
        <v>95</v>
      </c>
      <c r="J475" t="str">
        <f>_xlfn.XLOOKUP(C475, Stores!$A$2:$A$7, Stores!$D$2:$D$7)</f>
        <v>Sydney South</v>
      </c>
      <c r="K475" s="4">
        <f t="shared" si="14"/>
        <v>716</v>
      </c>
      <c r="L475" s="4">
        <f t="shared" si="15"/>
        <v>336</v>
      </c>
      <c r="M475" s="10">
        <f>IF(Table1[[#This Row],[Revenue]]=0, "", Table1[[#This Row],[Profit]]/Table1[[#This Row],[Revenue]])</f>
        <v>0.46927374301675978</v>
      </c>
      <c r="N475" s="4" t="str">
        <f>IF(Table1[[#This Row],[Margin]]="", "check", IF(Table1[[#This Row],[Margin]]&lt;0.2, "Low", "OK"))</f>
        <v>OK</v>
      </c>
      <c r="O475" s="4" t="str" cm="1">
        <f t="array" ref="O475">_xlfn.IFS(Table1[[#This Row],[Revenue]]=0, "Check", Table1[[#This Row],[Revenue]]&gt;=1000, "Large", Table1[[#This Row],[Revenue]]&gt;=200, "Medium", TRUE, "Small")</f>
        <v>Medium</v>
      </c>
      <c r="P475" s="4" t="str">
        <f>IF(AND(Table1[[#This Row],[Margin Flag]]="Low", Table1[[#This Row],[Revenue]]&gt;1000), "Review", "")</f>
        <v/>
      </c>
      <c r="Q475" s="4" t="str">
        <f>IF(OR(Table1[[#This Row],[Qty]]&gt;=5,Table1[[#This Row],[Order Size]] = "Large" ), "Bulk", "")</f>
        <v/>
      </c>
      <c r="R475" s="10">
        <f>_xlfn.XLOOKUP(G475, Lookup!$A$2:$A$7, Lookup!$B$2:$B$7, "")</f>
        <v>0.25</v>
      </c>
      <c r="S475" s="4" t="str">
        <f>IF(Table1[[#This Row],[Margin]]&lt;Table1[[#This Row],[Target Margin]], "Yes", "")</f>
        <v/>
      </c>
    </row>
    <row r="476" spans="1:19">
      <c r="A476" t="s">
        <v>521</v>
      </c>
      <c r="B476" s="2">
        <v>46276</v>
      </c>
      <c r="C476" t="s">
        <v>32</v>
      </c>
      <c r="D476" t="s">
        <v>171</v>
      </c>
      <c r="E476">
        <v>2</v>
      </c>
      <c r="F476" t="str">
        <f>_xlfn.XLOOKUP(D476, Products!$A$2:$A$21, Products!$B$2:$B$21, "Not Found")</f>
        <v>Smartwatch</v>
      </c>
      <c r="G476" t="str">
        <f>_xlfn.XLOOKUP(D476, Products!$A$2:$A$21, Products!$C$2:$C$21,"not found")</f>
        <v>Phones</v>
      </c>
      <c r="H476" s="4">
        <f>_xlfn.XLOOKUP(D476, Products!$A$2:$A$21, Products!$E$2:$E$21, 0)</f>
        <v>649</v>
      </c>
      <c r="I476" s="4">
        <f>_xlfn.XLOOKUP(D476, Products!$A$2:$A$21, Products!$F$2:$F$21,0)</f>
        <v>480</v>
      </c>
      <c r="J476" t="str">
        <f>_xlfn.XLOOKUP(C476, Stores!$A$2:$A$7, Stores!$D$2:$D$7)</f>
        <v>Sydney South</v>
      </c>
      <c r="K476" s="4">
        <f t="shared" si="14"/>
        <v>1298</v>
      </c>
      <c r="L476" s="4">
        <f t="shared" si="15"/>
        <v>338</v>
      </c>
      <c r="M476" s="10">
        <f>IF(Table1[[#This Row],[Revenue]]=0, "", Table1[[#This Row],[Profit]]/Table1[[#This Row],[Revenue]])</f>
        <v>0.26040061633281975</v>
      </c>
      <c r="N476" s="4" t="str">
        <f>IF(Table1[[#This Row],[Margin]]="", "check", IF(Table1[[#This Row],[Margin]]&lt;0.2, "Low", "OK"))</f>
        <v>OK</v>
      </c>
      <c r="O476" s="4" t="str" cm="1">
        <f t="array" ref="O476">_xlfn.IFS(Table1[[#This Row],[Revenue]]=0, "Check", Table1[[#This Row],[Revenue]]&gt;=1000, "Large", Table1[[#This Row],[Revenue]]&gt;=200, "Medium", TRUE, "Small")</f>
        <v>Large</v>
      </c>
      <c r="P476" s="4" t="str">
        <f>IF(AND(Table1[[#This Row],[Margin Flag]]="Low", Table1[[#This Row],[Revenue]]&gt;1000), "Review", "")</f>
        <v/>
      </c>
      <c r="Q476" s="4" t="str">
        <f>IF(OR(Table1[[#This Row],[Qty]]&gt;=5,Table1[[#This Row],[Order Size]] = "Large" ), "Bulk", "")</f>
        <v>Bulk</v>
      </c>
      <c r="R476" s="10">
        <f>_xlfn.XLOOKUP(G476, Lookup!$A$2:$A$7, Lookup!$B$2:$B$7, "")</f>
        <v>0.25</v>
      </c>
      <c r="S476" s="4" t="str">
        <f>IF(Table1[[#This Row],[Margin]]&lt;Table1[[#This Row],[Target Margin]], "Yes", "")</f>
        <v/>
      </c>
    </row>
    <row r="477" spans="1:19">
      <c r="A477" t="s">
        <v>522</v>
      </c>
      <c r="B477" s="2">
        <v>46276</v>
      </c>
      <c r="C477" t="s">
        <v>20</v>
      </c>
      <c r="D477" t="s">
        <v>27</v>
      </c>
      <c r="E477">
        <v>1</v>
      </c>
      <c r="F477" t="str">
        <f>_xlfn.XLOOKUP(D477, Products!$A$2:$A$21, Products!$B$2:$B$21, "Not Found")</f>
        <v>Bluetooth Speaker</v>
      </c>
      <c r="G477" t="str">
        <f>_xlfn.XLOOKUP(D477, Products!$A$2:$A$21, Products!$C$2:$C$21,"not found")</f>
        <v>Audio</v>
      </c>
      <c r="H477" s="4">
        <f>_xlfn.XLOOKUP(D477, Products!$A$2:$A$21, Products!$E$2:$E$21, 0)</f>
        <v>179</v>
      </c>
      <c r="I477" s="4">
        <f>_xlfn.XLOOKUP(D477, Products!$A$2:$A$21, Products!$F$2:$F$21,0)</f>
        <v>95</v>
      </c>
      <c r="J477" t="str">
        <f>_xlfn.XLOOKUP(C477, Stores!$A$2:$A$7, Stores!$D$2:$D$7)</f>
        <v>Sydney West</v>
      </c>
      <c r="K477" s="4">
        <f t="shared" si="14"/>
        <v>179</v>
      </c>
      <c r="L477" s="4">
        <f t="shared" si="15"/>
        <v>84</v>
      </c>
      <c r="M477" s="10">
        <f>IF(Table1[[#This Row],[Revenue]]=0, "", Table1[[#This Row],[Profit]]/Table1[[#This Row],[Revenue]])</f>
        <v>0.46927374301675978</v>
      </c>
      <c r="N477" s="4" t="str">
        <f>IF(Table1[[#This Row],[Margin]]="", "check", IF(Table1[[#This Row],[Margin]]&lt;0.2, "Low", "OK"))</f>
        <v>OK</v>
      </c>
      <c r="O477" s="4" t="str" cm="1">
        <f t="array" ref="O477">_xlfn.IFS(Table1[[#This Row],[Revenue]]=0, "Check", Table1[[#This Row],[Revenue]]&gt;=1000, "Large", Table1[[#This Row],[Revenue]]&gt;=200, "Medium", TRUE, "Small")</f>
        <v>Small</v>
      </c>
      <c r="P477" s="4" t="str">
        <f>IF(AND(Table1[[#This Row],[Margin Flag]]="Low", Table1[[#This Row],[Revenue]]&gt;1000), "Review", "")</f>
        <v/>
      </c>
      <c r="Q477" s="4" t="str">
        <f>IF(OR(Table1[[#This Row],[Qty]]&gt;=5,Table1[[#This Row],[Order Size]] = "Large" ), "Bulk", "")</f>
        <v/>
      </c>
      <c r="R477" s="10">
        <f>_xlfn.XLOOKUP(G477, Lookup!$A$2:$A$7, Lookup!$B$2:$B$7, "")</f>
        <v>0.25</v>
      </c>
      <c r="S477" s="4" t="str">
        <f>IF(Table1[[#This Row],[Margin]]&lt;Table1[[#This Row],[Target Margin]], "Yes", "")</f>
        <v/>
      </c>
    </row>
    <row r="478" spans="1:19">
      <c r="A478" t="s">
        <v>523</v>
      </c>
      <c r="B478" s="2">
        <v>46276</v>
      </c>
      <c r="C478" t="s">
        <v>29</v>
      </c>
      <c r="D478" t="s">
        <v>87</v>
      </c>
      <c r="E478">
        <v>1</v>
      </c>
      <c r="F478" t="str">
        <f>_xlfn.XLOOKUP(D478, Products!$A$2:$A$21, Products!$B$2:$B$21, "Not Found")</f>
        <v>Laptop 16in</v>
      </c>
      <c r="G478" t="str">
        <f>_xlfn.XLOOKUP(D478, Products!$A$2:$A$21, Products!$C$2:$C$21,"not found")</f>
        <v>Computers</v>
      </c>
      <c r="H478" s="4">
        <f>_xlfn.XLOOKUP(D478, Products!$A$2:$A$21, Products!$E$2:$E$21, 0)</f>
        <v>1799</v>
      </c>
      <c r="I478" s="4">
        <f>_xlfn.XLOOKUP(D478, Products!$A$2:$A$21, Products!$F$2:$F$21,0)</f>
        <v>1390</v>
      </c>
      <c r="J478" t="str">
        <f>_xlfn.XLOOKUP(C478, Stores!$A$2:$A$7, Stores!$D$2:$D$7)</f>
        <v>Sydney West</v>
      </c>
      <c r="K478" s="4">
        <f t="shared" si="14"/>
        <v>1799</v>
      </c>
      <c r="L478" s="4">
        <f t="shared" si="15"/>
        <v>409</v>
      </c>
      <c r="M478" s="10">
        <f>IF(Table1[[#This Row],[Revenue]]=0, "", Table1[[#This Row],[Profit]]/Table1[[#This Row],[Revenue]])</f>
        <v>0.2273485269594219</v>
      </c>
      <c r="N478" s="4" t="str">
        <f>IF(Table1[[#This Row],[Margin]]="", "check", IF(Table1[[#This Row],[Margin]]&lt;0.2, "Low", "OK"))</f>
        <v>OK</v>
      </c>
      <c r="O478" s="4" t="str" cm="1">
        <f t="array" ref="O478">_xlfn.IFS(Table1[[#This Row],[Revenue]]=0, "Check", Table1[[#This Row],[Revenue]]&gt;=1000, "Large", Table1[[#This Row],[Revenue]]&gt;=200, "Medium", TRUE, "Small")</f>
        <v>Large</v>
      </c>
      <c r="P478" s="4" t="str">
        <f>IF(AND(Table1[[#This Row],[Margin Flag]]="Low", Table1[[#This Row],[Revenue]]&gt;1000), "Review", "")</f>
        <v/>
      </c>
      <c r="Q478" s="4" t="str">
        <f>IF(OR(Table1[[#This Row],[Qty]]&gt;=5,Table1[[#This Row],[Order Size]] = "Large" ), "Bulk", "")</f>
        <v>Bulk</v>
      </c>
      <c r="R478" s="10">
        <f>_xlfn.XLOOKUP(G478, Lookup!$A$2:$A$7, Lookup!$B$2:$B$7, "")</f>
        <v>0.25</v>
      </c>
      <c r="S478" s="4" t="str">
        <f>IF(Table1[[#This Row],[Margin]]&lt;Table1[[#This Row],[Target Margin]], "Yes", "")</f>
        <v>Yes</v>
      </c>
    </row>
    <row r="479" spans="1:19">
      <c r="A479" t="s">
        <v>524</v>
      </c>
      <c r="B479" s="2">
        <v>46277</v>
      </c>
      <c r="C479" t="s">
        <v>57</v>
      </c>
      <c r="D479" t="s">
        <v>38</v>
      </c>
      <c r="E479">
        <v>1</v>
      </c>
      <c r="F479" t="str">
        <f>_xlfn.XLOOKUP(D479, Products!$A$2:$A$21, Products!$B$2:$B$21, "Not Found")</f>
        <v>USB-C Charger</v>
      </c>
      <c r="G479" t="str">
        <f>_xlfn.XLOOKUP(D479, Products!$A$2:$A$21, Products!$C$2:$C$21,"not found")</f>
        <v>Accessories</v>
      </c>
      <c r="H479" s="4">
        <f>_xlfn.XLOOKUP(D479, Products!$A$2:$A$21, Products!$E$2:$E$21, 0)</f>
        <v>49</v>
      </c>
      <c r="I479" s="4">
        <f>_xlfn.XLOOKUP(D479, Products!$A$2:$A$21, Products!$F$2:$F$21,0)</f>
        <v>14</v>
      </c>
      <c r="J479" t="str">
        <f>_xlfn.XLOOKUP(C479, Stores!$A$2:$A$7, Stores!$D$2:$D$7)</f>
        <v>Sydney South</v>
      </c>
      <c r="K479" s="4">
        <f t="shared" si="14"/>
        <v>49</v>
      </c>
      <c r="L479" s="4">
        <f t="shared" si="15"/>
        <v>35</v>
      </c>
      <c r="M479" s="10">
        <f>IF(Table1[[#This Row],[Revenue]]=0, "", Table1[[#This Row],[Profit]]/Table1[[#This Row],[Revenue]])</f>
        <v>0.7142857142857143</v>
      </c>
      <c r="N479" s="4" t="str">
        <f>IF(Table1[[#This Row],[Margin]]="", "check", IF(Table1[[#This Row],[Margin]]&lt;0.2, "Low", "OK"))</f>
        <v>OK</v>
      </c>
      <c r="O479" s="4" t="str" cm="1">
        <f t="array" ref="O479">_xlfn.IFS(Table1[[#This Row],[Revenue]]=0, "Check", Table1[[#This Row],[Revenue]]&gt;=1000, "Large", Table1[[#This Row],[Revenue]]&gt;=200, "Medium", TRUE, "Small")</f>
        <v>Small</v>
      </c>
      <c r="P479" s="4" t="str">
        <f>IF(AND(Table1[[#This Row],[Margin Flag]]="Low", Table1[[#This Row],[Revenue]]&gt;1000), "Review", "")</f>
        <v/>
      </c>
      <c r="Q479" s="4" t="str">
        <f>IF(OR(Table1[[#This Row],[Qty]]&gt;=5,Table1[[#This Row],[Order Size]] = "Large" ), "Bulk", "")</f>
        <v/>
      </c>
      <c r="R479" s="10">
        <f>_xlfn.XLOOKUP(G479, Lookup!$A$2:$A$7, Lookup!$B$2:$B$7, "")</f>
        <v>0.25</v>
      </c>
      <c r="S479" s="4" t="str">
        <f>IF(Table1[[#This Row],[Margin]]&lt;Table1[[#This Row],[Target Margin]], "Yes", "")</f>
        <v/>
      </c>
    </row>
    <row r="480" spans="1:19">
      <c r="A480" t="s">
        <v>525</v>
      </c>
      <c r="B480" s="2">
        <v>46277</v>
      </c>
      <c r="C480" t="s">
        <v>23</v>
      </c>
      <c r="D480" t="s">
        <v>80</v>
      </c>
      <c r="E480">
        <v>2</v>
      </c>
      <c r="F480" t="str">
        <f>_xlfn.XLOOKUP(D480, Products!$A$2:$A$21, Products!$B$2:$B$21, "Not Found")</f>
        <v>Over-Ear Headphones</v>
      </c>
      <c r="G480" t="str">
        <f>_xlfn.XLOOKUP(D480, Products!$A$2:$A$21, Products!$C$2:$C$21,"not found")</f>
        <v>Audio</v>
      </c>
      <c r="H480" s="4">
        <f>_xlfn.XLOOKUP(D480, Products!$A$2:$A$21, Products!$E$2:$E$21, 0)</f>
        <v>499</v>
      </c>
      <c r="I480" s="4">
        <f>_xlfn.XLOOKUP(D480, Products!$A$2:$A$21, Products!$F$2:$F$21,0)</f>
        <v>310</v>
      </c>
      <c r="J480" t="str">
        <f>_xlfn.XLOOKUP(C480, Stores!$A$2:$A$7, Stores!$D$2:$D$7)</f>
        <v>Sydney East</v>
      </c>
      <c r="K480" s="4">
        <f t="shared" si="14"/>
        <v>998</v>
      </c>
      <c r="L480" s="4">
        <f t="shared" si="15"/>
        <v>378</v>
      </c>
      <c r="M480" s="10">
        <f>IF(Table1[[#This Row],[Revenue]]=0, "", Table1[[#This Row],[Profit]]/Table1[[#This Row],[Revenue]])</f>
        <v>0.37875751503006011</v>
      </c>
      <c r="N480" s="4" t="str">
        <f>IF(Table1[[#This Row],[Margin]]="", "check", IF(Table1[[#This Row],[Margin]]&lt;0.2, "Low", "OK"))</f>
        <v>OK</v>
      </c>
      <c r="O480" s="4" t="str" cm="1">
        <f t="array" ref="O480">_xlfn.IFS(Table1[[#This Row],[Revenue]]=0, "Check", Table1[[#This Row],[Revenue]]&gt;=1000, "Large", Table1[[#This Row],[Revenue]]&gt;=200, "Medium", TRUE, "Small")</f>
        <v>Medium</v>
      </c>
      <c r="P480" s="4" t="str">
        <f>IF(AND(Table1[[#This Row],[Margin Flag]]="Low", Table1[[#This Row],[Revenue]]&gt;1000), "Review", "")</f>
        <v/>
      </c>
      <c r="Q480" s="4" t="str">
        <f>IF(OR(Table1[[#This Row],[Qty]]&gt;=5,Table1[[#This Row],[Order Size]] = "Large" ), "Bulk", "")</f>
        <v/>
      </c>
      <c r="R480" s="10">
        <f>_xlfn.XLOOKUP(G480, Lookup!$A$2:$A$7, Lookup!$B$2:$B$7, "")</f>
        <v>0.25</v>
      </c>
      <c r="S480" s="4" t="str">
        <f>IF(Table1[[#This Row],[Margin]]&lt;Table1[[#This Row],[Target Margin]], "Yes", "")</f>
        <v/>
      </c>
    </row>
    <row r="481" spans="1:19">
      <c r="A481" t="s">
        <v>526</v>
      </c>
      <c r="B481" s="2">
        <v>46277</v>
      </c>
      <c r="C481" t="s">
        <v>23</v>
      </c>
      <c r="D481" t="s">
        <v>35</v>
      </c>
      <c r="E481">
        <v>2</v>
      </c>
      <c r="F481" t="str">
        <f>_xlfn.XLOOKUP(D481, Products!$A$2:$A$21, Products!$B$2:$B$21, "Not Found")</f>
        <v>Phone Case</v>
      </c>
      <c r="G481" t="str">
        <f>_xlfn.XLOOKUP(D481, Products!$A$2:$A$21, Products!$C$2:$C$21,"not found")</f>
        <v>Accessories</v>
      </c>
      <c r="H481" s="4">
        <f>_xlfn.XLOOKUP(D481, Products!$A$2:$A$21, Products!$E$2:$E$21, 0)</f>
        <v>39</v>
      </c>
      <c r="I481" s="4">
        <f>_xlfn.XLOOKUP(D481, Products!$A$2:$A$21, Products!$F$2:$F$21,0)</f>
        <v>9</v>
      </c>
      <c r="J481" t="str">
        <f>_xlfn.XLOOKUP(C481, Stores!$A$2:$A$7, Stores!$D$2:$D$7)</f>
        <v>Sydney East</v>
      </c>
      <c r="K481" s="4">
        <f t="shared" si="14"/>
        <v>78</v>
      </c>
      <c r="L481" s="4">
        <f t="shared" si="15"/>
        <v>60</v>
      </c>
      <c r="M481" s="10">
        <f>IF(Table1[[#This Row],[Revenue]]=0, "", Table1[[#This Row],[Profit]]/Table1[[#This Row],[Revenue]])</f>
        <v>0.76923076923076927</v>
      </c>
      <c r="N481" s="4" t="str">
        <f>IF(Table1[[#This Row],[Margin]]="", "check", IF(Table1[[#This Row],[Margin]]&lt;0.2, "Low", "OK"))</f>
        <v>OK</v>
      </c>
      <c r="O481" s="4" t="str" cm="1">
        <f t="array" ref="O481">_xlfn.IFS(Table1[[#This Row],[Revenue]]=0, "Check", Table1[[#This Row],[Revenue]]&gt;=1000, "Large", Table1[[#This Row],[Revenue]]&gt;=200, "Medium", TRUE, "Small")</f>
        <v>Small</v>
      </c>
      <c r="P481" s="4" t="str">
        <f>IF(AND(Table1[[#This Row],[Margin Flag]]="Low", Table1[[#This Row],[Revenue]]&gt;1000), "Review", "")</f>
        <v/>
      </c>
      <c r="Q481" s="4" t="str">
        <f>IF(OR(Table1[[#This Row],[Qty]]&gt;=5,Table1[[#This Row],[Order Size]] = "Large" ), "Bulk", "")</f>
        <v/>
      </c>
      <c r="R481" s="10">
        <f>_xlfn.XLOOKUP(G481, Lookup!$A$2:$A$7, Lookup!$B$2:$B$7, "")</f>
        <v>0.25</v>
      </c>
      <c r="S481" s="4" t="str">
        <f>IF(Table1[[#This Row],[Margin]]&lt;Table1[[#This Row],[Target Margin]], "Yes", "")</f>
        <v/>
      </c>
    </row>
    <row r="482" spans="1:19">
      <c r="A482" t="s">
        <v>527</v>
      </c>
      <c r="B482" s="2">
        <v>46277</v>
      </c>
      <c r="C482" t="s">
        <v>29</v>
      </c>
      <c r="D482" t="s">
        <v>21</v>
      </c>
      <c r="E482">
        <v>1</v>
      </c>
      <c r="F482" t="str">
        <f>_xlfn.XLOOKUP(D482, Products!$A$2:$A$21, Products!$B$2:$B$21, "Not Found")</f>
        <v>Gaming Mouse</v>
      </c>
      <c r="G482" t="str">
        <f>_xlfn.XLOOKUP(D482, Products!$A$2:$A$21, Products!$C$2:$C$21,"not found")</f>
        <v>Accessories</v>
      </c>
      <c r="H482" s="4">
        <f>_xlfn.XLOOKUP(D482, Products!$A$2:$A$21, Products!$E$2:$E$21, 0)</f>
        <v>89</v>
      </c>
      <c r="I482" s="4">
        <f>_xlfn.XLOOKUP(D482, Products!$A$2:$A$21, Products!$F$2:$F$21,0)</f>
        <v>41</v>
      </c>
      <c r="J482" t="str">
        <f>_xlfn.XLOOKUP(C482, Stores!$A$2:$A$7, Stores!$D$2:$D$7)</f>
        <v>Sydney West</v>
      </c>
      <c r="K482" s="4">
        <f t="shared" si="14"/>
        <v>89</v>
      </c>
      <c r="L482" s="4">
        <f t="shared" si="15"/>
        <v>48</v>
      </c>
      <c r="M482" s="10">
        <f>IF(Table1[[#This Row],[Revenue]]=0, "", Table1[[#This Row],[Profit]]/Table1[[#This Row],[Revenue]])</f>
        <v>0.5393258426966292</v>
      </c>
      <c r="N482" s="4" t="str">
        <f>IF(Table1[[#This Row],[Margin]]="", "check", IF(Table1[[#This Row],[Margin]]&lt;0.2, "Low", "OK"))</f>
        <v>OK</v>
      </c>
      <c r="O482" s="4" t="str" cm="1">
        <f t="array" ref="O482">_xlfn.IFS(Table1[[#This Row],[Revenue]]=0, "Check", Table1[[#This Row],[Revenue]]&gt;=1000, "Large", Table1[[#This Row],[Revenue]]&gt;=200, "Medium", TRUE, "Small")</f>
        <v>Small</v>
      </c>
      <c r="P482" s="4" t="str">
        <f>IF(AND(Table1[[#This Row],[Margin Flag]]="Low", Table1[[#This Row],[Revenue]]&gt;1000), "Review", "")</f>
        <v/>
      </c>
      <c r="Q482" s="4" t="str">
        <f>IF(OR(Table1[[#This Row],[Qty]]&gt;=5,Table1[[#This Row],[Order Size]] = "Large" ), "Bulk", "")</f>
        <v/>
      </c>
      <c r="R482" s="10">
        <f>_xlfn.XLOOKUP(G482, Lookup!$A$2:$A$7, Lookup!$B$2:$B$7, "")</f>
        <v>0.25</v>
      </c>
      <c r="S482" s="4" t="str">
        <f>IF(Table1[[#This Row],[Margin]]&lt;Table1[[#This Row],[Target Margin]], "Yes", "")</f>
        <v/>
      </c>
    </row>
    <row r="483" spans="1:19">
      <c r="A483" t="s">
        <v>528</v>
      </c>
      <c r="B483" s="2">
        <v>46277</v>
      </c>
      <c r="C483" t="s">
        <v>20</v>
      </c>
      <c r="D483" t="s">
        <v>99</v>
      </c>
      <c r="E483">
        <v>1</v>
      </c>
      <c r="F483" t="str">
        <f>_xlfn.XLOOKUP(D483, Products!$A$2:$A$21, Products!$B$2:$B$21, "Not Found")</f>
        <v>Smartphone 256GB</v>
      </c>
      <c r="G483" t="str">
        <f>_xlfn.XLOOKUP(D483, Products!$A$2:$A$21, Products!$C$2:$C$21,"not found")</f>
        <v>Phones</v>
      </c>
      <c r="H483" s="4">
        <f>_xlfn.XLOOKUP(D483, Products!$A$2:$A$21, Products!$E$2:$E$21, 0)</f>
        <v>1499</v>
      </c>
      <c r="I483" s="4">
        <f>_xlfn.XLOOKUP(D483, Products!$A$2:$A$21, Products!$F$2:$F$21,0)</f>
        <v>1180</v>
      </c>
      <c r="J483" t="str">
        <f>_xlfn.XLOOKUP(C483, Stores!$A$2:$A$7, Stores!$D$2:$D$7)</f>
        <v>Sydney West</v>
      </c>
      <c r="K483" s="4">
        <f t="shared" si="14"/>
        <v>1499</v>
      </c>
      <c r="L483" s="4">
        <f t="shared" si="15"/>
        <v>319</v>
      </c>
      <c r="M483" s="10">
        <f>IF(Table1[[#This Row],[Revenue]]=0, "", Table1[[#This Row],[Profit]]/Table1[[#This Row],[Revenue]])</f>
        <v>0.21280853902601735</v>
      </c>
      <c r="N483" s="4" t="str">
        <f>IF(Table1[[#This Row],[Margin]]="", "check", IF(Table1[[#This Row],[Margin]]&lt;0.2, "Low", "OK"))</f>
        <v>OK</v>
      </c>
      <c r="O483" s="4" t="str" cm="1">
        <f t="array" ref="O483">_xlfn.IFS(Table1[[#This Row],[Revenue]]=0, "Check", Table1[[#This Row],[Revenue]]&gt;=1000, "Large", Table1[[#This Row],[Revenue]]&gt;=200, "Medium", TRUE, "Small")</f>
        <v>Large</v>
      </c>
      <c r="P483" s="4" t="str">
        <f>IF(AND(Table1[[#This Row],[Margin Flag]]="Low", Table1[[#This Row],[Revenue]]&gt;1000), "Review", "")</f>
        <v/>
      </c>
      <c r="Q483" s="4" t="str">
        <f>IF(OR(Table1[[#This Row],[Qty]]&gt;=5,Table1[[#This Row],[Order Size]] = "Large" ), "Bulk", "")</f>
        <v>Bulk</v>
      </c>
      <c r="R483" s="10">
        <f>_xlfn.XLOOKUP(G483, Lookup!$A$2:$A$7, Lookup!$B$2:$B$7, "")</f>
        <v>0.25</v>
      </c>
      <c r="S483" s="4" t="str">
        <f>IF(Table1[[#This Row],[Margin]]&lt;Table1[[#This Row],[Target Margin]], "Yes", "")</f>
        <v>Yes</v>
      </c>
    </row>
    <row r="484" spans="1:19">
      <c r="A484" t="s">
        <v>529</v>
      </c>
      <c r="B484" s="2">
        <v>46277</v>
      </c>
      <c r="C484" t="s">
        <v>26</v>
      </c>
      <c r="D484" t="s">
        <v>38</v>
      </c>
      <c r="E484">
        <v>1</v>
      </c>
      <c r="F484" t="str">
        <f>_xlfn.XLOOKUP(D484, Products!$A$2:$A$21, Products!$B$2:$B$21, "Not Found")</f>
        <v>USB-C Charger</v>
      </c>
      <c r="G484" t="str">
        <f>_xlfn.XLOOKUP(D484, Products!$A$2:$A$21, Products!$C$2:$C$21,"not found")</f>
        <v>Accessories</v>
      </c>
      <c r="H484" s="4">
        <f>_xlfn.XLOOKUP(D484, Products!$A$2:$A$21, Products!$E$2:$E$21, 0)</f>
        <v>49</v>
      </c>
      <c r="I484" s="4">
        <f>_xlfn.XLOOKUP(D484, Products!$A$2:$A$21, Products!$F$2:$F$21,0)</f>
        <v>14</v>
      </c>
      <c r="J484" t="str">
        <f>_xlfn.XLOOKUP(C484, Stores!$A$2:$A$7, Stores!$D$2:$D$7)</f>
        <v>Sydney North</v>
      </c>
      <c r="K484" s="4">
        <f t="shared" si="14"/>
        <v>49</v>
      </c>
      <c r="L484" s="4">
        <f t="shared" si="15"/>
        <v>35</v>
      </c>
      <c r="M484" s="10">
        <f>IF(Table1[[#This Row],[Revenue]]=0, "", Table1[[#This Row],[Profit]]/Table1[[#This Row],[Revenue]])</f>
        <v>0.7142857142857143</v>
      </c>
      <c r="N484" s="4" t="str">
        <f>IF(Table1[[#This Row],[Margin]]="", "check", IF(Table1[[#This Row],[Margin]]&lt;0.2, "Low", "OK"))</f>
        <v>OK</v>
      </c>
      <c r="O484" s="4" t="str" cm="1">
        <f t="array" ref="O484">_xlfn.IFS(Table1[[#This Row],[Revenue]]=0, "Check", Table1[[#This Row],[Revenue]]&gt;=1000, "Large", Table1[[#This Row],[Revenue]]&gt;=200, "Medium", TRUE, "Small")</f>
        <v>Small</v>
      </c>
      <c r="P484" s="4" t="str">
        <f>IF(AND(Table1[[#This Row],[Margin Flag]]="Low", Table1[[#This Row],[Revenue]]&gt;1000), "Review", "")</f>
        <v/>
      </c>
      <c r="Q484" s="4" t="str">
        <f>IF(OR(Table1[[#This Row],[Qty]]&gt;=5,Table1[[#This Row],[Order Size]] = "Large" ), "Bulk", "")</f>
        <v/>
      </c>
      <c r="R484" s="10">
        <f>_xlfn.XLOOKUP(G484, Lookup!$A$2:$A$7, Lookup!$B$2:$B$7, "")</f>
        <v>0.25</v>
      </c>
      <c r="S484" s="4" t="str">
        <f>IF(Table1[[#This Row],[Margin]]&lt;Table1[[#This Row],[Target Margin]], "Yes", "")</f>
        <v/>
      </c>
    </row>
    <row r="485" spans="1:19">
      <c r="A485" t="s">
        <v>530</v>
      </c>
      <c r="B485" s="2">
        <v>46278</v>
      </c>
      <c r="C485" t="s">
        <v>26</v>
      </c>
      <c r="D485" t="s">
        <v>80</v>
      </c>
      <c r="E485">
        <v>1</v>
      </c>
      <c r="F485" t="str">
        <f>_xlfn.XLOOKUP(D485, Products!$A$2:$A$21, Products!$B$2:$B$21, "Not Found")</f>
        <v>Over-Ear Headphones</v>
      </c>
      <c r="G485" t="str">
        <f>_xlfn.XLOOKUP(D485, Products!$A$2:$A$21, Products!$C$2:$C$21,"not found")</f>
        <v>Audio</v>
      </c>
      <c r="H485" s="4">
        <f>_xlfn.XLOOKUP(D485, Products!$A$2:$A$21, Products!$E$2:$E$21, 0)</f>
        <v>499</v>
      </c>
      <c r="I485" s="4">
        <f>_xlfn.XLOOKUP(D485, Products!$A$2:$A$21, Products!$F$2:$F$21,0)</f>
        <v>310</v>
      </c>
      <c r="J485" t="str">
        <f>_xlfn.XLOOKUP(C485, Stores!$A$2:$A$7, Stores!$D$2:$D$7)</f>
        <v>Sydney North</v>
      </c>
      <c r="K485" s="4">
        <f t="shared" si="14"/>
        <v>499</v>
      </c>
      <c r="L485" s="4">
        <f t="shared" si="15"/>
        <v>189</v>
      </c>
      <c r="M485" s="10">
        <f>IF(Table1[[#This Row],[Revenue]]=0, "", Table1[[#This Row],[Profit]]/Table1[[#This Row],[Revenue]])</f>
        <v>0.37875751503006011</v>
      </c>
      <c r="N485" s="4" t="str">
        <f>IF(Table1[[#This Row],[Margin]]="", "check", IF(Table1[[#This Row],[Margin]]&lt;0.2, "Low", "OK"))</f>
        <v>OK</v>
      </c>
      <c r="O485" s="4" t="str" cm="1">
        <f t="array" ref="O485">_xlfn.IFS(Table1[[#This Row],[Revenue]]=0, "Check", Table1[[#This Row],[Revenue]]&gt;=1000, "Large", Table1[[#This Row],[Revenue]]&gt;=200, "Medium", TRUE, "Small")</f>
        <v>Medium</v>
      </c>
      <c r="P485" s="4" t="str">
        <f>IF(AND(Table1[[#This Row],[Margin Flag]]="Low", Table1[[#This Row],[Revenue]]&gt;1000), "Review", "")</f>
        <v/>
      </c>
      <c r="Q485" s="4" t="str">
        <f>IF(OR(Table1[[#This Row],[Qty]]&gt;=5,Table1[[#This Row],[Order Size]] = "Large" ), "Bulk", "")</f>
        <v/>
      </c>
      <c r="R485" s="10">
        <f>_xlfn.XLOOKUP(G485, Lookup!$A$2:$A$7, Lookup!$B$2:$B$7, "")</f>
        <v>0.25</v>
      </c>
      <c r="S485" s="4" t="str">
        <f>IF(Table1[[#This Row],[Margin]]&lt;Table1[[#This Row],[Target Margin]], "Yes", "")</f>
        <v/>
      </c>
    </row>
    <row r="486" spans="1:19">
      <c r="A486" t="s">
        <v>531</v>
      </c>
      <c r="B486" s="2">
        <v>46278</v>
      </c>
      <c r="C486" t="s">
        <v>20</v>
      </c>
      <c r="D486" t="s">
        <v>21</v>
      </c>
      <c r="E486">
        <v>1</v>
      </c>
      <c r="F486" t="str">
        <f>_xlfn.XLOOKUP(D486, Products!$A$2:$A$21, Products!$B$2:$B$21, "Not Found")</f>
        <v>Gaming Mouse</v>
      </c>
      <c r="G486" t="str">
        <f>_xlfn.XLOOKUP(D486, Products!$A$2:$A$21, Products!$C$2:$C$21,"not found")</f>
        <v>Accessories</v>
      </c>
      <c r="H486" s="4">
        <f>_xlfn.XLOOKUP(D486, Products!$A$2:$A$21, Products!$E$2:$E$21, 0)</f>
        <v>89</v>
      </c>
      <c r="I486" s="4">
        <f>_xlfn.XLOOKUP(D486, Products!$A$2:$A$21, Products!$F$2:$F$21,0)</f>
        <v>41</v>
      </c>
      <c r="J486" t="str">
        <f>_xlfn.XLOOKUP(C486, Stores!$A$2:$A$7, Stores!$D$2:$D$7)</f>
        <v>Sydney West</v>
      </c>
      <c r="K486" s="4">
        <f t="shared" si="14"/>
        <v>89</v>
      </c>
      <c r="L486" s="4">
        <f t="shared" si="15"/>
        <v>48</v>
      </c>
      <c r="M486" s="10">
        <f>IF(Table1[[#This Row],[Revenue]]=0, "", Table1[[#This Row],[Profit]]/Table1[[#This Row],[Revenue]])</f>
        <v>0.5393258426966292</v>
      </c>
      <c r="N486" s="4" t="str">
        <f>IF(Table1[[#This Row],[Margin]]="", "check", IF(Table1[[#This Row],[Margin]]&lt;0.2, "Low", "OK"))</f>
        <v>OK</v>
      </c>
      <c r="O486" s="4" t="str" cm="1">
        <f t="array" ref="O486">_xlfn.IFS(Table1[[#This Row],[Revenue]]=0, "Check", Table1[[#This Row],[Revenue]]&gt;=1000, "Large", Table1[[#This Row],[Revenue]]&gt;=200, "Medium", TRUE, "Small")</f>
        <v>Small</v>
      </c>
      <c r="P486" s="4" t="str">
        <f>IF(AND(Table1[[#This Row],[Margin Flag]]="Low", Table1[[#This Row],[Revenue]]&gt;1000), "Review", "")</f>
        <v/>
      </c>
      <c r="Q486" s="4" t="str">
        <f>IF(OR(Table1[[#This Row],[Qty]]&gt;=5,Table1[[#This Row],[Order Size]] = "Large" ), "Bulk", "")</f>
        <v/>
      </c>
      <c r="R486" s="10">
        <f>_xlfn.XLOOKUP(G486, Lookup!$A$2:$A$7, Lookup!$B$2:$B$7, "")</f>
        <v>0.25</v>
      </c>
      <c r="S486" s="4" t="str">
        <f>IF(Table1[[#This Row],[Margin]]&lt;Table1[[#This Row],[Target Margin]], "Yes", "")</f>
        <v/>
      </c>
    </row>
    <row r="487" spans="1:19">
      <c r="A487" t="s">
        <v>532</v>
      </c>
      <c r="B487" s="2">
        <v>46278</v>
      </c>
      <c r="C487" t="s">
        <v>20</v>
      </c>
      <c r="D487" t="s">
        <v>50</v>
      </c>
      <c r="E487">
        <v>1</v>
      </c>
      <c r="F487" t="str">
        <f>_xlfn.XLOOKUP(D487, Products!$A$2:$A$21, Products!$B$2:$B$21, "Not Found")</f>
        <v>Smartphone 128GB</v>
      </c>
      <c r="G487" t="str">
        <f>_xlfn.XLOOKUP(D487, Products!$A$2:$A$21, Products!$C$2:$C$21,"not found")</f>
        <v>Phones</v>
      </c>
      <c r="H487" s="4">
        <f>_xlfn.XLOOKUP(D487, Products!$A$2:$A$21, Products!$E$2:$E$21, 0)</f>
        <v>1099</v>
      </c>
      <c r="I487" s="4">
        <f>_xlfn.XLOOKUP(D487, Products!$A$2:$A$21, Products!$F$2:$F$21,0)</f>
        <v>860</v>
      </c>
      <c r="J487" t="str">
        <f>_xlfn.XLOOKUP(C487, Stores!$A$2:$A$7, Stores!$D$2:$D$7)</f>
        <v>Sydney West</v>
      </c>
      <c r="K487" s="4">
        <f t="shared" si="14"/>
        <v>1099</v>
      </c>
      <c r="L487" s="4">
        <f t="shared" si="15"/>
        <v>239</v>
      </c>
      <c r="M487" s="10">
        <f>IF(Table1[[#This Row],[Revenue]]=0, "", Table1[[#This Row],[Profit]]/Table1[[#This Row],[Revenue]])</f>
        <v>0.21747042766151045</v>
      </c>
      <c r="N487" s="4" t="str">
        <f>IF(Table1[[#This Row],[Margin]]="", "check", IF(Table1[[#This Row],[Margin]]&lt;0.2, "Low", "OK"))</f>
        <v>OK</v>
      </c>
      <c r="O487" s="4" t="str" cm="1">
        <f t="array" ref="O487">_xlfn.IFS(Table1[[#This Row],[Revenue]]=0, "Check", Table1[[#This Row],[Revenue]]&gt;=1000, "Large", Table1[[#This Row],[Revenue]]&gt;=200, "Medium", TRUE, "Small")</f>
        <v>Large</v>
      </c>
      <c r="P487" s="4" t="str">
        <f>IF(AND(Table1[[#This Row],[Margin Flag]]="Low", Table1[[#This Row],[Revenue]]&gt;1000), "Review", "")</f>
        <v/>
      </c>
      <c r="Q487" s="4" t="str">
        <f>IF(OR(Table1[[#This Row],[Qty]]&gt;=5,Table1[[#This Row],[Order Size]] = "Large" ), "Bulk", "")</f>
        <v>Bulk</v>
      </c>
      <c r="R487" s="10">
        <f>_xlfn.XLOOKUP(G487, Lookup!$A$2:$A$7, Lookup!$B$2:$B$7, "")</f>
        <v>0.25</v>
      </c>
      <c r="S487" s="4" t="str">
        <f>IF(Table1[[#This Row],[Margin]]&lt;Table1[[#This Row],[Target Margin]], "Yes", "")</f>
        <v>Yes</v>
      </c>
    </row>
    <row r="488" spans="1:19">
      <c r="A488" t="s">
        <v>533</v>
      </c>
      <c r="B488" s="2">
        <v>46278</v>
      </c>
      <c r="C488" t="s">
        <v>20</v>
      </c>
      <c r="D488" t="s">
        <v>69</v>
      </c>
      <c r="E488">
        <v>4</v>
      </c>
      <c r="F488" t="str">
        <f>_xlfn.XLOOKUP(D488, Products!$A$2:$A$21, Products!$B$2:$B$21, "Not Found")</f>
        <v>27in Monitor</v>
      </c>
      <c r="G488" t="str">
        <f>_xlfn.XLOOKUP(D488, Products!$A$2:$A$21, Products!$C$2:$C$21,"not found")</f>
        <v>Computers</v>
      </c>
      <c r="H488" s="4">
        <f>_xlfn.XLOOKUP(D488, Products!$A$2:$A$21, Products!$E$2:$E$21, 0)</f>
        <v>399</v>
      </c>
      <c r="I488" s="4">
        <f>_xlfn.XLOOKUP(D488, Products!$A$2:$A$21, Products!$F$2:$F$21,0)</f>
        <v>290</v>
      </c>
      <c r="J488" t="str">
        <f>_xlfn.XLOOKUP(C488, Stores!$A$2:$A$7, Stores!$D$2:$D$7)</f>
        <v>Sydney West</v>
      </c>
      <c r="K488" s="4">
        <f t="shared" si="14"/>
        <v>1596</v>
      </c>
      <c r="L488" s="4">
        <f t="shared" si="15"/>
        <v>436</v>
      </c>
      <c r="M488" s="10">
        <f>IF(Table1[[#This Row],[Revenue]]=0, "", Table1[[#This Row],[Profit]]/Table1[[#This Row],[Revenue]])</f>
        <v>0.27318295739348369</v>
      </c>
      <c r="N488" s="4" t="str">
        <f>IF(Table1[[#This Row],[Margin]]="", "check", IF(Table1[[#This Row],[Margin]]&lt;0.2, "Low", "OK"))</f>
        <v>OK</v>
      </c>
      <c r="O488" s="4" t="str" cm="1">
        <f t="array" ref="O488">_xlfn.IFS(Table1[[#This Row],[Revenue]]=0, "Check", Table1[[#This Row],[Revenue]]&gt;=1000, "Large", Table1[[#This Row],[Revenue]]&gt;=200, "Medium", TRUE, "Small")</f>
        <v>Large</v>
      </c>
      <c r="P488" s="4" t="str">
        <f>IF(AND(Table1[[#This Row],[Margin Flag]]="Low", Table1[[#This Row],[Revenue]]&gt;1000), "Review", "")</f>
        <v/>
      </c>
      <c r="Q488" s="4" t="str">
        <f>IF(OR(Table1[[#This Row],[Qty]]&gt;=5,Table1[[#This Row],[Order Size]] = "Large" ), "Bulk", "")</f>
        <v>Bulk</v>
      </c>
      <c r="R488" s="10">
        <f>_xlfn.XLOOKUP(G488, Lookup!$A$2:$A$7, Lookup!$B$2:$B$7, "")</f>
        <v>0.25</v>
      </c>
      <c r="S488" s="4" t="str">
        <f>IF(Table1[[#This Row],[Margin]]&lt;Table1[[#This Row],[Target Margin]], "Yes", "")</f>
        <v/>
      </c>
    </row>
    <row r="489" spans="1:19">
      <c r="A489" t="s">
        <v>534</v>
      </c>
      <c r="B489" s="2">
        <v>46278</v>
      </c>
      <c r="C489" t="s">
        <v>32</v>
      </c>
      <c r="D489" t="s">
        <v>38</v>
      </c>
      <c r="E489">
        <v>1</v>
      </c>
      <c r="F489" t="str">
        <f>_xlfn.XLOOKUP(D489, Products!$A$2:$A$21, Products!$B$2:$B$21, "Not Found")</f>
        <v>USB-C Charger</v>
      </c>
      <c r="G489" t="str">
        <f>_xlfn.XLOOKUP(D489, Products!$A$2:$A$21, Products!$C$2:$C$21,"not found")</f>
        <v>Accessories</v>
      </c>
      <c r="H489" s="4">
        <f>_xlfn.XLOOKUP(D489, Products!$A$2:$A$21, Products!$E$2:$E$21, 0)</f>
        <v>49</v>
      </c>
      <c r="I489" s="4">
        <f>_xlfn.XLOOKUP(D489, Products!$A$2:$A$21, Products!$F$2:$F$21,0)</f>
        <v>14</v>
      </c>
      <c r="J489" t="str">
        <f>_xlfn.XLOOKUP(C489, Stores!$A$2:$A$7, Stores!$D$2:$D$7)</f>
        <v>Sydney South</v>
      </c>
      <c r="K489" s="4">
        <f t="shared" si="14"/>
        <v>49</v>
      </c>
      <c r="L489" s="4">
        <f t="shared" si="15"/>
        <v>35</v>
      </c>
      <c r="M489" s="10">
        <f>IF(Table1[[#This Row],[Revenue]]=0, "", Table1[[#This Row],[Profit]]/Table1[[#This Row],[Revenue]])</f>
        <v>0.7142857142857143</v>
      </c>
      <c r="N489" s="4" t="str">
        <f>IF(Table1[[#This Row],[Margin]]="", "check", IF(Table1[[#This Row],[Margin]]&lt;0.2, "Low", "OK"))</f>
        <v>OK</v>
      </c>
      <c r="O489" s="4" t="str" cm="1">
        <f t="array" ref="O489">_xlfn.IFS(Table1[[#This Row],[Revenue]]=0, "Check", Table1[[#This Row],[Revenue]]&gt;=1000, "Large", Table1[[#This Row],[Revenue]]&gt;=200, "Medium", TRUE, "Small")</f>
        <v>Small</v>
      </c>
      <c r="P489" s="4" t="str">
        <f>IF(AND(Table1[[#This Row],[Margin Flag]]="Low", Table1[[#This Row],[Revenue]]&gt;1000), "Review", "")</f>
        <v/>
      </c>
      <c r="Q489" s="4" t="str">
        <f>IF(OR(Table1[[#This Row],[Qty]]&gt;=5,Table1[[#This Row],[Order Size]] = "Large" ), "Bulk", "")</f>
        <v/>
      </c>
      <c r="R489" s="10">
        <f>_xlfn.XLOOKUP(G489, Lookup!$A$2:$A$7, Lookup!$B$2:$B$7, "")</f>
        <v>0.25</v>
      </c>
      <c r="S489" s="4" t="str">
        <f>IF(Table1[[#This Row],[Margin]]&lt;Table1[[#This Row],[Target Margin]], "Yes", "")</f>
        <v/>
      </c>
    </row>
    <row r="490" spans="1:19">
      <c r="A490" t="s">
        <v>535</v>
      </c>
      <c r="B490" s="2">
        <v>46278</v>
      </c>
      <c r="C490" t="s">
        <v>20</v>
      </c>
      <c r="D490" t="s">
        <v>80</v>
      </c>
      <c r="E490">
        <v>2</v>
      </c>
      <c r="F490" t="str">
        <f>_xlfn.XLOOKUP(D490, Products!$A$2:$A$21, Products!$B$2:$B$21, "Not Found")</f>
        <v>Over-Ear Headphones</v>
      </c>
      <c r="G490" t="str">
        <f>_xlfn.XLOOKUP(D490, Products!$A$2:$A$21, Products!$C$2:$C$21,"not found")</f>
        <v>Audio</v>
      </c>
      <c r="H490" s="4">
        <f>_xlfn.XLOOKUP(D490, Products!$A$2:$A$21, Products!$E$2:$E$21, 0)</f>
        <v>499</v>
      </c>
      <c r="I490" s="4">
        <f>_xlfn.XLOOKUP(D490, Products!$A$2:$A$21, Products!$F$2:$F$21,0)</f>
        <v>310</v>
      </c>
      <c r="J490" t="str">
        <f>_xlfn.XLOOKUP(C490, Stores!$A$2:$A$7, Stores!$D$2:$D$7)</f>
        <v>Sydney West</v>
      </c>
      <c r="K490" s="4">
        <f t="shared" si="14"/>
        <v>998</v>
      </c>
      <c r="L490" s="4">
        <f t="shared" si="15"/>
        <v>378</v>
      </c>
      <c r="M490" s="10">
        <f>IF(Table1[[#This Row],[Revenue]]=0, "", Table1[[#This Row],[Profit]]/Table1[[#This Row],[Revenue]])</f>
        <v>0.37875751503006011</v>
      </c>
      <c r="N490" s="4" t="str">
        <f>IF(Table1[[#This Row],[Margin]]="", "check", IF(Table1[[#This Row],[Margin]]&lt;0.2, "Low", "OK"))</f>
        <v>OK</v>
      </c>
      <c r="O490" s="4" t="str" cm="1">
        <f t="array" ref="O490">_xlfn.IFS(Table1[[#This Row],[Revenue]]=0, "Check", Table1[[#This Row],[Revenue]]&gt;=1000, "Large", Table1[[#This Row],[Revenue]]&gt;=200, "Medium", TRUE, "Small")</f>
        <v>Medium</v>
      </c>
      <c r="P490" s="4" t="str">
        <f>IF(AND(Table1[[#This Row],[Margin Flag]]="Low", Table1[[#This Row],[Revenue]]&gt;1000), "Review", "")</f>
        <v/>
      </c>
      <c r="Q490" s="4" t="str">
        <f>IF(OR(Table1[[#This Row],[Qty]]&gt;=5,Table1[[#This Row],[Order Size]] = "Large" ), "Bulk", "")</f>
        <v/>
      </c>
      <c r="R490" s="10">
        <f>_xlfn.XLOOKUP(G490, Lookup!$A$2:$A$7, Lookup!$B$2:$B$7, "")</f>
        <v>0.25</v>
      </c>
      <c r="S490" s="4" t="str">
        <f>IF(Table1[[#This Row],[Margin]]&lt;Table1[[#This Row],[Target Margin]], "Yes", "")</f>
        <v/>
      </c>
    </row>
    <row r="491" spans="1:19">
      <c r="A491" t="s">
        <v>536</v>
      </c>
      <c r="B491" s="2">
        <v>46278</v>
      </c>
      <c r="C491" t="s">
        <v>32</v>
      </c>
      <c r="D491" t="s">
        <v>60</v>
      </c>
      <c r="E491">
        <v>1</v>
      </c>
      <c r="F491" t="str">
        <f>_xlfn.XLOOKUP(D491, Products!$A$2:$A$21, Products!$B$2:$B$21, "Not Found")</f>
        <v>55in TV</v>
      </c>
      <c r="G491" t="str">
        <f>_xlfn.XLOOKUP(D491, Products!$A$2:$A$21, Products!$C$2:$C$21,"not found")</f>
        <v>TV</v>
      </c>
      <c r="H491" s="4">
        <f>_xlfn.XLOOKUP(D491, Products!$A$2:$A$21, Products!$E$2:$E$21, 0)</f>
        <v>1299</v>
      </c>
      <c r="I491" s="4">
        <f>_xlfn.XLOOKUP(D491, Products!$A$2:$A$21, Products!$F$2:$F$21,0)</f>
        <v>980</v>
      </c>
      <c r="J491" t="str">
        <f>_xlfn.XLOOKUP(C491, Stores!$A$2:$A$7, Stores!$D$2:$D$7)</f>
        <v>Sydney South</v>
      </c>
      <c r="K491" s="4">
        <f t="shared" si="14"/>
        <v>1299</v>
      </c>
      <c r="L491" s="4">
        <f t="shared" si="15"/>
        <v>319</v>
      </c>
      <c r="M491" s="10">
        <f>IF(Table1[[#This Row],[Revenue]]=0, "", Table1[[#This Row],[Profit]]/Table1[[#This Row],[Revenue]])</f>
        <v>0.2455735180908391</v>
      </c>
      <c r="N491" s="4" t="str">
        <f>IF(Table1[[#This Row],[Margin]]="", "check", IF(Table1[[#This Row],[Margin]]&lt;0.2, "Low", "OK"))</f>
        <v>OK</v>
      </c>
      <c r="O491" s="4" t="str" cm="1">
        <f t="array" ref="O491">_xlfn.IFS(Table1[[#This Row],[Revenue]]=0, "Check", Table1[[#This Row],[Revenue]]&gt;=1000, "Large", Table1[[#This Row],[Revenue]]&gt;=200, "Medium", TRUE, "Small")</f>
        <v>Large</v>
      </c>
      <c r="P491" s="4" t="str">
        <f>IF(AND(Table1[[#This Row],[Margin Flag]]="Low", Table1[[#This Row],[Revenue]]&gt;1000), "Review", "")</f>
        <v/>
      </c>
      <c r="Q491" s="4" t="str">
        <f>IF(OR(Table1[[#This Row],[Qty]]&gt;=5,Table1[[#This Row],[Order Size]] = "Large" ), "Bulk", "")</f>
        <v>Bulk</v>
      </c>
      <c r="R491" s="10">
        <f>_xlfn.XLOOKUP(G491, Lookup!$A$2:$A$7, Lookup!$B$2:$B$7, "")</f>
        <v>0.25</v>
      </c>
      <c r="S491" s="4" t="str">
        <f>IF(Table1[[#This Row],[Margin]]&lt;Table1[[#This Row],[Target Margin]], "Yes", "")</f>
        <v>Yes</v>
      </c>
    </row>
    <row r="492" spans="1:19">
      <c r="A492" t="s">
        <v>537</v>
      </c>
      <c r="B492" s="2">
        <v>46278</v>
      </c>
      <c r="C492" t="s">
        <v>20</v>
      </c>
      <c r="D492" t="s">
        <v>99</v>
      </c>
      <c r="E492">
        <v>1</v>
      </c>
      <c r="F492" t="str">
        <f>_xlfn.XLOOKUP(D492, Products!$A$2:$A$21, Products!$B$2:$B$21, "Not Found")</f>
        <v>Smartphone 256GB</v>
      </c>
      <c r="G492" t="str">
        <f>_xlfn.XLOOKUP(D492, Products!$A$2:$A$21, Products!$C$2:$C$21,"not found")</f>
        <v>Phones</v>
      </c>
      <c r="H492" s="4">
        <f>_xlfn.XLOOKUP(D492, Products!$A$2:$A$21, Products!$E$2:$E$21, 0)</f>
        <v>1499</v>
      </c>
      <c r="I492" s="4">
        <f>_xlfn.XLOOKUP(D492, Products!$A$2:$A$21, Products!$F$2:$F$21,0)</f>
        <v>1180</v>
      </c>
      <c r="J492" t="str">
        <f>_xlfn.XLOOKUP(C492, Stores!$A$2:$A$7, Stores!$D$2:$D$7)</f>
        <v>Sydney West</v>
      </c>
      <c r="K492" s="4">
        <f t="shared" si="14"/>
        <v>1499</v>
      </c>
      <c r="L492" s="4">
        <f t="shared" si="15"/>
        <v>319</v>
      </c>
      <c r="M492" s="10">
        <f>IF(Table1[[#This Row],[Revenue]]=0, "", Table1[[#This Row],[Profit]]/Table1[[#This Row],[Revenue]])</f>
        <v>0.21280853902601735</v>
      </c>
      <c r="N492" s="4" t="str">
        <f>IF(Table1[[#This Row],[Margin]]="", "check", IF(Table1[[#This Row],[Margin]]&lt;0.2, "Low", "OK"))</f>
        <v>OK</v>
      </c>
      <c r="O492" s="4" t="str" cm="1">
        <f t="array" ref="O492">_xlfn.IFS(Table1[[#This Row],[Revenue]]=0, "Check", Table1[[#This Row],[Revenue]]&gt;=1000, "Large", Table1[[#This Row],[Revenue]]&gt;=200, "Medium", TRUE, "Small")</f>
        <v>Large</v>
      </c>
      <c r="P492" s="4" t="str">
        <f>IF(AND(Table1[[#This Row],[Margin Flag]]="Low", Table1[[#This Row],[Revenue]]&gt;1000), "Review", "")</f>
        <v/>
      </c>
      <c r="Q492" s="4" t="str">
        <f>IF(OR(Table1[[#This Row],[Qty]]&gt;=5,Table1[[#This Row],[Order Size]] = "Large" ), "Bulk", "")</f>
        <v>Bulk</v>
      </c>
      <c r="R492" s="10">
        <f>_xlfn.XLOOKUP(G492, Lookup!$A$2:$A$7, Lookup!$B$2:$B$7, "")</f>
        <v>0.25</v>
      </c>
      <c r="S492" s="4" t="str">
        <f>IF(Table1[[#This Row],[Margin]]&lt;Table1[[#This Row],[Target Margin]], "Yes", "")</f>
        <v>Yes</v>
      </c>
    </row>
    <row r="493" spans="1:19">
      <c r="A493" t="s">
        <v>538</v>
      </c>
      <c r="B493" s="2">
        <v>46279</v>
      </c>
      <c r="C493" t="s">
        <v>20</v>
      </c>
      <c r="D493" t="s">
        <v>50</v>
      </c>
      <c r="E493">
        <v>1</v>
      </c>
      <c r="F493" t="str">
        <f>_xlfn.XLOOKUP(D493, Products!$A$2:$A$21, Products!$B$2:$B$21, "Not Found")</f>
        <v>Smartphone 128GB</v>
      </c>
      <c r="G493" t="str">
        <f>_xlfn.XLOOKUP(D493, Products!$A$2:$A$21, Products!$C$2:$C$21,"not found")</f>
        <v>Phones</v>
      </c>
      <c r="H493" s="4">
        <f>_xlfn.XLOOKUP(D493, Products!$A$2:$A$21, Products!$E$2:$E$21, 0)</f>
        <v>1099</v>
      </c>
      <c r="I493" s="4">
        <f>_xlfn.XLOOKUP(D493, Products!$A$2:$A$21, Products!$F$2:$F$21,0)</f>
        <v>860</v>
      </c>
      <c r="J493" t="str">
        <f>_xlfn.XLOOKUP(C493, Stores!$A$2:$A$7, Stores!$D$2:$D$7)</f>
        <v>Sydney West</v>
      </c>
      <c r="K493" s="4">
        <f t="shared" si="14"/>
        <v>1099</v>
      </c>
      <c r="L493" s="4">
        <f t="shared" si="15"/>
        <v>239</v>
      </c>
      <c r="M493" s="10">
        <f>IF(Table1[[#This Row],[Revenue]]=0, "", Table1[[#This Row],[Profit]]/Table1[[#This Row],[Revenue]])</f>
        <v>0.21747042766151045</v>
      </c>
      <c r="N493" s="4" t="str">
        <f>IF(Table1[[#This Row],[Margin]]="", "check", IF(Table1[[#This Row],[Margin]]&lt;0.2, "Low", "OK"))</f>
        <v>OK</v>
      </c>
      <c r="O493" s="4" t="str" cm="1">
        <f t="array" ref="O493">_xlfn.IFS(Table1[[#This Row],[Revenue]]=0, "Check", Table1[[#This Row],[Revenue]]&gt;=1000, "Large", Table1[[#This Row],[Revenue]]&gt;=200, "Medium", TRUE, "Small")</f>
        <v>Large</v>
      </c>
      <c r="P493" s="4" t="str">
        <f>IF(AND(Table1[[#This Row],[Margin Flag]]="Low", Table1[[#This Row],[Revenue]]&gt;1000), "Review", "")</f>
        <v/>
      </c>
      <c r="Q493" s="4" t="str">
        <f>IF(OR(Table1[[#This Row],[Qty]]&gt;=5,Table1[[#This Row],[Order Size]] = "Large" ), "Bulk", "")</f>
        <v>Bulk</v>
      </c>
      <c r="R493" s="10">
        <f>_xlfn.XLOOKUP(G493, Lookup!$A$2:$A$7, Lookup!$B$2:$B$7, "")</f>
        <v>0.25</v>
      </c>
      <c r="S493" s="4" t="str">
        <f>IF(Table1[[#This Row],[Margin]]&lt;Table1[[#This Row],[Target Margin]], "Yes", "")</f>
        <v>Yes</v>
      </c>
    </row>
    <row r="494" spans="1:19">
      <c r="A494" t="s">
        <v>539</v>
      </c>
      <c r="B494" s="2">
        <v>46279</v>
      </c>
      <c r="C494" t="s">
        <v>26</v>
      </c>
      <c r="D494" t="s">
        <v>30</v>
      </c>
      <c r="E494">
        <v>1</v>
      </c>
      <c r="F494" t="str">
        <f>_xlfn.XLOOKUP(D494, Products!$A$2:$A$21, Products!$B$2:$B$21, "Not Found")</f>
        <v>Video Game</v>
      </c>
      <c r="G494" t="str">
        <f>_xlfn.XLOOKUP(D494, Products!$A$2:$A$21, Products!$C$2:$C$21,"not found")</f>
        <v>Gaming</v>
      </c>
      <c r="H494" s="4">
        <f>_xlfn.XLOOKUP(D494, Products!$A$2:$A$21, Products!$E$2:$E$21, 0)</f>
        <v>79</v>
      </c>
      <c r="I494" s="4">
        <f>_xlfn.XLOOKUP(D494, Products!$A$2:$A$21, Products!$F$2:$F$21,0)</f>
        <v>52</v>
      </c>
      <c r="J494" t="str">
        <f>_xlfn.XLOOKUP(C494, Stores!$A$2:$A$7, Stores!$D$2:$D$7)</f>
        <v>Sydney North</v>
      </c>
      <c r="K494" s="4">
        <f t="shared" si="14"/>
        <v>79</v>
      </c>
      <c r="L494" s="4">
        <f t="shared" si="15"/>
        <v>27</v>
      </c>
      <c r="M494" s="10">
        <f>IF(Table1[[#This Row],[Revenue]]=0, "", Table1[[#This Row],[Profit]]/Table1[[#This Row],[Revenue]])</f>
        <v>0.34177215189873417</v>
      </c>
      <c r="N494" s="4" t="str">
        <f>IF(Table1[[#This Row],[Margin]]="", "check", IF(Table1[[#This Row],[Margin]]&lt;0.2, "Low", "OK"))</f>
        <v>OK</v>
      </c>
      <c r="O494" s="4" t="str" cm="1">
        <f t="array" ref="O494">_xlfn.IFS(Table1[[#This Row],[Revenue]]=0, "Check", Table1[[#This Row],[Revenue]]&gt;=1000, "Large", Table1[[#This Row],[Revenue]]&gt;=200, "Medium", TRUE, "Small")</f>
        <v>Small</v>
      </c>
      <c r="P494" s="4" t="str">
        <f>IF(AND(Table1[[#This Row],[Margin Flag]]="Low", Table1[[#This Row],[Revenue]]&gt;1000), "Review", "")</f>
        <v/>
      </c>
      <c r="Q494" s="4" t="str">
        <f>IF(OR(Table1[[#This Row],[Qty]]&gt;=5,Table1[[#This Row],[Order Size]] = "Large" ), "Bulk", "")</f>
        <v/>
      </c>
      <c r="R494" s="10">
        <f>_xlfn.XLOOKUP(G494, Lookup!$A$2:$A$7, Lookup!$B$2:$B$7, "")</f>
        <v>0.08</v>
      </c>
      <c r="S494" s="4" t="str">
        <f>IF(Table1[[#This Row],[Margin]]&lt;Table1[[#This Row],[Target Margin]], "Yes", "")</f>
        <v/>
      </c>
    </row>
    <row r="495" spans="1:19">
      <c r="A495" t="s">
        <v>540</v>
      </c>
      <c r="B495" s="2">
        <v>46279</v>
      </c>
      <c r="C495" t="s">
        <v>23</v>
      </c>
      <c r="D495" t="s">
        <v>99</v>
      </c>
      <c r="E495">
        <v>1</v>
      </c>
      <c r="F495" t="str">
        <f>_xlfn.XLOOKUP(D495, Products!$A$2:$A$21, Products!$B$2:$B$21, "Not Found")</f>
        <v>Smartphone 256GB</v>
      </c>
      <c r="G495" t="str">
        <f>_xlfn.XLOOKUP(D495, Products!$A$2:$A$21, Products!$C$2:$C$21,"not found")</f>
        <v>Phones</v>
      </c>
      <c r="H495" s="4">
        <f>_xlfn.XLOOKUP(D495, Products!$A$2:$A$21, Products!$E$2:$E$21, 0)</f>
        <v>1499</v>
      </c>
      <c r="I495" s="4">
        <f>_xlfn.XLOOKUP(D495, Products!$A$2:$A$21, Products!$F$2:$F$21,0)</f>
        <v>1180</v>
      </c>
      <c r="J495" t="str">
        <f>_xlfn.XLOOKUP(C495, Stores!$A$2:$A$7, Stores!$D$2:$D$7)</f>
        <v>Sydney East</v>
      </c>
      <c r="K495" s="4">
        <f t="shared" si="14"/>
        <v>1499</v>
      </c>
      <c r="L495" s="4">
        <f t="shared" si="15"/>
        <v>319</v>
      </c>
      <c r="M495" s="10">
        <f>IF(Table1[[#This Row],[Revenue]]=0, "", Table1[[#This Row],[Profit]]/Table1[[#This Row],[Revenue]])</f>
        <v>0.21280853902601735</v>
      </c>
      <c r="N495" s="4" t="str">
        <f>IF(Table1[[#This Row],[Margin]]="", "check", IF(Table1[[#This Row],[Margin]]&lt;0.2, "Low", "OK"))</f>
        <v>OK</v>
      </c>
      <c r="O495" s="4" t="str" cm="1">
        <f t="array" ref="O495">_xlfn.IFS(Table1[[#This Row],[Revenue]]=0, "Check", Table1[[#This Row],[Revenue]]&gt;=1000, "Large", Table1[[#This Row],[Revenue]]&gt;=200, "Medium", TRUE, "Small")</f>
        <v>Large</v>
      </c>
      <c r="P495" s="4" t="str">
        <f>IF(AND(Table1[[#This Row],[Margin Flag]]="Low", Table1[[#This Row],[Revenue]]&gt;1000), "Review", "")</f>
        <v/>
      </c>
      <c r="Q495" s="4" t="str">
        <f>IF(OR(Table1[[#This Row],[Qty]]&gt;=5,Table1[[#This Row],[Order Size]] = "Large" ), "Bulk", "")</f>
        <v>Bulk</v>
      </c>
      <c r="R495" s="10">
        <f>_xlfn.XLOOKUP(G495, Lookup!$A$2:$A$7, Lookup!$B$2:$B$7, "")</f>
        <v>0.25</v>
      </c>
      <c r="S495" s="4" t="str">
        <f>IF(Table1[[#This Row],[Margin]]&lt;Table1[[#This Row],[Target Margin]], "Yes", "")</f>
        <v>Yes</v>
      </c>
    </row>
    <row r="496" spans="1:19">
      <c r="A496" t="s">
        <v>541</v>
      </c>
      <c r="B496" s="2">
        <v>46279</v>
      </c>
      <c r="C496" t="s">
        <v>23</v>
      </c>
      <c r="D496" t="s">
        <v>21</v>
      </c>
      <c r="E496">
        <v>1</v>
      </c>
      <c r="F496" t="str">
        <f>_xlfn.XLOOKUP(D496, Products!$A$2:$A$21, Products!$B$2:$B$21, "Not Found")</f>
        <v>Gaming Mouse</v>
      </c>
      <c r="G496" t="str">
        <f>_xlfn.XLOOKUP(D496, Products!$A$2:$A$21, Products!$C$2:$C$21,"not found")</f>
        <v>Accessories</v>
      </c>
      <c r="H496" s="4">
        <f>_xlfn.XLOOKUP(D496, Products!$A$2:$A$21, Products!$E$2:$E$21, 0)</f>
        <v>89</v>
      </c>
      <c r="I496" s="4">
        <f>_xlfn.XLOOKUP(D496, Products!$A$2:$A$21, Products!$F$2:$F$21,0)</f>
        <v>41</v>
      </c>
      <c r="J496" t="str">
        <f>_xlfn.XLOOKUP(C496, Stores!$A$2:$A$7, Stores!$D$2:$D$7)</f>
        <v>Sydney East</v>
      </c>
      <c r="K496" s="4">
        <f t="shared" si="14"/>
        <v>89</v>
      </c>
      <c r="L496" s="4">
        <f t="shared" si="15"/>
        <v>48</v>
      </c>
      <c r="M496" s="10">
        <f>IF(Table1[[#This Row],[Revenue]]=0, "", Table1[[#This Row],[Profit]]/Table1[[#This Row],[Revenue]])</f>
        <v>0.5393258426966292</v>
      </c>
      <c r="N496" s="4" t="str">
        <f>IF(Table1[[#This Row],[Margin]]="", "check", IF(Table1[[#This Row],[Margin]]&lt;0.2, "Low", "OK"))</f>
        <v>OK</v>
      </c>
      <c r="O496" s="4" t="str" cm="1">
        <f t="array" ref="O496">_xlfn.IFS(Table1[[#This Row],[Revenue]]=0, "Check", Table1[[#This Row],[Revenue]]&gt;=1000, "Large", Table1[[#This Row],[Revenue]]&gt;=200, "Medium", TRUE, "Small")</f>
        <v>Small</v>
      </c>
      <c r="P496" s="4" t="str">
        <f>IF(AND(Table1[[#This Row],[Margin Flag]]="Low", Table1[[#This Row],[Revenue]]&gt;1000), "Review", "")</f>
        <v/>
      </c>
      <c r="Q496" s="4" t="str">
        <f>IF(OR(Table1[[#This Row],[Qty]]&gt;=5,Table1[[#This Row],[Order Size]] = "Large" ), "Bulk", "")</f>
        <v/>
      </c>
      <c r="R496" s="10">
        <f>_xlfn.XLOOKUP(G496, Lookup!$A$2:$A$7, Lookup!$B$2:$B$7, "")</f>
        <v>0.25</v>
      </c>
      <c r="S496" s="4" t="str">
        <f>IF(Table1[[#This Row],[Margin]]&lt;Table1[[#This Row],[Target Margin]], "Yes", "")</f>
        <v/>
      </c>
    </row>
    <row r="497" spans="1:19">
      <c r="A497" t="s">
        <v>542</v>
      </c>
      <c r="B497" s="2">
        <v>46279</v>
      </c>
      <c r="C497" t="s">
        <v>32</v>
      </c>
      <c r="D497" t="s">
        <v>50</v>
      </c>
      <c r="E497">
        <v>1</v>
      </c>
      <c r="F497" t="str">
        <f>_xlfn.XLOOKUP(D497, Products!$A$2:$A$21, Products!$B$2:$B$21, "Not Found")</f>
        <v>Smartphone 128GB</v>
      </c>
      <c r="G497" t="str">
        <f>_xlfn.XLOOKUP(D497, Products!$A$2:$A$21, Products!$C$2:$C$21,"not found")</f>
        <v>Phones</v>
      </c>
      <c r="H497" s="4">
        <f>_xlfn.XLOOKUP(D497, Products!$A$2:$A$21, Products!$E$2:$E$21, 0)</f>
        <v>1099</v>
      </c>
      <c r="I497" s="4">
        <f>_xlfn.XLOOKUP(D497, Products!$A$2:$A$21, Products!$F$2:$F$21,0)</f>
        <v>860</v>
      </c>
      <c r="J497" t="str">
        <f>_xlfn.XLOOKUP(C497, Stores!$A$2:$A$7, Stores!$D$2:$D$7)</f>
        <v>Sydney South</v>
      </c>
      <c r="K497" s="4">
        <f t="shared" si="14"/>
        <v>1099</v>
      </c>
      <c r="L497" s="4">
        <f t="shared" si="15"/>
        <v>239</v>
      </c>
      <c r="M497" s="10">
        <f>IF(Table1[[#This Row],[Revenue]]=0, "", Table1[[#This Row],[Profit]]/Table1[[#This Row],[Revenue]])</f>
        <v>0.21747042766151045</v>
      </c>
      <c r="N497" s="4" t="str">
        <f>IF(Table1[[#This Row],[Margin]]="", "check", IF(Table1[[#This Row],[Margin]]&lt;0.2, "Low", "OK"))</f>
        <v>OK</v>
      </c>
      <c r="O497" s="4" t="str" cm="1">
        <f t="array" ref="O497">_xlfn.IFS(Table1[[#This Row],[Revenue]]=0, "Check", Table1[[#This Row],[Revenue]]&gt;=1000, "Large", Table1[[#This Row],[Revenue]]&gt;=200, "Medium", TRUE, "Small")</f>
        <v>Large</v>
      </c>
      <c r="P497" s="4" t="str">
        <f>IF(AND(Table1[[#This Row],[Margin Flag]]="Low", Table1[[#This Row],[Revenue]]&gt;1000), "Review", "")</f>
        <v/>
      </c>
      <c r="Q497" s="4" t="str">
        <f>IF(OR(Table1[[#This Row],[Qty]]&gt;=5,Table1[[#This Row],[Order Size]] = "Large" ), "Bulk", "")</f>
        <v>Bulk</v>
      </c>
      <c r="R497" s="10">
        <f>_xlfn.XLOOKUP(G497, Lookup!$A$2:$A$7, Lookup!$B$2:$B$7, "")</f>
        <v>0.25</v>
      </c>
      <c r="S497" s="4" t="str">
        <f>IF(Table1[[#This Row],[Margin]]&lt;Table1[[#This Row],[Target Margin]], "Yes", "")</f>
        <v>Yes</v>
      </c>
    </row>
    <row r="498" spans="1:19">
      <c r="A498" t="s">
        <v>543</v>
      </c>
      <c r="B498" s="2">
        <v>46279</v>
      </c>
      <c r="C498" t="s">
        <v>57</v>
      </c>
      <c r="D498" t="s">
        <v>21</v>
      </c>
      <c r="E498">
        <v>1</v>
      </c>
      <c r="F498" t="str">
        <f>_xlfn.XLOOKUP(D498, Products!$A$2:$A$21, Products!$B$2:$B$21, "Not Found")</f>
        <v>Gaming Mouse</v>
      </c>
      <c r="G498" t="str">
        <f>_xlfn.XLOOKUP(D498, Products!$A$2:$A$21, Products!$C$2:$C$21,"not found")</f>
        <v>Accessories</v>
      </c>
      <c r="H498" s="4">
        <f>_xlfn.XLOOKUP(D498, Products!$A$2:$A$21, Products!$E$2:$E$21, 0)</f>
        <v>89</v>
      </c>
      <c r="I498" s="4">
        <f>_xlfn.XLOOKUP(D498, Products!$A$2:$A$21, Products!$F$2:$F$21,0)</f>
        <v>41</v>
      </c>
      <c r="J498" t="str">
        <f>_xlfn.XLOOKUP(C498, Stores!$A$2:$A$7, Stores!$D$2:$D$7)</f>
        <v>Sydney South</v>
      </c>
      <c r="K498" s="4">
        <f t="shared" si="14"/>
        <v>89</v>
      </c>
      <c r="L498" s="4">
        <f t="shared" si="15"/>
        <v>48</v>
      </c>
      <c r="M498" s="10">
        <f>IF(Table1[[#This Row],[Revenue]]=0, "", Table1[[#This Row],[Profit]]/Table1[[#This Row],[Revenue]])</f>
        <v>0.5393258426966292</v>
      </c>
      <c r="N498" s="4" t="str">
        <f>IF(Table1[[#This Row],[Margin]]="", "check", IF(Table1[[#This Row],[Margin]]&lt;0.2, "Low", "OK"))</f>
        <v>OK</v>
      </c>
      <c r="O498" s="4" t="str" cm="1">
        <f t="array" ref="O498">_xlfn.IFS(Table1[[#This Row],[Revenue]]=0, "Check", Table1[[#This Row],[Revenue]]&gt;=1000, "Large", Table1[[#This Row],[Revenue]]&gt;=200, "Medium", TRUE, "Small")</f>
        <v>Small</v>
      </c>
      <c r="P498" s="4" t="str">
        <f>IF(AND(Table1[[#This Row],[Margin Flag]]="Low", Table1[[#This Row],[Revenue]]&gt;1000), "Review", "")</f>
        <v/>
      </c>
      <c r="Q498" s="4" t="str">
        <f>IF(OR(Table1[[#This Row],[Qty]]&gt;=5,Table1[[#This Row],[Order Size]] = "Large" ), "Bulk", "")</f>
        <v/>
      </c>
      <c r="R498" s="10">
        <f>_xlfn.XLOOKUP(G498, Lookup!$A$2:$A$7, Lookup!$B$2:$B$7, "")</f>
        <v>0.25</v>
      </c>
      <c r="S498" s="4" t="str">
        <f>IF(Table1[[#This Row],[Margin]]&lt;Table1[[#This Row],[Target Margin]], "Yes", "")</f>
        <v/>
      </c>
    </row>
    <row r="499" spans="1:19">
      <c r="A499" t="s">
        <v>544</v>
      </c>
      <c r="B499" s="2">
        <v>46279</v>
      </c>
      <c r="C499" t="s">
        <v>26</v>
      </c>
      <c r="D499" t="s">
        <v>35</v>
      </c>
      <c r="E499">
        <v>1</v>
      </c>
      <c r="F499" t="str">
        <f>_xlfn.XLOOKUP(D499, Products!$A$2:$A$21, Products!$B$2:$B$21, "Not Found")</f>
        <v>Phone Case</v>
      </c>
      <c r="G499" t="str">
        <f>_xlfn.XLOOKUP(D499, Products!$A$2:$A$21, Products!$C$2:$C$21,"not found")</f>
        <v>Accessories</v>
      </c>
      <c r="H499" s="4">
        <f>_xlfn.XLOOKUP(D499, Products!$A$2:$A$21, Products!$E$2:$E$21, 0)</f>
        <v>39</v>
      </c>
      <c r="I499" s="4">
        <f>_xlfn.XLOOKUP(D499, Products!$A$2:$A$21, Products!$F$2:$F$21,0)</f>
        <v>9</v>
      </c>
      <c r="J499" t="str">
        <f>_xlfn.XLOOKUP(C499, Stores!$A$2:$A$7, Stores!$D$2:$D$7)</f>
        <v>Sydney North</v>
      </c>
      <c r="K499" s="4">
        <f t="shared" si="14"/>
        <v>39</v>
      </c>
      <c r="L499" s="4">
        <f t="shared" si="15"/>
        <v>30</v>
      </c>
      <c r="M499" s="10">
        <f>IF(Table1[[#This Row],[Revenue]]=0, "", Table1[[#This Row],[Profit]]/Table1[[#This Row],[Revenue]])</f>
        <v>0.76923076923076927</v>
      </c>
      <c r="N499" s="4" t="str">
        <f>IF(Table1[[#This Row],[Margin]]="", "check", IF(Table1[[#This Row],[Margin]]&lt;0.2, "Low", "OK"))</f>
        <v>OK</v>
      </c>
      <c r="O499" s="4" t="str" cm="1">
        <f t="array" ref="O499">_xlfn.IFS(Table1[[#This Row],[Revenue]]=0, "Check", Table1[[#This Row],[Revenue]]&gt;=1000, "Large", Table1[[#This Row],[Revenue]]&gt;=200, "Medium", TRUE, "Small")</f>
        <v>Small</v>
      </c>
      <c r="P499" s="4" t="str">
        <f>IF(AND(Table1[[#This Row],[Margin Flag]]="Low", Table1[[#This Row],[Revenue]]&gt;1000), "Review", "")</f>
        <v/>
      </c>
      <c r="Q499" s="4" t="str">
        <f>IF(OR(Table1[[#This Row],[Qty]]&gt;=5,Table1[[#This Row],[Order Size]] = "Large" ), "Bulk", "")</f>
        <v/>
      </c>
      <c r="R499" s="10">
        <f>_xlfn.XLOOKUP(G499, Lookup!$A$2:$A$7, Lookup!$B$2:$B$7, "")</f>
        <v>0.25</v>
      </c>
      <c r="S499" s="4" t="str">
        <f>IF(Table1[[#This Row],[Margin]]&lt;Table1[[#This Row],[Target Margin]], "Yes", "")</f>
        <v/>
      </c>
    </row>
    <row r="500" spans="1:19">
      <c r="A500" t="s">
        <v>545</v>
      </c>
      <c r="B500" s="2">
        <v>46279</v>
      </c>
      <c r="C500" t="s">
        <v>20</v>
      </c>
      <c r="D500" t="s">
        <v>80</v>
      </c>
      <c r="E500">
        <v>1</v>
      </c>
      <c r="F500" t="str">
        <f>_xlfn.XLOOKUP(D500, Products!$A$2:$A$21, Products!$B$2:$B$21, "Not Found")</f>
        <v>Over-Ear Headphones</v>
      </c>
      <c r="G500" t="str">
        <f>_xlfn.XLOOKUP(D500, Products!$A$2:$A$21, Products!$C$2:$C$21,"not found")</f>
        <v>Audio</v>
      </c>
      <c r="H500" s="4">
        <f>_xlfn.XLOOKUP(D500, Products!$A$2:$A$21, Products!$E$2:$E$21, 0)</f>
        <v>499</v>
      </c>
      <c r="I500" s="4">
        <f>_xlfn.XLOOKUP(D500, Products!$A$2:$A$21, Products!$F$2:$F$21,0)</f>
        <v>310</v>
      </c>
      <c r="J500" t="str">
        <f>_xlfn.XLOOKUP(C500, Stores!$A$2:$A$7, Stores!$D$2:$D$7)</f>
        <v>Sydney West</v>
      </c>
      <c r="K500" s="4">
        <f t="shared" si="14"/>
        <v>499</v>
      </c>
      <c r="L500" s="4">
        <f t="shared" si="15"/>
        <v>189</v>
      </c>
      <c r="M500" s="10">
        <f>IF(Table1[[#This Row],[Revenue]]=0, "", Table1[[#This Row],[Profit]]/Table1[[#This Row],[Revenue]])</f>
        <v>0.37875751503006011</v>
      </c>
      <c r="N500" s="4" t="str">
        <f>IF(Table1[[#This Row],[Margin]]="", "check", IF(Table1[[#This Row],[Margin]]&lt;0.2, "Low", "OK"))</f>
        <v>OK</v>
      </c>
      <c r="O500" s="4" t="str" cm="1">
        <f t="array" ref="O500">_xlfn.IFS(Table1[[#This Row],[Revenue]]=0, "Check", Table1[[#This Row],[Revenue]]&gt;=1000, "Large", Table1[[#This Row],[Revenue]]&gt;=200, "Medium", TRUE, "Small")</f>
        <v>Medium</v>
      </c>
      <c r="P500" s="4" t="str">
        <f>IF(AND(Table1[[#This Row],[Margin Flag]]="Low", Table1[[#This Row],[Revenue]]&gt;1000), "Review", "")</f>
        <v/>
      </c>
      <c r="Q500" s="4" t="str">
        <f>IF(OR(Table1[[#This Row],[Qty]]&gt;=5,Table1[[#This Row],[Order Size]] = "Large" ), "Bulk", "")</f>
        <v/>
      </c>
      <c r="R500" s="10">
        <f>_xlfn.XLOOKUP(G500, Lookup!$A$2:$A$7, Lookup!$B$2:$B$7, "")</f>
        <v>0.25</v>
      </c>
      <c r="S500" s="4" t="str">
        <f>IF(Table1[[#This Row],[Margin]]&lt;Table1[[#This Row],[Target Margin]], "Yes", "")</f>
        <v/>
      </c>
    </row>
    <row r="501" spans="1:19">
      <c r="A501" t="s">
        <v>546</v>
      </c>
      <c r="B501" s="2">
        <v>46280</v>
      </c>
      <c r="C501" t="s">
        <v>32</v>
      </c>
      <c r="D501" t="s">
        <v>27</v>
      </c>
      <c r="E501">
        <v>1</v>
      </c>
      <c r="F501" t="str">
        <f>_xlfn.XLOOKUP(D501, Products!$A$2:$A$21, Products!$B$2:$B$21, "Not Found")</f>
        <v>Bluetooth Speaker</v>
      </c>
      <c r="G501" t="str">
        <f>_xlfn.XLOOKUP(D501, Products!$A$2:$A$21, Products!$C$2:$C$21,"not found")</f>
        <v>Audio</v>
      </c>
      <c r="H501" s="4">
        <f>_xlfn.XLOOKUP(D501, Products!$A$2:$A$21, Products!$E$2:$E$21, 0)</f>
        <v>179</v>
      </c>
      <c r="I501" s="4">
        <f>_xlfn.XLOOKUP(D501, Products!$A$2:$A$21, Products!$F$2:$F$21,0)</f>
        <v>95</v>
      </c>
      <c r="J501" t="str">
        <f>_xlfn.XLOOKUP(C501, Stores!$A$2:$A$7, Stores!$D$2:$D$7)</f>
        <v>Sydney South</v>
      </c>
      <c r="K501" s="4">
        <f t="shared" si="14"/>
        <v>179</v>
      </c>
      <c r="L501" s="4">
        <f t="shared" si="15"/>
        <v>84</v>
      </c>
      <c r="M501" s="10">
        <f>IF(Table1[[#This Row],[Revenue]]=0, "", Table1[[#This Row],[Profit]]/Table1[[#This Row],[Revenue]])</f>
        <v>0.46927374301675978</v>
      </c>
      <c r="N501" s="4" t="str">
        <f>IF(Table1[[#This Row],[Margin]]="", "check", IF(Table1[[#This Row],[Margin]]&lt;0.2, "Low", "OK"))</f>
        <v>OK</v>
      </c>
      <c r="O501" s="4" t="str" cm="1">
        <f t="array" ref="O501">_xlfn.IFS(Table1[[#This Row],[Revenue]]=0, "Check", Table1[[#This Row],[Revenue]]&gt;=1000, "Large", Table1[[#This Row],[Revenue]]&gt;=200, "Medium", TRUE, "Small")</f>
        <v>Small</v>
      </c>
      <c r="P501" s="4" t="str">
        <f>IF(AND(Table1[[#This Row],[Margin Flag]]="Low", Table1[[#This Row],[Revenue]]&gt;1000), "Review", "")</f>
        <v/>
      </c>
      <c r="Q501" s="4" t="str">
        <f>IF(OR(Table1[[#This Row],[Qty]]&gt;=5,Table1[[#This Row],[Order Size]] = "Large" ), "Bulk", "")</f>
        <v/>
      </c>
      <c r="R501" s="10">
        <f>_xlfn.XLOOKUP(G501, Lookup!$A$2:$A$7, Lookup!$B$2:$B$7, "")</f>
        <v>0.25</v>
      </c>
      <c r="S501" s="4" t="str">
        <f>IF(Table1[[#This Row],[Margin]]&lt;Table1[[#This Row],[Target Margin]], "Yes", "")</f>
        <v/>
      </c>
    </row>
    <row r="502" spans="1:19">
      <c r="A502" t="s">
        <v>547</v>
      </c>
      <c r="B502" s="2">
        <v>46280</v>
      </c>
      <c r="C502" t="s">
        <v>26</v>
      </c>
      <c r="D502" t="s">
        <v>38</v>
      </c>
      <c r="E502">
        <v>1</v>
      </c>
      <c r="F502" t="str">
        <f>_xlfn.XLOOKUP(D502, Products!$A$2:$A$21, Products!$B$2:$B$21, "Not Found")</f>
        <v>USB-C Charger</v>
      </c>
      <c r="G502" t="str">
        <f>_xlfn.XLOOKUP(D502, Products!$A$2:$A$21, Products!$C$2:$C$21,"not found")</f>
        <v>Accessories</v>
      </c>
      <c r="H502" s="4">
        <f>_xlfn.XLOOKUP(D502, Products!$A$2:$A$21, Products!$E$2:$E$21, 0)</f>
        <v>49</v>
      </c>
      <c r="I502" s="4">
        <f>_xlfn.XLOOKUP(D502, Products!$A$2:$A$21, Products!$F$2:$F$21,0)</f>
        <v>14</v>
      </c>
      <c r="J502" t="str">
        <f>_xlfn.XLOOKUP(C502, Stores!$A$2:$A$7, Stores!$D$2:$D$7)</f>
        <v>Sydney North</v>
      </c>
      <c r="K502" s="4">
        <f t="shared" si="14"/>
        <v>49</v>
      </c>
      <c r="L502" s="4">
        <f t="shared" si="15"/>
        <v>35</v>
      </c>
      <c r="M502" s="10">
        <f>IF(Table1[[#This Row],[Revenue]]=0, "", Table1[[#This Row],[Profit]]/Table1[[#This Row],[Revenue]])</f>
        <v>0.7142857142857143</v>
      </c>
      <c r="N502" s="4" t="str">
        <f>IF(Table1[[#This Row],[Margin]]="", "check", IF(Table1[[#This Row],[Margin]]&lt;0.2, "Low", "OK"))</f>
        <v>OK</v>
      </c>
      <c r="O502" s="4" t="str" cm="1">
        <f t="array" ref="O502">_xlfn.IFS(Table1[[#This Row],[Revenue]]=0, "Check", Table1[[#This Row],[Revenue]]&gt;=1000, "Large", Table1[[#This Row],[Revenue]]&gt;=200, "Medium", TRUE, "Small")</f>
        <v>Small</v>
      </c>
      <c r="P502" s="4" t="str">
        <f>IF(AND(Table1[[#This Row],[Margin Flag]]="Low", Table1[[#This Row],[Revenue]]&gt;1000), "Review", "")</f>
        <v/>
      </c>
      <c r="Q502" s="4" t="str">
        <f>IF(OR(Table1[[#This Row],[Qty]]&gt;=5,Table1[[#This Row],[Order Size]] = "Large" ), "Bulk", "")</f>
        <v/>
      </c>
      <c r="R502" s="10">
        <f>_xlfn.XLOOKUP(G502, Lookup!$A$2:$A$7, Lookup!$B$2:$B$7, "")</f>
        <v>0.25</v>
      </c>
      <c r="S502" s="4" t="str">
        <f>IF(Table1[[#This Row],[Margin]]&lt;Table1[[#This Row],[Target Margin]], "Yes", "")</f>
        <v/>
      </c>
    </row>
    <row r="503" spans="1:19">
      <c r="A503" t="s">
        <v>548</v>
      </c>
      <c r="B503" s="2">
        <v>46280</v>
      </c>
      <c r="C503" t="s">
        <v>26</v>
      </c>
      <c r="D503" t="s">
        <v>54</v>
      </c>
      <c r="E503">
        <v>2</v>
      </c>
      <c r="F503" t="str">
        <f>_xlfn.XLOOKUP(D503, Products!$A$2:$A$21, Products!$B$2:$B$21, "Not Found")</f>
        <v>Tablet 11in</v>
      </c>
      <c r="G503" t="str">
        <f>_xlfn.XLOOKUP(D503, Products!$A$2:$A$21, Products!$C$2:$C$21,"not found")</f>
        <v>Computers</v>
      </c>
      <c r="H503" s="4">
        <f>_xlfn.XLOOKUP(D503, Products!$A$2:$A$21, Products!$E$2:$E$21, 0)</f>
        <v>899</v>
      </c>
      <c r="I503" s="4">
        <f>_xlfn.XLOOKUP(D503, Products!$A$2:$A$21, Products!$F$2:$F$21,0)</f>
        <v>690</v>
      </c>
      <c r="J503" t="str">
        <f>_xlfn.XLOOKUP(C503, Stores!$A$2:$A$7, Stores!$D$2:$D$7)</f>
        <v>Sydney North</v>
      </c>
      <c r="K503" s="4">
        <f t="shared" si="14"/>
        <v>1798</v>
      </c>
      <c r="L503" s="4">
        <f t="shared" si="15"/>
        <v>418</v>
      </c>
      <c r="M503" s="10">
        <f>IF(Table1[[#This Row],[Revenue]]=0, "", Table1[[#This Row],[Profit]]/Table1[[#This Row],[Revenue]])</f>
        <v>0.2324805339265851</v>
      </c>
      <c r="N503" s="4" t="str">
        <f>IF(Table1[[#This Row],[Margin]]="", "check", IF(Table1[[#This Row],[Margin]]&lt;0.2, "Low", "OK"))</f>
        <v>OK</v>
      </c>
      <c r="O503" s="4" t="str" cm="1">
        <f t="array" ref="O503">_xlfn.IFS(Table1[[#This Row],[Revenue]]=0, "Check", Table1[[#This Row],[Revenue]]&gt;=1000, "Large", Table1[[#This Row],[Revenue]]&gt;=200, "Medium", TRUE, "Small")</f>
        <v>Large</v>
      </c>
      <c r="P503" s="4" t="str">
        <f>IF(AND(Table1[[#This Row],[Margin Flag]]="Low", Table1[[#This Row],[Revenue]]&gt;1000), "Review", "")</f>
        <v/>
      </c>
      <c r="Q503" s="4" t="str">
        <f>IF(OR(Table1[[#This Row],[Qty]]&gt;=5,Table1[[#This Row],[Order Size]] = "Large" ), "Bulk", "")</f>
        <v>Bulk</v>
      </c>
      <c r="R503" s="10">
        <f>_xlfn.XLOOKUP(G503, Lookup!$A$2:$A$7, Lookup!$B$2:$B$7, "")</f>
        <v>0.25</v>
      </c>
      <c r="S503" s="4" t="str">
        <f>IF(Table1[[#This Row],[Margin]]&lt;Table1[[#This Row],[Target Margin]], "Yes", "")</f>
        <v>Yes</v>
      </c>
    </row>
    <row r="504" spans="1:19">
      <c r="A504" t="s">
        <v>549</v>
      </c>
      <c r="B504" s="2">
        <v>46280</v>
      </c>
      <c r="C504" t="s">
        <v>32</v>
      </c>
      <c r="D504" t="s">
        <v>24</v>
      </c>
      <c r="E504">
        <v>1</v>
      </c>
      <c r="F504" t="str">
        <f>_xlfn.XLOOKUP(D504, Products!$A$2:$A$21, Products!$B$2:$B$21, "Not Found")</f>
        <v>Wireless Earbuds</v>
      </c>
      <c r="G504" t="str">
        <f>_xlfn.XLOOKUP(D504, Products!$A$2:$A$21, Products!$C$2:$C$21,"not found")</f>
        <v>Audio</v>
      </c>
      <c r="H504" s="4">
        <f>_xlfn.XLOOKUP(D504, Products!$A$2:$A$21, Products!$E$2:$E$21, 0)</f>
        <v>249</v>
      </c>
      <c r="I504" s="4">
        <f>_xlfn.XLOOKUP(D504, Products!$A$2:$A$21, Products!$F$2:$F$21,0)</f>
        <v>140</v>
      </c>
      <c r="J504" t="str">
        <f>_xlfn.XLOOKUP(C504, Stores!$A$2:$A$7, Stores!$D$2:$D$7)</f>
        <v>Sydney South</v>
      </c>
      <c r="K504" s="4">
        <f t="shared" si="14"/>
        <v>249</v>
      </c>
      <c r="L504" s="4">
        <f t="shared" si="15"/>
        <v>109</v>
      </c>
      <c r="M504" s="10">
        <f>IF(Table1[[#This Row],[Revenue]]=0, "", Table1[[#This Row],[Profit]]/Table1[[#This Row],[Revenue]])</f>
        <v>0.43775100401606426</v>
      </c>
      <c r="N504" s="4" t="str">
        <f>IF(Table1[[#This Row],[Margin]]="", "check", IF(Table1[[#This Row],[Margin]]&lt;0.2, "Low", "OK"))</f>
        <v>OK</v>
      </c>
      <c r="O504" s="4" t="str" cm="1">
        <f t="array" ref="O504">_xlfn.IFS(Table1[[#This Row],[Revenue]]=0, "Check", Table1[[#This Row],[Revenue]]&gt;=1000, "Large", Table1[[#This Row],[Revenue]]&gt;=200, "Medium", TRUE, "Small")</f>
        <v>Medium</v>
      </c>
      <c r="P504" s="4" t="str">
        <f>IF(AND(Table1[[#This Row],[Margin Flag]]="Low", Table1[[#This Row],[Revenue]]&gt;1000), "Review", "")</f>
        <v/>
      </c>
      <c r="Q504" s="4" t="str">
        <f>IF(OR(Table1[[#This Row],[Qty]]&gt;=5,Table1[[#This Row],[Order Size]] = "Large" ), "Bulk", "")</f>
        <v/>
      </c>
      <c r="R504" s="10">
        <f>_xlfn.XLOOKUP(G504, Lookup!$A$2:$A$7, Lookup!$B$2:$B$7, "")</f>
        <v>0.25</v>
      </c>
      <c r="S504" s="4" t="str">
        <f>IF(Table1[[#This Row],[Margin]]&lt;Table1[[#This Row],[Target Margin]], "Yes", "")</f>
        <v/>
      </c>
    </row>
    <row r="505" spans="1:19">
      <c r="A505" t="s">
        <v>550</v>
      </c>
      <c r="B505" s="2">
        <v>46280</v>
      </c>
      <c r="C505" t="s">
        <v>29</v>
      </c>
      <c r="D505" t="s">
        <v>99</v>
      </c>
      <c r="E505">
        <v>2</v>
      </c>
      <c r="F505" t="str">
        <f>_xlfn.XLOOKUP(D505, Products!$A$2:$A$21, Products!$B$2:$B$21, "Not Found")</f>
        <v>Smartphone 256GB</v>
      </c>
      <c r="G505" t="str">
        <f>_xlfn.XLOOKUP(D505, Products!$A$2:$A$21, Products!$C$2:$C$21,"not found")</f>
        <v>Phones</v>
      </c>
      <c r="H505" s="4">
        <f>_xlfn.XLOOKUP(D505, Products!$A$2:$A$21, Products!$E$2:$E$21, 0)</f>
        <v>1499</v>
      </c>
      <c r="I505" s="4">
        <f>_xlfn.XLOOKUP(D505, Products!$A$2:$A$21, Products!$F$2:$F$21,0)</f>
        <v>1180</v>
      </c>
      <c r="J505" t="str">
        <f>_xlfn.XLOOKUP(C505, Stores!$A$2:$A$7, Stores!$D$2:$D$7)</f>
        <v>Sydney West</v>
      </c>
      <c r="K505" s="4">
        <f t="shared" si="14"/>
        <v>2998</v>
      </c>
      <c r="L505" s="4">
        <f t="shared" si="15"/>
        <v>638</v>
      </c>
      <c r="M505" s="10">
        <f>IF(Table1[[#This Row],[Revenue]]=0, "", Table1[[#This Row],[Profit]]/Table1[[#This Row],[Revenue]])</f>
        <v>0.21280853902601735</v>
      </c>
      <c r="N505" s="4" t="str">
        <f>IF(Table1[[#This Row],[Margin]]="", "check", IF(Table1[[#This Row],[Margin]]&lt;0.2, "Low", "OK"))</f>
        <v>OK</v>
      </c>
      <c r="O505" s="4" t="str" cm="1">
        <f t="array" ref="O505">_xlfn.IFS(Table1[[#This Row],[Revenue]]=0, "Check", Table1[[#This Row],[Revenue]]&gt;=1000, "Large", Table1[[#This Row],[Revenue]]&gt;=200, "Medium", TRUE, "Small")</f>
        <v>Large</v>
      </c>
      <c r="P505" s="4" t="str">
        <f>IF(AND(Table1[[#This Row],[Margin Flag]]="Low", Table1[[#This Row],[Revenue]]&gt;1000), "Review", "")</f>
        <v/>
      </c>
      <c r="Q505" s="4" t="str">
        <f>IF(OR(Table1[[#This Row],[Qty]]&gt;=5,Table1[[#This Row],[Order Size]] = "Large" ), "Bulk", "")</f>
        <v>Bulk</v>
      </c>
      <c r="R505" s="10">
        <f>_xlfn.XLOOKUP(G505, Lookup!$A$2:$A$7, Lookup!$B$2:$B$7, "")</f>
        <v>0.25</v>
      </c>
      <c r="S505" s="4" t="str">
        <f>IF(Table1[[#This Row],[Margin]]&lt;Table1[[#This Row],[Target Margin]], "Yes", "")</f>
        <v>Yes</v>
      </c>
    </row>
    <row r="506" spans="1:19">
      <c r="A506" t="s">
        <v>551</v>
      </c>
      <c r="B506" s="2">
        <v>46280</v>
      </c>
      <c r="C506" t="s">
        <v>32</v>
      </c>
      <c r="D506" t="s">
        <v>27</v>
      </c>
      <c r="E506">
        <v>2</v>
      </c>
      <c r="F506" t="str">
        <f>_xlfn.XLOOKUP(D506, Products!$A$2:$A$21, Products!$B$2:$B$21, "Not Found")</f>
        <v>Bluetooth Speaker</v>
      </c>
      <c r="G506" t="str">
        <f>_xlfn.XLOOKUP(D506, Products!$A$2:$A$21, Products!$C$2:$C$21,"not found")</f>
        <v>Audio</v>
      </c>
      <c r="H506" s="4">
        <f>_xlfn.XLOOKUP(D506, Products!$A$2:$A$21, Products!$E$2:$E$21, 0)</f>
        <v>179</v>
      </c>
      <c r="I506" s="4">
        <f>_xlfn.XLOOKUP(D506, Products!$A$2:$A$21, Products!$F$2:$F$21,0)</f>
        <v>95</v>
      </c>
      <c r="J506" t="str">
        <f>_xlfn.XLOOKUP(C506, Stores!$A$2:$A$7, Stores!$D$2:$D$7)</f>
        <v>Sydney South</v>
      </c>
      <c r="K506" s="4">
        <f t="shared" si="14"/>
        <v>358</v>
      </c>
      <c r="L506" s="4">
        <f t="shared" si="15"/>
        <v>168</v>
      </c>
      <c r="M506" s="10">
        <f>IF(Table1[[#This Row],[Revenue]]=0, "", Table1[[#This Row],[Profit]]/Table1[[#This Row],[Revenue]])</f>
        <v>0.46927374301675978</v>
      </c>
      <c r="N506" s="4" t="str">
        <f>IF(Table1[[#This Row],[Margin]]="", "check", IF(Table1[[#This Row],[Margin]]&lt;0.2, "Low", "OK"))</f>
        <v>OK</v>
      </c>
      <c r="O506" s="4" t="str" cm="1">
        <f t="array" ref="O506">_xlfn.IFS(Table1[[#This Row],[Revenue]]=0, "Check", Table1[[#This Row],[Revenue]]&gt;=1000, "Large", Table1[[#This Row],[Revenue]]&gt;=200, "Medium", TRUE, "Small")</f>
        <v>Medium</v>
      </c>
      <c r="P506" s="4" t="str">
        <f>IF(AND(Table1[[#This Row],[Margin Flag]]="Low", Table1[[#This Row],[Revenue]]&gt;1000), "Review", "")</f>
        <v/>
      </c>
      <c r="Q506" s="4" t="str">
        <f>IF(OR(Table1[[#This Row],[Qty]]&gt;=5,Table1[[#This Row],[Order Size]] = "Large" ), "Bulk", "")</f>
        <v/>
      </c>
      <c r="R506" s="10">
        <f>_xlfn.XLOOKUP(G506, Lookup!$A$2:$A$7, Lookup!$B$2:$B$7, "")</f>
        <v>0.25</v>
      </c>
      <c r="S506" s="4" t="str">
        <f>IF(Table1[[#This Row],[Margin]]&lt;Table1[[#This Row],[Target Margin]], "Yes", "")</f>
        <v/>
      </c>
    </row>
    <row r="507" spans="1:19">
      <c r="A507" t="s">
        <v>552</v>
      </c>
      <c r="B507" s="2">
        <v>46280</v>
      </c>
      <c r="C507" t="s">
        <v>29</v>
      </c>
      <c r="D507" t="s">
        <v>69</v>
      </c>
      <c r="E507">
        <v>1</v>
      </c>
      <c r="F507" t="str">
        <f>_xlfn.XLOOKUP(D507, Products!$A$2:$A$21, Products!$B$2:$B$21, "Not Found")</f>
        <v>27in Monitor</v>
      </c>
      <c r="G507" t="str">
        <f>_xlfn.XLOOKUP(D507, Products!$A$2:$A$21, Products!$C$2:$C$21,"not found")</f>
        <v>Computers</v>
      </c>
      <c r="H507" s="4">
        <f>_xlfn.XLOOKUP(D507, Products!$A$2:$A$21, Products!$E$2:$E$21, 0)</f>
        <v>399</v>
      </c>
      <c r="I507" s="4">
        <f>_xlfn.XLOOKUP(D507, Products!$A$2:$A$21, Products!$F$2:$F$21,0)</f>
        <v>290</v>
      </c>
      <c r="J507" t="str">
        <f>_xlfn.XLOOKUP(C507, Stores!$A$2:$A$7, Stores!$D$2:$D$7)</f>
        <v>Sydney West</v>
      </c>
      <c r="K507" s="4">
        <f t="shared" si="14"/>
        <v>399</v>
      </c>
      <c r="L507" s="4">
        <f t="shared" si="15"/>
        <v>109</v>
      </c>
      <c r="M507" s="10">
        <f>IF(Table1[[#This Row],[Revenue]]=0, "", Table1[[#This Row],[Profit]]/Table1[[#This Row],[Revenue]])</f>
        <v>0.27318295739348369</v>
      </c>
      <c r="N507" s="4" t="str">
        <f>IF(Table1[[#This Row],[Margin]]="", "check", IF(Table1[[#This Row],[Margin]]&lt;0.2, "Low", "OK"))</f>
        <v>OK</v>
      </c>
      <c r="O507" s="4" t="str" cm="1">
        <f t="array" ref="O507">_xlfn.IFS(Table1[[#This Row],[Revenue]]=0, "Check", Table1[[#This Row],[Revenue]]&gt;=1000, "Large", Table1[[#This Row],[Revenue]]&gt;=200, "Medium", TRUE, "Small")</f>
        <v>Medium</v>
      </c>
      <c r="P507" s="4" t="str">
        <f>IF(AND(Table1[[#This Row],[Margin Flag]]="Low", Table1[[#This Row],[Revenue]]&gt;1000), "Review", "")</f>
        <v/>
      </c>
      <c r="Q507" s="4" t="str">
        <f>IF(OR(Table1[[#This Row],[Qty]]&gt;=5,Table1[[#This Row],[Order Size]] = "Large" ), "Bulk", "")</f>
        <v/>
      </c>
      <c r="R507" s="10">
        <f>_xlfn.XLOOKUP(G507, Lookup!$A$2:$A$7, Lookup!$B$2:$B$7, "")</f>
        <v>0.25</v>
      </c>
      <c r="S507" s="4" t="str">
        <f>IF(Table1[[#This Row],[Margin]]&lt;Table1[[#This Row],[Target Margin]], "Yes", "")</f>
        <v/>
      </c>
    </row>
    <row r="508" spans="1:19">
      <c r="A508" t="s">
        <v>553</v>
      </c>
      <c r="B508" s="2">
        <v>46280</v>
      </c>
      <c r="C508" t="s">
        <v>29</v>
      </c>
      <c r="D508" t="s">
        <v>38</v>
      </c>
      <c r="E508">
        <v>2</v>
      </c>
      <c r="F508" t="str">
        <f>_xlfn.XLOOKUP(D508, Products!$A$2:$A$21, Products!$B$2:$B$21, "Not Found")</f>
        <v>USB-C Charger</v>
      </c>
      <c r="G508" t="str">
        <f>_xlfn.XLOOKUP(D508, Products!$A$2:$A$21, Products!$C$2:$C$21,"not found")</f>
        <v>Accessories</v>
      </c>
      <c r="H508" s="4">
        <f>_xlfn.XLOOKUP(D508, Products!$A$2:$A$21, Products!$E$2:$E$21, 0)</f>
        <v>49</v>
      </c>
      <c r="I508" s="4">
        <f>_xlfn.XLOOKUP(D508, Products!$A$2:$A$21, Products!$F$2:$F$21,0)</f>
        <v>14</v>
      </c>
      <c r="J508" t="str">
        <f>_xlfn.XLOOKUP(C508, Stores!$A$2:$A$7, Stores!$D$2:$D$7)</f>
        <v>Sydney West</v>
      </c>
      <c r="K508" s="4">
        <f t="shared" si="14"/>
        <v>98</v>
      </c>
      <c r="L508" s="4">
        <f t="shared" si="15"/>
        <v>70</v>
      </c>
      <c r="M508" s="10">
        <f>IF(Table1[[#This Row],[Revenue]]=0, "", Table1[[#This Row],[Profit]]/Table1[[#This Row],[Revenue]])</f>
        <v>0.7142857142857143</v>
      </c>
      <c r="N508" s="4" t="str">
        <f>IF(Table1[[#This Row],[Margin]]="", "check", IF(Table1[[#This Row],[Margin]]&lt;0.2, "Low", "OK"))</f>
        <v>OK</v>
      </c>
      <c r="O508" s="4" t="str" cm="1">
        <f t="array" ref="O508">_xlfn.IFS(Table1[[#This Row],[Revenue]]=0, "Check", Table1[[#This Row],[Revenue]]&gt;=1000, "Large", Table1[[#This Row],[Revenue]]&gt;=200, "Medium", TRUE, "Small")</f>
        <v>Small</v>
      </c>
      <c r="P508" s="4" t="str">
        <f>IF(AND(Table1[[#This Row],[Margin Flag]]="Low", Table1[[#This Row],[Revenue]]&gt;1000), "Review", "")</f>
        <v/>
      </c>
      <c r="Q508" s="4" t="str">
        <f>IF(OR(Table1[[#This Row],[Qty]]&gt;=5,Table1[[#This Row],[Order Size]] = "Large" ), "Bulk", "")</f>
        <v/>
      </c>
      <c r="R508" s="10">
        <f>_xlfn.XLOOKUP(G508, Lookup!$A$2:$A$7, Lookup!$B$2:$B$7, "")</f>
        <v>0.25</v>
      </c>
      <c r="S508" s="4" t="str">
        <f>IF(Table1[[#This Row],[Margin]]&lt;Table1[[#This Row],[Target Margin]], "Yes", "")</f>
        <v/>
      </c>
    </row>
    <row r="509" spans="1:19">
      <c r="A509" t="s">
        <v>554</v>
      </c>
      <c r="B509" s="2">
        <v>46280</v>
      </c>
      <c r="C509" t="s">
        <v>29</v>
      </c>
      <c r="D509" t="s">
        <v>35</v>
      </c>
      <c r="E509">
        <v>1</v>
      </c>
      <c r="F509" t="str">
        <f>_xlfn.XLOOKUP(D509, Products!$A$2:$A$21, Products!$B$2:$B$21, "Not Found")</f>
        <v>Phone Case</v>
      </c>
      <c r="G509" t="str">
        <f>_xlfn.XLOOKUP(D509, Products!$A$2:$A$21, Products!$C$2:$C$21,"not found")</f>
        <v>Accessories</v>
      </c>
      <c r="H509" s="4">
        <f>_xlfn.XLOOKUP(D509, Products!$A$2:$A$21, Products!$E$2:$E$21, 0)</f>
        <v>39</v>
      </c>
      <c r="I509" s="4">
        <f>_xlfn.XLOOKUP(D509, Products!$A$2:$A$21, Products!$F$2:$F$21,0)</f>
        <v>9</v>
      </c>
      <c r="J509" t="str">
        <f>_xlfn.XLOOKUP(C509, Stores!$A$2:$A$7, Stores!$D$2:$D$7)</f>
        <v>Sydney West</v>
      </c>
      <c r="K509" s="4">
        <f t="shared" si="14"/>
        <v>39</v>
      </c>
      <c r="L509" s="4">
        <f t="shared" si="15"/>
        <v>30</v>
      </c>
      <c r="M509" s="10">
        <f>IF(Table1[[#This Row],[Revenue]]=0, "", Table1[[#This Row],[Profit]]/Table1[[#This Row],[Revenue]])</f>
        <v>0.76923076923076927</v>
      </c>
      <c r="N509" s="4" t="str">
        <f>IF(Table1[[#This Row],[Margin]]="", "check", IF(Table1[[#This Row],[Margin]]&lt;0.2, "Low", "OK"))</f>
        <v>OK</v>
      </c>
      <c r="O509" s="4" t="str" cm="1">
        <f t="array" ref="O509">_xlfn.IFS(Table1[[#This Row],[Revenue]]=0, "Check", Table1[[#This Row],[Revenue]]&gt;=1000, "Large", Table1[[#This Row],[Revenue]]&gt;=200, "Medium", TRUE, "Small")</f>
        <v>Small</v>
      </c>
      <c r="P509" s="4" t="str">
        <f>IF(AND(Table1[[#This Row],[Margin Flag]]="Low", Table1[[#This Row],[Revenue]]&gt;1000), "Review", "")</f>
        <v/>
      </c>
      <c r="Q509" s="4" t="str">
        <f>IF(OR(Table1[[#This Row],[Qty]]&gt;=5,Table1[[#This Row],[Order Size]] = "Large" ), "Bulk", "")</f>
        <v/>
      </c>
      <c r="R509" s="10">
        <f>_xlfn.XLOOKUP(G509, Lookup!$A$2:$A$7, Lookup!$B$2:$B$7, "")</f>
        <v>0.25</v>
      </c>
      <c r="S509" s="4" t="str">
        <f>IF(Table1[[#This Row],[Margin]]&lt;Table1[[#This Row],[Target Margin]], "Yes", "")</f>
        <v/>
      </c>
    </row>
    <row r="510" spans="1:19">
      <c r="A510" t="s">
        <v>555</v>
      </c>
      <c r="B510" s="2">
        <v>46281</v>
      </c>
      <c r="C510" t="s">
        <v>32</v>
      </c>
      <c r="D510" t="s">
        <v>54</v>
      </c>
      <c r="E510">
        <v>2</v>
      </c>
      <c r="F510" t="str">
        <f>_xlfn.XLOOKUP(D510, Products!$A$2:$A$21, Products!$B$2:$B$21, "Not Found")</f>
        <v>Tablet 11in</v>
      </c>
      <c r="G510" t="str">
        <f>_xlfn.XLOOKUP(D510, Products!$A$2:$A$21, Products!$C$2:$C$21,"not found")</f>
        <v>Computers</v>
      </c>
      <c r="H510" s="4">
        <f>_xlfn.XLOOKUP(D510, Products!$A$2:$A$21, Products!$E$2:$E$21, 0)</f>
        <v>899</v>
      </c>
      <c r="I510" s="4">
        <f>_xlfn.XLOOKUP(D510, Products!$A$2:$A$21, Products!$F$2:$F$21,0)</f>
        <v>690</v>
      </c>
      <c r="J510" t="str">
        <f>_xlfn.XLOOKUP(C510, Stores!$A$2:$A$7, Stores!$D$2:$D$7)</f>
        <v>Sydney South</v>
      </c>
      <c r="K510" s="4">
        <f t="shared" si="14"/>
        <v>1798</v>
      </c>
      <c r="L510" s="4">
        <f t="shared" si="15"/>
        <v>418</v>
      </c>
      <c r="M510" s="10">
        <f>IF(Table1[[#This Row],[Revenue]]=0, "", Table1[[#This Row],[Profit]]/Table1[[#This Row],[Revenue]])</f>
        <v>0.2324805339265851</v>
      </c>
      <c r="N510" s="4" t="str">
        <f>IF(Table1[[#This Row],[Margin]]="", "check", IF(Table1[[#This Row],[Margin]]&lt;0.2, "Low", "OK"))</f>
        <v>OK</v>
      </c>
      <c r="O510" s="4" t="str" cm="1">
        <f t="array" ref="O510">_xlfn.IFS(Table1[[#This Row],[Revenue]]=0, "Check", Table1[[#This Row],[Revenue]]&gt;=1000, "Large", Table1[[#This Row],[Revenue]]&gt;=200, "Medium", TRUE, "Small")</f>
        <v>Large</v>
      </c>
      <c r="P510" s="4" t="str">
        <f>IF(AND(Table1[[#This Row],[Margin Flag]]="Low", Table1[[#This Row],[Revenue]]&gt;1000), "Review", "")</f>
        <v/>
      </c>
      <c r="Q510" s="4" t="str">
        <f>IF(OR(Table1[[#This Row],[Qty]]&gt;=5,Table1[[#This Row],[Order Size]] = "Large" ), "Bulk", "")</f>
        <v>Bulk</v>
      </c>
      <c r="R510" s="10">
        <f>_xlfn.XLOOKUP(G510, Lookup!$A$2:$A$7, Lookup!$B$2:$B$7, "")</f>
        <v>0.25</v>
      </c>
      <c r="S510" s="4" t="str">
        <f>IF(Table1[[#This Row],[Margin]]&lt;Table1[[#This Row],[Target Margin]], "Yes", "")</f>
        <v>Yes</v>
      </c>
    </row>
    <row r="511" spans="1:19">
      <c r="A511" t="s">
        <v>556</v>
      </c>
      <c r="B511" s="2">
        <v>46281</v>
      </c>
      <c r="C511" t="s">
        <v>57</v>
      </c>
      <c r="D511" t="s">
        <v>24</v>
      </c>
      <c r="E511">
        <v>4</v>
      </c>
      <c r="F511" t="str">
        <f>_xlfn.XLOOKUP(D511, Products!$A$2:$A$21, Products!$B$2:$B$21, "Not Found")</f>
        <v>Wireless Earbuds</v>
      </c>
      <c r="G511" t="str">
        <f>_xlfn.XLOOKUP(D511, Products!$A$2:$A$21, Products!$C$2:$C$21,"not found")</f>
        <v>Audio</v>
      </c>
      <c r="H511" s="4">
        <f>_xlfn.XLOOKUP(D511, Products!$A$2:$A$21, Products!$E$2:$E$21, 0)</f>
        <v>249</v>
      </c>
      <c r="I511" s="4">
        <f>_xlfn.XLOOKUP(D511, Products!$A$2:$A$21, Products!$F$2:$F$21,0)</f>
        <v>140</v>
      </c>
      <c r="J511" t="str">
        <f>_xlfn.XLOOKUP(C511, Stores!$A$2:$A$7, Stores!$D$2:$D$7)</f>
        <v>Sydney South</v>
      </c>
      <c r="K511" s="4">
        <f t="shared" si="14"/>
        <v>996</v>
      </c>
      <c r="L511" s="4">
        <f t="shared" si="15"/>
        <v>436</v>
      </c>
      <c r="M511" s="10">
        <f>IF(Table1[[#This Row],[Revenue]]=0, "", Table1[[#This Row],[Profit]]/Table1[[#This Row],[Revenue]])</f>
        <v>0.43775100401606426</v>
      </c>
      <c r="N511" s="4" t="str">
        <f>IF(Table1[[#This Row],[Margin]]="", "check", IF(Table1[[#This Row],[Margin]]&lt;0.2, "Low", "OK"))</f>
        <v>OK</v>
      </c>
      <c r="O511" s="4" t="str" cm="1">
        <f t="array" ref="O511">_xlfn.IFS(Table1[[#This Row],[Revenue]]=0, "Check", Table1[[#This Row],[Revenue]]&gt;=1000, "Large", Table1[[#This Row],[Revenue]]&gt;=200, "Medium", TRUE, "Small")</f>
        <v>Medium</v>
      </c>
      <c r="P511" s="4" t="str">
        <f>IF(AND(Table1[[#This Row],[Margin Flag]]="Low", Table1[[#This Row],[Revenue]]&gt;1000), "Review", "")</f>
        <v/>
      </c>
      <c r="Q511" s="4" t="str">
        <f>IF(OR(Table1[[#This Row],[Qty]]&gt;=5,Table1[[#This Row],[Order Size]] = "Large" ), "Bulk", "")</f>
        <v/>
      </c>
      <c r="R511" s="10">
        <f>_xlfn.XLOOKUP(G511, Lookup!$A$2:$A$7, Lookup!$B$2:$B$7, "")</f>
        <v>0.25</v>
      </c>
      <c r="S511" s="4" t="str">
        <f>IF(Table1[[#This Row],[Margin]]&lt;Table1[[#This Row],[Target Margin]], "Yes", "")</f>
        <v/>
      </c>
    </row>
    <row r="512" spans="1:19">
      <c r="A512" t="s">
        <v>557</v>
      </c>
      <c r="B512" s="2">
        <v>46281</v>
      </c>
      <c r="C512" t="s">
        <v>23</v>
      </c>
      <c r="D512" t="s">
        <v>69</v>
      </c>
      <c r="E512">
        <v>1</v>
      </c>
      <c r="F512" t="str">
        <f>_xlfn.XLOOKUP(D512, Products!$A$2:$A$21, Products!$B$2:$B$21, "Not Found")</f>
        <v>27in Monitor</v>
      </c>
      <c r="G512" t="str">
        <f>_xlfn.XLOOKUP(D512, Products!$A$2:$A$21, Products!$C$2:$C$21,"not found")</f>
        <v>Computers</v>
      </c>
      <c r="H512" s="4">
        <f>_xlfn.XLOOKUP(D512, Products!$A$2:$A$21, Products!$E$2:$E$21, 0)</f>
        <v>399</v>
      </c>
      <c r="I512" s="4">
        <f>_xlfn.XLOOKUP(D512, Products!$A$2:$A$21, Products!$F$2:$F$21,0)</f>
        <v>290</v>
      </c>
      <c r="J512" t="str">
        <f>_xlfn.XLOOKUP(C512, Stores!$A$2:$A$7, Stores!$D$2:$D$7)</f>
        <v>Sydney East</v>
      </c>
      <c r="K512" s="4">
        <f t="shared" si="14"/>
        <v>399</v>
      </c>
      <c r="L512" s="4">
        <f t="shared" si="15"/>
        <v>109</v>
      </c>
      <c r="M512" s="10">
        <f>IF(Table1[[#This Row],[Revenue]]=0, "", Table1[[#This Row],[Profit]]/Table1[[#This Row],[Revenue]])</f>
        <v>0.27318295739348369</v>
      </c>
      <c r="N512" s="4" t="str">
        <f>IF(Table1[[#This Row],[Margin]]="", "check", IF(Table1[[#This Row],[Margin]]&lt;0.2, "Low", "OK"))</f>
        <v>OK</v>
      </c>
      <c r="O512" s="4" t="str" cm="1">
        <f t="array" ref="O512">_xlfn.IFS(Table1[[#This Row],[Revenue]]=0, "Check", Table1[[#This Row],[Revenue]]&gt;=1000, "Large", Table1[[#This Row],[Revenue]]&gt;=200, "Medium", TRUE, "Small")</f>
        <v>Medium</v>
      </c>
      <c r="P512" s="4" t="str">
        <f>IF(AND(Table1[[#This Row],[Margin Flag]]="Low", Table1[[#This Row],[Revenue]]&gt;1000), "Review", "")</f>
        <v/>
      </c>
      <c r="Q512" s="4" t="str">
        <f>IF(OR(Table1[[#This Row],[Qty]]&gt;=5,Table1[[#This Row],[Order Size]] = "Large" ), "Bulk", "")</f>
        <v/>
      </c>
      <c r="R512" s="10">
        <f>_xlfn.XLOOKUP(G512, Lookup!$A$2:$A$7, Lookup!$B$2:$B$7, "")</f>
        <v>0.25</v>
      </c>
      <c r="S512" s="4" t="str">
        <f>IF(Table1[[#This Row],[Margin]]&lt;Table1[[#This Row],[Target Margin]], "Yes", "")</f>
        <v/>
      </c>
    </row>
    <row r="513" spans="1:19">
      <c r="A513" t="s">
        <v>558</v>
      </c>
      <c r="B513" s="2">
        <v>46281</v>
      </c>
      <c r="C513" t="s">
        <v>57</v>
      </c>
      <c r="D513" t="s">
        <v>35</v>
      </c>
      <c r="E513">
        <v>3</v>
      </c>
      <c r="F513" t="str">
        <f>_xlfn.XLOOKUP(D513, Products!$A$2:$A$21, Products!$B$2:$B$21, "Not Found")</f>
        <v>Phone Case</v>
      </c>
      <c r="G513" t="str">
        <f>_xlfn.XLOOKUP(D513, Products!$A$2:$A$21, Products!$C$2:$C$21,"not found")</f>
        <v>Accessories</v>
      </c>
      <c r="H513" s="4">
        <f>_xlfn.XLOOKUP(D513, Products!$A$2:$A$21, Products!$E$2:$E$21, 0)</f>
        <v>39</v>
      </c>
      <c r="I513" s="4">
        <f>_xlfn.XLOOKUP(D513, Products!$A$2:$A$21, Products!$F$2:$F$21,0)</f>
        <v>9</v>
      </c>
      <c r="J513" t="str">
        <f>_xlfn.XLOOKUP(C513, Stores!$A$2:$A$7, Stores!$D$2:$D$7)</f>
        <v>Sydney South</v>
      </c>
      <c r="K513" s="4">
        <f t="shared" si="14"/>
        <v>117</v>
      </c>
      <c r="L513" s="4">
        <f t="shared" si="15"/>
        <v>90</v>
      </c>
      <c r="M513" s="10">
        <f>IF(Table1[[#This Row],[Revenue]]=0, "", Table1[[#This Row],[Profit]]/Table1[[#This Row],[Revenue]])</f>
        <v>0.76923076923076927</v>
      </c>
      <c r="N513" s="4" t="str">
        <f>IF(Table1[[#This Row],[Margin]]="", "check", IF(Table1[[#This Row],[Margin]]&lt;0.2, "Low", "OK"))</f>
        <v>OK</v>
      </c>
      <c r="O513" s="4" t="str" cm="1">
        <f t="array" ref="O513">_xlfn.IFS(Table1[[#This Row],[Revenue]]=0, "Check", Table1[[#This Row],[Revenue]]&gt;=1000, "Large", Table1[[#This Row],[Revenue]]&gt;=200, "Medium", TRUE, "Small")</f>
        <v>Small</v>
      </c>
      <c r="P513" s="4" t="str">
        <f>IF(AND(Table1[[#This Row],[Margin Flag]]="Low", Table1[[#This Row],[Revenue]]&gt;1000), "Review", "")</f>
        <v/>
      </c>
      <c r="Q513" s="4" t="str">
        <f>IF(OR(Table1[[#This Row],[Qty]]&gt;=5,Table1[[#This Row],[Order Size]] = "Large" ), "Bulk", "")</f>
        <v/>
      </c>
      <c r="R513" s="10">
        <f>_xlfn.XLOOKUP(G513, Lookup!$A$2:$A$7, Lookup!$B$2:$B$7, "")</f>
        <v>0.25</v>
      </c>
      <c r="S513" s="4" t="str">
        <f>IF(Table1[[#This Row],[Margin]]&lt;Table1[[#This Row],[Target Margin]], "Yes", "")</f>
        <v/>
      </c>
    </row>
    <row r="514" spans="1:19">
      <c r="A514" t="s">
        <v>559</v>
      </c>
      <c r="B514" s="2">
        <v>46281</v>
      </c>
      <c r="C514" t="s">
        <v>32</v>
      </c>
      <c r="D514" t="s">
        <v>58</v>
      </c>
      <c r="E514">
        <v>2</v>
      </c>
      <c r="F514" t="str">
        <f>_xlfn.XLOOKUP(D514, Products!$A$2:$A$21, Products!$B$2:$B$21, "Not Found")</f>
        <v>Mech Keyboard</v>
      </c>
      <c r="G514" t="str">
        <f>_xlfn.XLOOKUP(D514, Products!$A$2:$A$21, Products!$C$2:$C$21,"not found")</f>
        <v>Accessories</v>
      </c>
      <c r="H514" s="4">
        <f>_xlfn.XLOOKUP(D514, Products!$A$2:$A$21, Products!$E$2:$E$21, 0)</f>
        <v>149</v>
      </c>
      <c r="I514" s="4">
        <f>_xlfn.XLOOKUP(D514, Products!$A$2:$A$21, Products!$F$2:$F$21,0)</f>
        <v>72</v>
      </c>
      <c r="J514" t="str">
        <f>_xlfn.XLOOKUP(C514, Stores!$A$2:$A$7, Stores!$D$2:$D$7)</f>
        <v>Sydney South</v>
      </c>
      <c r="K514" s="4">
        <f t="shared" si="14"/>
        <v>298</v>
      </c>
      <c r="L514" s="4">
        <f t="shared" si="15"/>
        <v>154</v>
      </c>
      <c r="M514" s="10">
        <f>IF(Table1[[#This Row],[Revenue]]=0, "", Table1[[#This Row],[Profit]]/Table1[[#This Row],[Revenue]])</f>
        <v>0.51677852348993292</v>
      </c>
      <c r="N514" s="4" t="str">
        <f>IF(Table1[[#This Row],[Margin]]="", "check", IF(Table1[[#This Row],[Margin]]&lt;0.2, "Low", "OK"))</f>
        <v>OK</v>
      </c>
      <c r="O514" s="4" t="str" cm="1">
        <f t="array" ref="O514">_xlfn.IFS(Table1[[#This Row],[Revenue]]=0, "Check", Table1[[#This Row],[Revenue]]&gt;=1000, "Large", Table1[[#This Row],[Revenue]]&gt;=200, "Medium", TRUE, "Small")</f>
        <v>Medium</v>
      </c>
      <c r="P514" s="4" t="str">
        <f>IF(AND(Table1[[#This Row],[Margin Flag]]="Low", Table1[[#This Row],[Revenue]]&gt;1000), "Review", "")</f>
        <v/>
      </c>
      <c r="Q514" s="4" t="str">
        <f>IF(OR(Table1[[#This Row],[Qty]]&gt;=5,Table1[[#This Row],[Order Size]] = "Large" ), "Bulk", "")</f>
        <v/>
      </c>
      <c r="R514" s="10">
        <f>_xlfn.XLOOKUP(G514, Lookup!$A$2:$A$7, Lookup!$B$2:$B$7, "")</f>
        <v>0.25</v>
      </c>
      <c r="S514" s="4" t="str">
        <f>IF(Table1[[#This Row],[Margin]]&lt;Table1[[#This Row],[Target Margin]], "Yes", "")</f>
        <v/>
      </c>
    </row>
    <row r="515" spans="1:19">
      <c r="A515" t="s">
        <v>560</v>
      </c>
      <c r="B515" s="2">
        <v>46281</v>
      </c>
      <c r="C515" t="s">
        <v>29</v>
      </c>
      <c r="D515" t="s">
        <v>69</v>
      </c>
      <c r="E515">
        <v>3</v>
      </c>
      <c r="F515" t="str">
        <f>_xlfn.XLOOKUP(D515, Products!$A$2:$A$21, Products!$B$2:$B$21, "Not Found")</f>
        <v>27in Monitor</v>
      </c>
      <c r="G515" t="str">
        <f>_xlfn.XLOOKUP(D515, Products!$A$2:$A$21, Products!$C$2:$C$21,"not found")</f>
        <v>Computers</v>
      </c>
      <c r="H515" s="4">
        <f>_xlfn.XLOOKUP(D515, Products!$A$2:$A$21, Products!$E$2:$E$21, 0)</f>
        <v>399</v>
      </c>
      <c r="I515" s="4">
        <f>_xlfn.XLOOKUP(D515, Products!$A$2:$A$21, Products!$F$2:$F$21,0)</f>
        <v>290</v>
      </c>
      <c r="J515" t="str">
        <f>_xlfn.XLOOKUP(C515, Stores!$A$2:$A$7, Stores!$D$2:$D$7)</f>
        <v>Sydney West</v>
      </c>
      <c r="K515" s="4">
        <f t="shared" ref="K515:K578" si="16" xml:space="preserve"> E515*H515</f>
        <v>1197</v>
      </c>
      <c r="L515" s="4">
        <f t="shared" ref="L515:L578" si="17" xml:space="preserve"> K515 - (E515 * I515)</f>
        <v>327</v>
      </c>
      <c r="M515" s="10">
        <f>IF(Table1[[#This Row],[Revenue]]=0, "", Table1[[#This Row],[Profit]]/Table1[[#This Row],[Revenue]])</f>
        <v>0.27318295739348369</v>
      </c>
      <c r="N515" s="4" t="str">
        <f>IF(Table1[[#This Row],[Margin]]="", "check", IF(Table1[[#This Row],[Margin]]&lt;0.2, "Low", "OK"))</f>
        <v>OK</v>
      </c>
      <c r="O515" s="4" t="str" cm="1">
        <f t="array" ref="O515">_xlfn.IFS(Table1[[#This Row],[Revenue]]=0, "Check", Table1[[#This Row],[Revenue]]&gt;=1000, "Large", Table1[[#This Row],[Revenue]]&gt;=200, "Medium", TRUE, "Small")</f>
        <v>Large</v>
      </c>
      <c r="P515" s="4" t="str">
        <f>IF(AND(Table1[[#This Row],[Margin Flag]]="Low", Table1[[#This Row],[Revenue]]&gt;1000), "Review", "")</f>
        <v/>
      </c>
      <c r="Q515" s="4" t="str">
        <f>IF(OR(Table1[[#This Row],[Qty]]&gt;=5,Table1[[#This Row],[Order Size]] = "Large" ), "Bulk", "")</f>
        <v>Bulk</v>
      </c>
      <c r="R515" s="10">
        <f>_xlfn.XLOOKUP(G515, Lookup!$A$2:$A$7, Lookup!$B$2:$B$7, "")</f>
        <v>0.25</v>
      </c>
      <c r="S515" s="4" t="str">
        <f>IF(Table1[[#This Row],[Margin]]&lt;Table1[[#This Row],[Target Margin]], "Yes", "")</f>
        <v/>
      </c>
    </row>
    <row r="516" spans="1:19">
      <c r="A516" t="s">
        <v>561</v>
      </c>
      <c r="B516" s="2">
        <v>46281</v>
      </c>
      <c r="C516" t="s">
        <v>20</v>
      </c>
      <c r="D516" t="s">
        <v>24</v>
      </c>
      <c r="E516">
        <v>1</v>
      </c>
      <c r="F516" t="str">
        <f>_xlfn.XLOOKUP(D516, Products!$A$2:$A$21, Products!$B$2:$B$21, "Not Found")</f>
        <v>Wireless Earbuds</v>
      </c>
      <c r="G516" t="str">
        <f>_xlfn.XLOOKUP(D516, Products!$A$2:$A$21, Products!$C$2:$C$21,"not found")</f>
        <v>Audio</v>
      </c>
      <c r="H516" s="4">
        <f>_xlfn.XLOOKUP(D516, Products!$A$2:$A$21, Products!$E$2:$E$21, 0)</f>
        <v>249</v>
      </c>
      <c r="I516" s="4">
        <f>_xlfn.XLOOKUP(D516, Products!$A$2:$A$21, Products!$F$2:$F$21,0)</f>
        <v>140</v>
      </c>
      <c r="J516" t="str">
        <f>_xlfn.XLOOKUP(C516, Stores!$A$2:$A$7, Stores!$D$2:$D$7)</f>
        <v>Sydney West</v>
      </c>
      <c r="K516" s="4">
        <f t="shared" si="16"/>
        <v>249</v>
      </c>
      <c r="L516" s="4">
        <f t="shared" si="17"/>
        <v>109</v>
      </c>
      <c r="M516" s="10">
        <f>IF(Table1[[#This Row],[Revenue]]=0, "", Table1[[#This Row],[Profit]]/Table1[[#This Row],[Revenue]])</f>
        <v>0.43775100401606426</v>
      </c>
      <c r="N516" s="4" t="str">
        <f>IF(Table1[[#This Row],[Margin]]="", "check", IF(Table1[[#This Row],[Margin]]&lt;0.2, "Low", "OK"))</f>
        <v>OK</v>
      </c>
      <c r="O516" s="4" t="str" cm="1">
        <f t="array" ref="O516">_xlfn.IFS(Table1[[#This Row],[Revenue]]=0, "Check", Table1[[#This Row],[Revenue]]&gt;=1000, "Large", Table1[[#This Row],[Revenue]]&gt;=200, "Medium", TRUE, "Small")</f>
        <v>Medium</v>
      </c>
      <c r="P516" s="4" t="str">
        <f>IF(AND(Table1[[#This Row],[Margin Flag]]="Low", Table1[[#This Row],[Revenue]]&gt;1000), "Review", "")</f>
        <v/>
      </c>
      <c r="Q516" s="4" t="str">
        <f>IF(OR(Table1[[#This Row],[Qty]]&gt;=5,Table1[[#This Row],[Order Size]] = "Large" ), "Bulk", "")</f>
        <v/>
      </c>
      <c r="R516" s="10">
        <f>_xlfn.XLOOKUP(G516, Lookup!$A$2:$A$7, Lookup!$B$2:$B$7, "")</f>
        <v>0.25</v>
      </c>
      <c r="S516" s="4" t="str">
        <f>IF(Table1[[#This Row],[Margin]]&lt;Table1[[#This Row],[Target Margin]], "Yes", "")</f>
        <v/>
      </c>
    </row>
    <row r="517" spans="1:19">
      <c r="A517" t="s">
        <v>562</v>
      </c>
      <c r="B517" s="2">
        <v>46281</v>
      </c>
      <c r="C517" t="s">
        <v>29</v>
      </c>
      <c r="D517" t="s">
        <v>21</v>
      </c>
      <c r="E517">
        <v>1</v>
      </c>
      <c r="F517" t="str">
        <f>_xlfn.XLOOKUP(D517, Products!$A$2:$A$21, Products!$B$2:$B$21, "Not Found")</f>
        <v>Gaming Mouse</v>
      </c>
      <c r="G517" t="str">
        <f>_xlfn.XLOOKUP(D517, Products!$A$2:$A$21, Products!$C$2:$C$21,"not found")</f>
        <v>Accessories</v>
      </c>
      <c r="H517" s="4">
        <f>_xlfn.XLOOKUP(D517, Products!$A$2:$A$21, Products!$E$2:$E$21, 0)</f>
        <v>89</v>
      </c>
      <c r="I517" s="4">
        <f>_xlfn.XLOOKUP(D517, Products!$A$2:$A$21, Products!$F$2:$F$21,0)</f>
        <v>41</v>
      </c>
      <c r="J517" t="str">
        <f>_xlfn.XLOOKUP(C517, Stores!$A$2:$A$7, Stores!$D$2:$D$7)</f>
        <v>Sydney West</v>
      </c>
      <c r="K517" s="4">
        <f t="shared" si="16"/>
        <v>89</v>
      </c>
      <c r="L517" s="4">
        <f t="shared" si="17"/>
        <v>48</v>
      </c>
      <c r="M517" s="10">
        <f>IF(Table1[[#This Row],[Revenue]]=0, "", Table1[[#This Row],[Profit]]/Table1[[#This Row],[Revenue]])</f>
        <v>0.5393258426966292</v>
      </c>
      <c r="N517" s="4" t="str">
        <f>IF(Table1[[#This Row],[Margin]]="", "check", IF(Table1[[#This Row],[Margin]]&lt;0.2, "Low", "OK"))</f>
        <v>OK</v>
      </c>
      <c r="O517" s="4" t="str" cm="1">
        <f t="array" ref="O517">_xlfn.IFS(Table1[[#This Row],[Revenue]]=0, "Check", Table1[[#This Row],[Revenue]]&gt;=1000, "Large", Table1[[#This Row],[Revenue]]&gt;=200, "Medium", TRUE, "Small")</f>
        <v>Small</v>
      </c>
      <c r="P517" s="4" t="str">
        <f>IF(AND(Table1[[#This Row],[Margin Flag]]="Low", Table1[[#This Row],[Revenue]]&gt;1000), "Review", "")</f>
        <v/>
      </c>
      <c r="Q517" s="4" t="str">
        <f>IF(OR(Table1[[#This Row],[Qty]]&gt;=5,Table1[[#This Row],[Order Size]] = "Large" ), "Bulk", "")</f>
        <v/>
      </c>
      <c r="R517" s="10">
        <f>_xlfn.XLOOKUP(G517, Lookup!$A$2:$A$7, Lookup!$B$2:$B$7, "")</f>
        <v>0.25</v>
      </c>
      <c r="S517" s="4" t="str">
        <f>IF(Table1[[#This Row],[Margin]]&lt;Table1[[#This Row],[Target Margin]], "Yes", "")</f>
        <v/>
      </c>
    </row>
    <row r="518" spans="1:19">
      <c r="A518" t="s">
        <v>563</v>
      </c>
      <c r="B518" s="2">
        <v>46281</v>
      </c>
      <c r="C518" t="s">
        <v>57</v>
      </c>
      <c r="D518" t="s">
        <v>24</v>
      </c>
      <c r="E518">
        <v>1</v>
      </c>
      <c r="F518" t="str">
        <f>_xlfn.XLOOKUP(D518, Products!$A$2:$A$21, Products!$B$2:$B$21, "Not Found")</f>
        <v>Wireless Earbuds</v>
      </c>
      <c r="G518" t="str">
        <f>_xlfn.XLOOKUP(D518, Products!$A$2:$A$21, Products!$C$2:$C$21,"not found")</f>
        <v>Audio</v>
      </c>
      <c r="H518" s="4">
        <f>_xlfn.XLOOKUP(D518, Products!$A$2:$A$21, Products!$E$2:$E$21, 0)</f>
        <v>249</v>
      </c>
      <c r="I518" s="4">
        <f>_xlfn.XLOOKUP(D518, Products!$A$2:$A$21, Products!$F$2:$F$21,0)</f>
        <v>140</v>
      </c>
      <c r="J518" t="str">
        <f>_xlfn.XLOOKUP(C518, Stores!$A$2:$A$7, Stores!$D$2:$D$7)</f>
        <v>Sydney South</v>
      </c>
      <c r="K518" s="4">
        <f t="shared" si="16"/>
        <v>249</v>
      </c>
      <c r="L518" s="4">
        <f t="shared" si="17"/>
        <v>109</v>
      </c>
      <c r="M518" s="10">
        <f>IF(Table1[[#This Row],[Revenue]]=0, "", Table1[[#This Row],[Profit]]/Table1[[#This Row],[Revenue]])</f>
        <v>0.43775100401606426</v>
      </c>
      <c r="N518" s="4" t="str">
        <f>IF(Table1[[#This Row],[Margin]]="", "check", IF(Table1[[#This Row],[Margin]]&lt;0.2, "Low", "OK"))</f>
        <v>OK</v>
      </c>
      <c r="O518" s="4" t="str" cm="1">
        <f t="array" ref="O518">_xlfn.IFS(Table1[[#This Row],[Revenue]]=0, "Check", Table1[[#This Row],[Revenue]]&gt;=1000, "Large", Table1[[#This Row],[Revenue]]&gt;=200, "Medium", TRUE, "Small")</f>
        <v>Medium</v>
      </c>
      <c r="P518" s="4" t="str">
        <f>IF(AND(Table1[[#This Row],[Margin Flag]]="Low", Table1[[#This Row],[Revenue]]&gt;1000), "Review", "")</f>
        <v/>
      </c>
      <c r="Q518" s="4" t="str">
        <f>IF(OR(Table1[[#This Row],[Qty]]&gt;=5,Table1[[#This Row],[Order Size]] = "Large" ), "Bulk", "")</f>
        <v/>
      </c>
      <c r="R518" s="10">
        <f>_xlfn.XLOOKUP(G518, Lookup!$A$2:$A$7, Lookup!$B$2:$B$7, "")</f>
        <v>0.25</v>
      </c>
      <c r="S518" s="4" t="str">
        <f>IF(Table1[[#This Row],[Margin]]&lt;Table1[[#This Row],[Target Margin]], "Yes", "")</f>
        <v/>
      </c>
    </row>
    <row r="519" spans="1:19">
      <c r="A519" t="s">
        <v>564</v>
      </c>
      <c r="B519" s="2">
        <v>46282</v>
      </c>
      <c r="C519" t="s">
        <v>32</v>
      </c>
      <c r="D519" t="s">
        <v>30</v>
      </c>
      <c r="E519">
        <v>1</v>
      </c>
      <c r="F519" t="str">
        <f>_xlfn.XLOOKUP(D519, Products!$A$2:$A$21, Products!$B$2:$B$21, "Not Found")</f>
        <v>Video Game</v>
      </c>
      <c r="G519" t="str">
        <f>_xlfn.XLOOKUP(D519, Products!$A$2:$A$21, Products!$C$2:$C$21,"not found")</f>
        <v>Gaming</v>
      </c>
      <c r="H519" s="4">
        <f>_xlfn.XLOOKUP(D519, Products!$A$2:$A$21, Products!$E$2:$E$21, 0)</f>
        <v>79</v>
      </c>
      <c r="I519" s="4">
        <f>_xlfn.XLOOKUP(D519, Products!$A$2:$A$21, Products!$F$2:$F$21,0)</f>
        <v>52</v>
      </c>
      <c r="J519" t="str">
        <f>_xlfn.XLOOKUP(C519, Stores!$A$2:$A$7, Stores!$D$2:$D$7)</f>
        <v>Sydney South</v>
      </c>
      <c r="K519" s="4">
        <f t="shared" si="16"/>
        <v>79</v>
      </c>
      <c r="L519" s="4">
        <f t="shared" si="17"/>
        <v>27</v>
      </c>
      <c r="M519" s="10">
        <f>IF(Table1[[#This Row],[Revenue]]=0, "", Table1[[#This Row],[Profit]]/Table1[[#This Row],[Revenue]])</f>
        <v>0.34177215189873417</v>
      </c>
      <c r="N519" s="4" t="str">
        <f>IF(Table1[[#This Row],[Margin]]="", "check", IF(Table1[[#This Row],[Margin]]&lt;0.2, "Low", "OK"))</f>
        <v>OK</v>
      </c>
      <c r="O519" s="4" t="str" cm="1">
        <f t="array" ref="O519">_xlfn.IFS(Table1[[#This Row],[Revenue]]=0, "Check", Table1[[#This Row],[Revenue]]&gt;=1000, "Large", Table1[[#This Row],[Revenue]]&gt;=200, "Medium", TRUE, "Small")</f>
        <v>Small</v>
      </c>
      <c r="P519" s="4" t="str">
        <f>IF(AND(Table1[[#This Row],[Margin Flag]]="Low", Table1[[#This Row],[Revenue]]&gt;1000), "Review", "")</f>
        <v/>
      </c>
      <c r="Q519" s="4" t="str">
        <f>IF(OR(Table1[[#This Row],[Qty]]&gt;=5,Table1[[#This Row],[Order Size]] = "Large" ), "Bulk", "")</f>
        <v/>
      </c>
      <c r="R519" s="10">
        <f>_xlfn.XLOOKUP(G519, Lookup!$A$2:$A$7, Lookup!$B$2:$B$7, "")</f>
        <v>0.08</v>
      </c>
      <c r="S519" s="4" t="str">
        <f>IF(Table1[[#This Row],[Margin]]&lt;Table1[[#This Row],[Target Margin]], "Yes", "")</f>
        <v/>
      </c>
    </row>
    <row r="520" spans="1:19">
      <c r="A520" t="s">
        <v>565</v>
      </c>
      <c r="B520" s="2">
        <v>46282</v>
      </c>
      <c r="C520" t="s">
        <v>32</v>
      </c>
      <c r="D520" t="s">
        <v>24</v>
      </c>
      <c r="E520">
        <v>1</v>
      </c>
      <c r="F520" t="str">
        <f>_xlfn.XLOOKUP(D520, Products!$A$2:$A$21, Products!$B$2:$B$21, "Not Found")</f>
        <v>Wireless Earbuds</v>
      </c>
      <c r="G520" t="str">
        <f>_xlfn.XLOOKUP(D520, Products!$A$2:$A$21, Products!$C$2:$C$21,"not found")</f>
        <v>Audio</v>
      </c>
      <c r="H520" s="4">
        <f>_xlfn.XLOOKUP(D520, Products!$A$2:$A$21, Products!$E$2:$E$21, 0)</f>
        <v>249</v>
      </c>
      <c r="I520" s="4">
        <f>_xlfn.XLOOKUP(D520, Products!$A$2:$A$21, Products!$F$2:$F$21,0)</f>
        <v>140</v>
      </c>
      <c r="J520" t="str">
        <f>_xlfn.XLOOKUP(C520, Stores!$A$2:$A$7, Stores!$D$2:$D$7)</f>
        <v>Sydney South</v>
      </c>
      <c r="K520" s="4">
        <f t="shared" si="16"/>
        <v>249</v>
      </c>
      <c r="L520" s="4">
        <f t="shared" si="17"/>
        <v>109</v>
      </c>
      <c r="M520" s="10">
        <f>IF(Table1[[#This Row],[Revenue]]=0, "", Table1[[#This Row],[Profit]]/Table1[[#This Row],[Revenue]])</f>
        <v>0.43775100401606426</v>
      </c>
      <c r="N520" s="4" t="str">
        <f>IF(Table1[[#This Row],[Margin]]="", "check", IF(Table1[[#This Row],[Margin]]&lt;0.2, "Low", "OK"))</f>
        <v>OK</v>
      </c>
      <c r="O520" s="4" t="str" cm="1">
        <f t="array" ref="O520">_xlfn.IFS(Table1[[#This Row],[Revenue]]=0, "Check", Table1[[#This Row],[Revenue]]&gt;=1000, "Large", Table1[[#This Row],[Revenue]]&gt;=200, "Medium", TRUE, "Small")</f>
        <v>Medium</v>
      </c>
      <c r="P520" s="4" t="str">
        <f>IF(AND(Table1[[#This Row],[Margin Flag]]="Low", Table1[[#This Row],[Revenue]]&gt;1000), "Review", "")</f>
        <v/>
      </c>
      <c r="Q520" s="4" t="str">
        <f>IF(OR(Table1[[#This Row],[Qty]]&gt;=5,Table1[[#This Row],[Order Size]] = "Large" ), "Bulk", "")</f>
        <v/>
      </c>
      <c r="R520" s="10">
        <f>_xlfn.XLOOKUP(G520, Lookup!$A$2:$A$7, Lookup!$B$2:$B$7, "")</f>
        <v>0.25</v>
      </c>
      <c r="S520" s="4" t="str">
        <f>IF(Table1[[#This Row],[Margin]]&lt;Table1[[#This Row],[Target Margin]], "Yes", "")</f>
        <v/>
      </c>
    </row>
    <row r="521" spans="1:19">
      <c r="A521" t="s">
        <v>566</v>
      </c>
      <c r="B521" s="2">
        <v>46282</v>
      </c>
      <c r="C521" t="s">
        <v>32</v>
      </c>
      <c r="D521" t="s">
        <v>24</v>
      </c>
      <c r="E521">
        <v>1</v>
      </c>
      <c r="F521" t="str">
        <f>_xlfn.XLOOKUP(D521, Products!$A$2:$A$21, Products!$B$2:$B$21, "Not Found")</f>
        <v>Wireless Earbuds</v>
      </c>
      <c r="G521" t="str">
        <f>_xlfn.XLOOKUP(D521, Products!$A$2:$A$21, Products!$C$2:$C$21,"not found")</f>
        <v>Audio</v>
      </c>
      <c r="H521" s="4">
        <f>_xlfn.XLOOKUP(D521, Products!$A$2:$A$21, Products!$E$2:$E$21, 0)</f>
        <v>249</v>
      </c>
      <c r="I521" s="4">
        <f>_xlfn.XLOOKUP(D521, Products!$A$2:$A$21, Products!$F$2:$F$21,0)</f>
        <v>140</v>
      </c>
      <c r="J521" t="str">
        <f>_xlfn.XLOOKUP(C521, Stores!$A$2:$A$7, Stores!$D$2:$D$7)</f>
        <v>Sydney South</v>
      </c>
      <c r="K521" s="4">
        <f t="shared" si="16"/>
        <v>249</v>
      </c>
      <c r="L521" s="4">
        <f t="shared" si="17"/>
        <v>109</v>
      </c>
      <c r="M521" s="10">
        <f>IF(Table1[[#This Row],[Revenue]]=0, "", Table1[[#This Row],[Profit]]/Table1[[#This Row],[Revenue]])</f>
        <v>0.43775100401606426</v>
      </c>
      <c r="N521" s="4" t="str">
        <f>IF(Table1[[#This Row],[Margin]]="", "check", IF(Table1[[#This Row],[Margin]]&lt;0.2, "Low", "OK"))</f>
        <v>OK</v>
      </c>
      <c r="O521" s="4" t="str" cm="1">
        <f t="array" ref="O521">_xlfn.IFS(Table1[[#This Row],[Revenue]]=0, "Check", Table1[[#This Row],[Revenue]]&gt;=1000, "Large", Table1[[#This Row],[Revenue]]&gt;=200, "Medium", TRUE, "Small")</f>
        <v>Medium</v>
      </c>
      <c r="P521" s="4" t="str">
        <f>IF(AND(Table1[[#This Row],[Margin Flag]]="Low", Table1[[#This Row],[Revenue]]&gt;1000), "Review", "")</f>
        <v/>
      </c>
      <c r="Q521" s="4" t="str">
        <f>IF(OR(Table1[[#This Row],[Qty]]&gt;=5,Table1[[#This Row],[Order Size]] = "Large" ), "Bulk", "")</f>
        <v/>
      </c>
      <c r="R521" s="10">
        <f>_xlfn.XLOOKUP(G521, Lookup!$A$2:$A$7, Lookup!$B$2:$B$7, "")</f>
        <v>0.25</v>
      </c>
      <c r="S521" s="4" t="str">
        <f>IF(Table1[[#This Row],[Margin]]&lt;Table1[[#This Row],[Target Margin]], "Yes", "")</f>
        <v/>
      </c>
    </row>
    <row r="522" spans="1:19">
      <c r="A522" t="s">
        <v>567</v>
      </c>
      <c r="B522" s="2">
        <v>46282</v>
      </c>
      <c r="C522" t="s">
        <v>29</v>
      </c>
      <c r="D522" t="s">
        <v>87</v>
      </c>
      <c r="E522">
        <v>1</v>
      </c>
      <c r="F522" t="str">
        <f>_xlfn.XLOOKUP(D522, Products!$A$2:$A$21, Products!$B$2:$B$21, "Not Found")</f>
        <v>Laptop 16in</v>
      </c>
      <c r="G522" t="str">
        <f>_xlfn.XLOOKUP(D522, Products!$A$2:$A$21, Products!$C$2:$C$21,"not found")</f>
        <v>Computers</v>
      </c>
      <c r="H522" s="4">
        <f>_xlfn.XLOOKUP(D522, Products!$A$2:$A$21, Products!$E$2:$E$21, 0)</f>
        <v>1799</v>
      </c>
      <c r="I522" s="4">
        <f>_xlfn.XLOOKUP(D522, Products!$A$2:$A$21, Products!$F$2:$F$21,0)</f>
        <v>1390</v>
      </c>
      <c r="J522" t="str">
        <f>_xlfn.XLOOKUP(C522, Stores!$A$2:$A$7, Stores!$D$2:$D$7)</f>
        <v>Sydney West</v>
      </c>
      <c r="K522" s="4">
        <f t="shared" si="16"/>
        <v>1799</v>
      </c>
      <c r="L522" s="4">
        <f t="shared" si="17"/>
        <v>409</v>
      </c>
      <c r="M522" s="10">
        <f>IF(Table1[[#This Row],[Revenue]]=0, "", Table1[[#This Row],[Profit]]/Table1[[#This Row],[Revenue]])</f>
        <v>0.2273485269594219</v>
      </c>
      <c r="N522" s="4" t="str">
        <f>IF(Table1[[#This Row],[Margin]]="", "check", IF(Table1[[#This Row],[Margin]]&lt;0.2, "Low", "OK"))</f>
        <v>OK</v>
      </c>
      <c r="O522" s="4" t="str" cm="1">
        <f t="array" ref="O522">_xlfn.IFS(Table1[[#This Row],[Revenue]]=0, "Check", Table1[[#This Row],[Revenue]]&gt;=1000, "Large", Table1[[#This Row],[Revenue]]&gt;=200, "Medium", TRUE, "Small")</f>
        <v>Large</v>
      </c>
      <c r="P522" s="4" t="str">
        <f>IF(AND(Table1[[#This Row],[Margin Flag]]="Low", Table1[[#This Row],[Revenue]]&gt;1000), "Review", "")</f>
        <v/>
      </c>
      <c r="Q522" s="4" t="str">
        <f>IF(OR(Table1[[#This Row],[Qty]]&gt;=5,Table1[[#This Row],[Order Size]] = "Large" ), "Bulk", "")</f>
        <v>Bulk</v>
      </c>
      <c r="R522" s="10">
        <f>_xlfn.XLOOKUP(G522, Lookup!$A$2:$A$7, Lookup!$B$2:$B$7, "")</f>
        <v>0.25</v>
      </c>
      <c r="S522" s="4" t="str">
        <f>IF(Table1[[#This Row],[Margin]]&lt;Table1[[#This Row],[Target Margin]], "Yes", "")</f>
        <v>Yes</v>
      </c>
    </row>
    <row r="523" spans="1:19">
      <c r="A523" t="s">
        <v>568</v>
      </c>
      <c r="B523" s="2">
        <v>46282</v>
      </c>
      <c r="C523" t="s">
        <v>20</v>
      </c>
      <c r="D523" t="s">
        <v>43</v>
      </c>
      <c r="E523">
        <v>1</v>
      </c>
      <c r="F523" t="str">
        <f>_xlfn.XLOOKUP(D523, Products!$A$2:$A$21, Products!$B$2:$B$21, "Not Found")</f>
        <v>Console Controller</v>
      </c>
      <c r="G523" t="str">
        <f>_xlfn.XLOOKUP(D523, Products!$A$2:$A$21, Products!$C$2:$C$21,"not found")</f>
        <v>Gaming</v>
      </c>
      <c r="H523" s="4">
        <f>_xlfn.XLOOKUP(D523, Products!$A$2:$A$21, Products!$E$2:$E$21, 0)</f>
        <v>99</v>
      </c>
      <c r="I523" s="4">
        <f>_xlfn.XLOOKUP(D523, Products!$A$2:$A$21, Products!$F$2:$F$21,0)</f>
        <v>58</v>
      </c>
      <c r="J523" t="str">
        <f>_xlfn.XLOOKUP(C523, Stores!$A$2:$A$7, Stores!$D$2:$D$7)</f>
        <v>Sydney West</v>
      </c>
      <c r="K523" s="4">
        <f t="shared" si="16"/>
        <v>99</v>
      </c>
      <c r="L523" s="4">
        <f t="shared" si="17"/>
        <v>41</v>
      </c>
      <c r="M523" s="10">
        <f>IF(Table1[[#This Row],[Revenue]]=0, "", Table1[[#This Row],[Profit]]/Table1[[#This Row],[Revenue]])</f>
        <v>0.41414141414141414</v>
      </c>
      <c r="N523" s="4" t="str">
        <f>IF(Table1[[#This Row],[Margin]]="", "check", IF(Table1[[#This Row],[Margin]]&lt;0.2, "Low", "OK"))</f>
        <v>OK</v>
      </c>
      <c r="O523" s="4" t="str" cm="1">
        <f t="array" ref="O523">_xlfn.IFS(Table1[[#This Row],[Revenue]]=0, "Check", Table1[[#This Row],[Revenue]]&gt;=1000, "Large", Table1[[#This Row],[Revenue]]&gt;=200, "Medium", TRUE, "Small")</f>
        <v>Small</v>
      </c>
      <c r="P523" s="4" t="str">
        <f>IF(AND(Table1[[#This Row],[Margin Flag]]="Low", Table1[[#This Row],[Revenue]]&gt;1000), "Review", "")</f>
        <v/>
      </c>
      <c r="Q523" s="4" t="str">
        <f>IF(OR(Table1[[#This Row],[Qty]]&gt;=5,Table1[[#This Row],[Order Size]] = "Large" ), "Bulk", "")</f>
        <v/>
      </c>
      <c r="R523" s="10">
        <f>_xlfn.XLOOKUP(G523, Lookup!$A$2:$A$7, Lookup!$B$2:$B$7, "")</f>
        <v>0.08</v>
      </c>
      <c r="S523" s="4" t="str">
        <f>IF(Table1[[#This Row],[Margin]]&lt;Table1[[#This Row],[Target Margin]], "Yes", "")</f>
        <v/>
      </c>
    </row>
    <row r="524" spans="1:19">
      <c r="A524" t="s">
        <v>569</v>
      </c>
      <c r="B524" s="2">
        <v>46283</v>
      </c>
      <c r="C524" t="s">
        <v>57</v>
      </c>
      <c r="D524" t="s">
        <v>43</v>
      </c>
      <c r="E524">
        <v>1</v>
      </c>
      <c r="F524" t="str">
        <f>_xlfn.XLOOKUP(D524, Products!$A$2:$A$21, Products!$B$2:$B$21, "Not Found")</f>
        <v>Console Controller</v>
      </c>
      <c r="G524" t="str">
        <f>_xlfn.XLOOKUP(D524, Products!$A$2:$A$21, Products!$C$2:$C$21,"not found")</f>
        <v>Gaming</v>
      </c>
      <c r="H524" s="4">
        <f>_xlfn.XLOOKUP(D524, Products!$A$2:$A$21, Products!$E$2:$E$21, 0)</f>
        <v>99</v>
      </c>
      <c r="I524" s="4">
        <f>_xlfn.XLOOKUP(D524, Products!$A$2:$A$21, Products!$F$2:$F$21,0)</f>
        <v>58</v>
      </c>
      <c r="J524" t="str">
        <f>_xlfn.XLOOKUP(C524, Stores!$A$2:$A$7, Stores!$D$2:$D$7)</f>
        <v>Sydney South</v>
      </c>
      <c r="K524" s="4">
        <f t="shared" si="16"/>
        <v>99</v>
      </c>
      <c r="L524" s="4">
        <f t="shared" si="17"/>
        <v>41</v>
      </c>
      <c r="M524" s="10">
        <f>IF(Table1[[#This Row],[Revenue]]=0, "", Table1[[#This Row],[Profit]]/Table1[[#This Row],[Revenue]])</f>
        <v>0.41414141414141414</v>
      </c>
      <c r="N524" s="4" t="str">
        <f>IF(Table1[[#This Row],[Margin]]="", "check", IF(Table1[[#This Row],[Margin]]&lt;0.2, "Low", "OK"))</f>
        <v>OK</v>
      </c>
      <c r="O524" s="4" t="str" cm="1">
        <f t="array" ref="O524">_xlfn.IFS(Table1[[#This Row],[Revenue]]=0, "Check", Table1[[#This Row],[Revenue]]&gt;=1000, "Large", Table1[[#This Row],[Revenue]]&gt;=200, "Medium", TRUE, "Small")</f>
        <v>Small</v>
      </c>
      <c r="P524" s="4" t="str">
        <f>IF(AND(Table1[[#This Row],[Margin Flag]]="Low", Table1[[#This Row],[Revenue]]&gt;1000), "Review", "")</f>
        <v/>
      </c>
      <c r="Q524" s="4" t="str">
        <f>IF(OR(Table1[[#This Row],[Qty]]&gt;=5,Table1[[#This Row],[Order Size]] = "Large" ), "Bulk", "")</f>
        <v/>
      </c>
      <c r="R524" s="10">
        <f>_xlfn.XLOOKUP(G524, Lookup!$A$2:$A$7, Lookup!$B$2:$B$7, "")</f>
        <v>0.08</v>
      </c>
      <c r="S524" s="4" t="str">
        <f>IF(Table1[[#This Row],[Margin]]&lt;Table1[[#This Row],[Target Margin]], "Yes", "")</f>
        <v/>
      </c>
    </row>
    <row r="525" spans="1:19">
      <c r="A525" t="s">
        <v>570</v>
      </c>
      <c r="B525" s="2">
        <v>46283</v>
      </c>
      <c r="C525" t="s">
        <v>23</v>
      </c>
      <c r="D525" t="s">
        <v>21</v>
      </c>
      <c r="E525">
        <v>1</v>
      </c>
      <c r="F525" t="str">
        <f>_xlfn.XLOOKUP(D525, Products!$A$2:$A$21, Products!$B$2:$B$21, "Not Found")</f>
        <v>Gaming Mouse</v>
      </c>
      <c r="G525" t="str">
        <f>_xlfn.XLOOKUP(D525, Products!$A$2:$A$21, Products!$C$2:$C$21,"not found")</f>
        <v>Accessories</v>
      </c>
      <c r="H525" s="4">
        <f>_xlfn.XLOOKUP(D525, Products!$A$2:$A$21, Products!$E$2:$E$21, 0)</f>
        <v>89</v>
      </c>
      <c r="I525" s="4">
        <f>_xlfn.XLOOKUP(D525, Products!$A$2:$A$21, Products!$F$2:$F$21,0)</f>
        <v>41</v>
      </c>
      <c r="J525" t="str">
        <f>_xlfn.XLOOKUP(C525, Stores!$A$2:$A$7, Stores!$D$2:$D$7)</f>
        <v>Sydney East</v>
      </c>
      <c r="K525" s="4">
        <f t="shared" si="16"/>
        <v>89</v>
      </c>
      <c r="L525" s="4">
        <f t="shared" si="17"/>
        <v>48</v>
      </c>
      <c r="M525" s="10">
        <f>IF(Table1[[#This Row],[Revenue]]=0, "", Table1[[#This Row],[Profit]]/Table1[[#This Row],[Revenue]])</f>
        <v>0.5393258426966292</v>
      </c>
      <c r="N525" s="4" t="str">
        <f>IF(Table1[[#This Row],[Margin]]="", "check", IF(Table1[[#This Row],[Margin]]&lt;0.2, "Low", "OK"))</f>
        <v>OK</v>
      </c>
      <c r="O525" s="4" t="str" cm="1">
        <f t="array" ref="O525">_xlfn.IFS(Table1[[#This Row],[Revenue]]=0, "Check", Table1[[#This Row],[Revenue]]&gt;=1000, "Large", Table1[[#This Row],[Revenue]]&gt;=200, "Medium", TRUE, "Small")</f>
        <v>Small</v>
      </c>
      <c r="P525" s="4" t="str">
        <f>IF(AND(Table1[[#This Row],[Margin Flag]]="Low", Table1[[#This Row],[Revenue]]&gt;1000), "Review", "")</f>
        <v/>
      </c>
      <c r="Q525" s="4" t="str">
        <f>IF(OR(Table1[[#This Row],[Qty]]&gt;=5,Table1[[#This Row],[Order Size]] = "Large" ), "Bulk", "")</f>
        <v/>
      </c>
      <c r="R525" s="10">
        <f>_xlfn.XLOOKUP(G525, Lookup!$A$2:$A$7, Lookup!$B$2:$B$7, "")</f>
        <v>0.25</v>
      </c>
      <c r="S525" s="4" t="str">
        <f>IF(Table1[[#This Row],[Margin]]&lt;Table1[[#This Row],[Target Margin]], "Yes", "")</f>
        <v/>
      </c>
    </row>
    <row r="526" spans="1:19">
      <c r="A526" t="s">
        <v>571</v>
      </c>
      <c r="B526" s="2">
        <v>46283</v>
      </c>
      <c r="C526" t="s">
        <v>23</v>
      </c>
      <c r="D526" t="s">
        <v>80</v>
      </c>
      <c r="E526">
        <v>1</v>
      </c>
      <c r="F526" t="str">
        <f>_xlfn.XLOOKUP(D526, Products!$A$2:$A$21, Products!$B$2:$B$21, "Not Found")</f>
        <v>Over-Ear Headphones</v>
      </c>
      <c r="G526" t="str">
        <f>_xlfn.XLOOKUP(D526, Products!$A$2:$A$21, Products!$C$2:$C$21,"not found")</f>
        <v>Audio</v>
      </c>
      <c r="H526" s="4">
        <f>_xlfn.XLOOKUP(D526, Products!$A$2:$A$21, Products!$E$2:$E$21, 0)</f>
        <v>499</v>
      </c>
      <c r="I526" s="4">
        <f>_xlfn.XLOOKUP(D526, Products!$A$2:$A$21, Products!$F$2:$F$21,0)</f>
        <v>310</v>
      </c>
      <c r="J526" t="str">
        <f>_xlfn.XLOOKUP(C526, Stores!$A$2:$A$7, Stores!$D$2:$D$7)</f>
        <v>Sydney East</v>
      </c>
      <c r="K526" s="4">
        <f t="shared" si="16"/>
        <v>499</v>
      </c>
      <c r="L526" s="4">
        <f t="shared" si="17"/>
        <v>189</v>
      </c>
      <c r="M526" s="10">
        <f>IF(Table1[[#This Row],[Revenue]]=0, "", Table1[[#This Row],[Profit]]/Table1[[#This Row],[Revenue]])</f>
        <v>0.37875751503006011</v>
      </c>
      <c r="N526" s="4" t="str">
        <f>IF(Table1[[#This Row],[Margin]]="", "check", IF(Table1[[#This Row],[Margin]]&lt;0.2, "Low", "OK"))</f>
        <v>OK</v>
      </c>
      <c r="O526" s="4" t="str" cm="1">
        <f t="array" ref="O526">_xlfn.IFS(Table1[[#This Row],[Revenue]]=0, "Check", Table1[[#This Row],[Revenue]]&gt;=1000, "Large", Table1[[#This Row],[Revenue]]&gt;=200, "Medium", TRUE, "Small")</f>
        <v>Medium</v>
      </c>
      <c r="P526" s="4" t="str">
        <f>IF(AND(Table1[[#This Row],[Margin Flag]]="Low", Table1[[#This Row],[Revenue]]&gt;1000), "Review", "")</f>
        <v/>
      </c>
      <c r="Q526" s="4" t="str">
        <f>IF(OR(Table1[[#This Row],[Qty]]&gt;=5,Table1[[#This Row],[Order Size]] = "Large" ), "Bulk", "")</f>
        <v/>
      </c>
      <c r="R526" s="10">
        <f>_xlfn.XLOOKUP(G526, Lookup!$A$2:$A$7, Lookup!$B$2:$B$7, "")</f>
        <v>0.25</v>
      </c>
      <c r="S526" s="4" t="str">
        <f>IF(Table1[[#This Row],[Margin]]&lt;Table1[[#This Row],[Target Margin]], "Yes", "")</f>
        <v/>
      </c>
    </row>
    <row r="527" spans="1:19">
      <c r="A527" t="s">
        <v>572</v>
      </c>
      <c r="B527" s="2">
        <v>46284</v>
      </c>
      <c r="C527" t="s">
        <v>32</v>
      </c>
      <c r="D527" t="s">
        <v>38</v>
      </c>
      <c r="E527">
        <v>1</v>
      </c>
      <c r="F527" t="str">
        <f>_xlfn.XLOOKUP(D527, Products!$A$2:$A$21, Products!$B$2:$B$21, "Not Found")</f>
        <v>USB-C Charger</v>
      </c>
      <c r="G527" t="str">
        <f>_xlfn.XLOOKUP(D527, Products!$A$2:$A$21, Products!$C$2:$C$21,"not found")</f>
        <v>Accessories</v>
      </c>
      <c r="H527" s="4">
        <f>_xlfn.XLOOKUP(D527, Products!$A$2:$A$21, Products!$E$2:$E$21, 0)</f>
        <v>49</v>
      </c>
      <c r="I527" s="4">
        <f>_xlfn.XLOOKUP(D527, Products!$A$2:$A$21, Products!$F$2:$F$21,0)</f>
        <v>14</v>
      </c>
      <c r="J527" t="str">
        <f>_xlfn.XLOOKUP(C527, Stores!$A$2:$A$7, Stores!$D$2:$D$7)</f>
        <v>Sydney South</v>
      </c>
      <c r="K527" s="4">
        <f t="shared" si="16"/>
        <v>49</v>
      </c>
      <c r="L527" s="4">
        <f t="shared" si="17"/>
        <v>35</v>
      </c>
      <c r="M527" s="10">
        <f>IF(Table1[[#This Row],[Revenue]]=0, "", Table1[[#This Row],[Profit]]/Table1[[#This Row],[Revenue]])</f>
        <v>0.7142857142857143</v>
      </c>
      <c r="N527" s="4" t="str">
        <f>IF(Table1[[#This Row],[Margin]]="", "check", IF(Table1[[#This Row],[Margin]]&lt;0.2, "Low", "OK"))</f>
        <v>OK</v>
      </c>
      <c r="O527" s="4" t="str" cm="1">
        <f t="array" ref="O527">_xlfn.IFS(Table1[[#This Row],[Revenue]]=0, "Check", Table1[[#This Row],[Revenue]]&gt;=1000, "Large", Table1[[#This Row],[Revenue]]&gt;=200, "Medium", TRUE, "Small")</f>
        <v>Small</v>
      </c>
      <c r="P527" s="4" t="str">
        <f>IF(AND(Table1[[#This Row],[Margin Flag]]="Low", Table1[[#This Row],[Revenue]]&gt;1000), "Review", "")</f>
        <v/>
      </c>
      <c r="Q527" s="4" t="str">
        <f>IF(OR(Table1[[#This Row],[Qty]]&gt;=5,Table1[[#This Row],[Order Size]] = "Large" ), "Bulk", "")</f>
        <v/>
      </c>
      <c r="R527" s="10">
        <f>_xlfn.XLOOKUP(G527, Lookup!$A$2:$A$7, Lookup!$B$2:$B$7, "")</f>
        <v>0.25</v>
      </c>
      <c r="S527" s="4" t="str">
        <f>IF(Table1[[#This Row],[Margin]]&lt;Table1[[#This Row],[Target Margin]], "Yes", "")</f>
        <v/>
      </c>
    </row>
    <row r="528" spans="1:19">
      <c r="A528" t="s">
        <v>573</v>
      </c>
      <c r="B528" s="2">
        <v>46284</v>
      </c>
      <c r="C528" t="s">
        <v>29</v>
      </c>
      <c r="D528" t="s">
        <v>99</v>
      </c>
      <c r="E528">
        <v>1</v>
      </c>
      <c r="F528" t="str">
        <f>_xlfn.XLOOKUP(D528, Products!$A$2:$A$21, Products!$B$2:$B$21, "Not Found")</f>
        <v>Smartphone 256GB</v>
      </c>
      <c r="G528" t="str">
        <f>_xlfn.XLOOKUP(D528, Products!$A$2:$A$21, Products!$C$2:$C$21,"not found")</f>
        <v>Phones</v>
      </c>
      <c r="H528" s="4">
        <f>_xlfn.XLOOKUP(D528, Products!$A$2:$A$21, Products!$E$2:$E$21, 0)</f>
        <v>1499</v>
      </c>
      <c r="I528" s="4">
        <f>_xlfn.XLOOKUP(D528, Products!$A$2:$A$21, Products!$F$2:$F$21,0)</f>
        <v>1180</v>
      </c>
      <c r="J528" t="str">
        <f>_xlfn.XLOOKUP(C528, Stores!$A$2:$A$7, Stores!$D$2:$D$7)</f>
        <v>Sydney West</v>
      </c>
      <c r="K528" s="4">
        <f t="shared" si="16"/>
        <v>1499</v>
      </c>
      <c r="L528" s="4">
        <f t="shared" si="17"/>
        <v>319</v>
      </c>
      <c r="M528" s="10">
        <f>IF(Table1[[#This Row],[Revenue]]=0, "", Table1[[#This Row],[Profit]]/Table1[[#This Row],[Revenue]])</f>
        <v>0.21280853902601735</v>
      </c>
      <c r="N528" s="4" t="str">
        <f>IF(Table1[[#This Row],[Margin]]="", "check", IF(Table1[[#This Row],[Margin]]&lt;0.2, "Low", "OK"))</f>
        <v>OK</v>
      </c>
      <c r="O528" s="4" t="str" cm="1">
        <f t="array" ref="O528">_xlfn.IFS(Table1[[#This Row],[Revenue]]=0, "Check", Table1[[#This Row],[Revenue]]&gt;=1000, "Large", Table1[[#This Row],[Revenue]]&gt;=200, "Medium", TRUE, "Small")</f>
        <v>Large</v>
      </c>
      <c r="P528" s="4" t="str">
        <f>IF(AND(Table1[[#This Row],[Margin Flag]]="Low", Table1[[#This Row],[Revenue]]&gt;1000), "Review", "")</f>
        <v/>
      </c>
      <c r="Q528" s="4" t="str">
        <f>IF(OR(Table1[[#This Row],[Qty]]&gt;=5,Table1[[#This Row],[Order Size]] = "Large" ), "Bulk", "")</f>
        <v>Bulk</v>
      </c>
      <c r="R528" s="10">
        <f>_xlfn.XLOOKUP(G528, Lookup!$A$2:$A$7, Lookup!$B$2:$B$7, "")</f>
        <v>0.25</v>
      </c>
      <c r="S528" s="4" t="str">
        <f>IF(Table1[[#This Row],[Margin]]&lt;Table1[[#This Row],[Target Margin]], "Yes", "")</f>
        <v>Yes</v>
      </c>
    </row>
    <row r="529" spans="1:19">
      <c r="A529" t="s">
        <v>574</v>
      </c>
      <c r="B529" s="2">
        <v>46284</v>
      </c>
      <c r="C529" t="s">
        <v>57</v>
      </c>
      <c r="D529" t="s">
        <v>30</v>
      </c>
      <c r="E529">
        <v>1</v>
      </c>
      <c r="F529" t="str">
        <f>_xlfn.XLOOKUP(D529, Products!$A$2:$A$21, Products!$B$2:$B$21, "Not Found")</f>
        <v>Video Game</v>
      </c>
      <c r="G529" t="str">
        <f>_xlfn.XLOOKUP(D529, Products!$A$2:$A$21, Products!$C$2:$C$21,"not found")</f>
        <v>Gaming</v>
      </c>
      <c r="H529" s="4">
        <f>_xlfn.XLOOKUP(D529, Products!$A$2:$A$21, Products!$E$2:$E$21, 0)</f>
        <v>79</v>
      </c>
      <c r="I529" s="4">
        <f>_xlfn.XLOOKUP(D529, Products!$A$2:$A$21, Products!$F$2:$F$21,0)</f>
        <v>52</v>
      </c>
      <c r="J529" t="str">
        <f>_xlfn.XLOOKUP(C529, Stores!$A$2:$A$7, Stores!$D$2:$D$7)</f>
        <v>Sydney South</v>
      </c>
      <c r="K529" s="4">
        <f t="shared" si="16"/>
        <v>79</v>
      </c>
      <c r="L529" s="4">
        <f t="shared" si="17"/>
        <v>27</v>
      </c>
      <c r="M529" s="10">
        <f>IF(Table1[[#This Row],[Revenue]]=0, "", Table1[[#This Row],[Profit]]/Table1[[#This Row],[Revenue]])</f>
        <v>0.34177215189873417</v>
      </c>
      <c r="N529" s="4" t="str">
        <f>IF(Table1[[#This Row],[Margin]]="", "check", IF(Table1[[#This Row],[Margin]]&lt;0.2, "Low", "OK"))</f>
        <v>OK</v>
      </c>
      <c r="O529" s="4" t="str" cm="1">
        <f t="array" ref="O529">_xlfn.IFS(Table1[[#This Row],[Revenue]]=0, "Check", Table1[[#This Row],[Revenue]]&gt;=1000, "Large", Table1[[#This Row],[Revenue]]&gt;=200, "Medium", TRUE, "Small")</f>
        <v>Small</v>
      </c>
      <c r="P529" s="4" t="str">
        <f>IF(AND(Table1[[#This Row],[Margin Flag]]="Low", Table1[[#This Row],[Revenue]]&gt;1000), "Review", "")</f>
        <v/>
      </c>
      <c r="Q529" s="4" t="str">
        <f>IF(OR(Table1[[#This Row],[Qty]]&gt;=5,Table1[[#This Row],[Order Size]] = "Large" ), "Bulk", "")</f>
        <v/>
      </c>
      <c r="R529" s="10">
        <f>_xlfn.XLOOKUP(G529, Lookup!$A$2:$A$7, Lookup!$B$2:$B$7, "")</f>
        <v>0.08</v>
      </c>
      <c r="S529" s="4" t="str">
        <f>IF(Table1[[#This Row],[Margin]]&lt;Table1[[#This Row],[Target Margin]], "Yes", "")</f>
        <v/>
      </c>
    </row>
    <row r="530" spans="1:19">
      <c r="A530" t="s">
        <v>575</v>
      </c>
      <c r="B530" s="2">
        <v>46284</v>
      </c>
      <c r="C530" t="s">
        <v>23</v>
      </c>
      <c r="D530" t="s">
        <v>152</v>
      </c>
      <c r="E530">
        <v>1</v>
      </c>
      <c r="F530" t="str">
        <f>_xlfn.XLOOKUP(D530, Products!$A$2:$A$21, Products!$B$2:$B$21, "Not Found")</f>
        <v>Game Console</v>
      </c>
      <c r="G530" t="str">
        <f>_xlfn.XLOOKUP(D530, Products!$A$2:$A$21, Products!$C$2:$C$21,"not found")</f>
        <v>Gaming</v>
      </c>
      <c r="H530" s="4">
        <f>_xlfn.XLOOKUP(D530, Products!$A$2:$A$21, Products!$E$2:$E$21, 0)</f>
        <v>499</v>
      </c>
      <c r="I530" s="4">
        <f>_xlfn.XLOOKUP(D530, Products!$A$2:$A$21, Products!$F$2:$F$21,0)</f>
        <v>420</v>
      </c>
      <c r="J530" t="str">
        <f>_xlfn.XLOOKUP(C530, Stores!$A$2:$A$7, Stores!$D$2:$D$7)</f>
        <v>Sydney East</v>
      </c>
      <c r="K530" s="4">
        <f t="shared" si="16"/>
        <v>499</v>
      </c>
      <c r="L530" s="4">
        <f t="shared" si="17"/>
        <v>79</v>
      </c>
      <c r="M530" s="10">
        <f>IF(Table1[[#This Row],[Revenue]]=0, "", Table1[[#This Row],[Profit]]/Table1[[#This Row],[Revenue]])</f>
        <v>0.15831663326653306</v>
      </c>
      <c r="N530" s="4" t="str">
        <f>IF(Table1[[#This Row],[Margin]]="", "check", IF(Table1[[#This Row],[Margin]]&lt;0.2, "Low", "OK"))</f>
        <v>Low</v>
      </c>
      <c r="O530" s="4" t="str" cm="1">
        <f t="array" ref="O530">_xlfn.IFS(Table1[[#This Row],[Revenue]]=0, "Check", Table1[[#This Row],[Revenue]]&gt;=1000, "Large", Table1[[#This Row],[Revenue]]&gt;=200, "Medium", TRUE, "Small")</f>
        <v>Medium</v>
      </c>
      <c r="P530" s="4" t="str">
        <f>IF(AND(Table1[[#This Row],[Margin Flag]]="Low", Table1[[#This Row],[Revenue]]&gt;1000), "Review", "")</f>
        <v/>
      </c>
      <c r="Q530" s="4" t="str">
        <f>IF(OR(Table1[[#This Row],[Qty]]&gt;=5,Table1[[#This Row],[Order Size]] = "Large" ), "Bulk", "")</f>
        <v/>
      </c>
      <c r="R530" s="10">
        <f>_xlfn.XLOOKUP(G530, Lookup!$A$2:$A$7, Lookup!$B$2:$B$7, "")</f>
        <v>0.08</v>
      </c>
      <c r="S530" s="4" t="str">
        <f>IF(Table1[[#This Row],[Margin]]&lt;Table1[[#This Row],[Target Margin]], "Yes", "")</f>
        <v/>
      </c>
    </row>
    <row r="531" spans="1:19">
      <c r="A531" t="s">
        <v>576</v>
      </c>
      <c r="B531" s="2">
        <v>46284</v>
      </c>
      <c r="C531" t="s">
        <v>32</v>
      </c>
      <c r="D531" t="s">
        <v>60</v>
      </c>
      <c r="E531">
        <v>1</v>
      </c>
      <c r="F531" t="str">
        <f>_xlfn.XLOOKUP(D531, Products!$A$2:$A$21, Products!$B$2:$B$21, "Not Found")</f>
        <v>55in TV</v>
      </c>
      <c r="G531" t="str">
        <f>_xlfn.XLOOKUP(D531, Products!$A$2:$A$21, Products!$C$2:$C$21,"not found")</f>
        <v>TV</v>
      </c>
      <c r="H531" s="4">
        <f>_xlfn.XLOOKUP(D531, Products!$A$2:$A$21, Products!$E$2:$E$21, 0)</f>
        <v>1299</v>
      </c>
      <c r="I531" s="4">
        <f>_xlfn.XLOOKUP(D531, Products!$A$2:$A$21, Products!$F$2:$F$21,0)</f>
        <v>980</v>
      </c>
      <c r="J531" t="str">
        <f>_xlfn.XLOOKUP(C531, Stores!$A$2:$A$7, Stores!$D$2:$D$7)</f>
        <v>Sydney South</v>
      </c>
      <c r="K531" s="4">
        <f t="shared" si="16"/>
        <v>1299</v>
      </c>
      <c r="L531" s="4">
        <f t="shared" si="17"/>
        <v>319</v>
      </c>
      <c r="M531" s="10">
        <f>IF(Table1[[#This Row],[Revenue]]=0, "", Table1[[#This Row],[Profit]]/Table1[[#This Row],[Revenue]])</f>
        <v>0.2455735180908391</v>
      </c>
      <c r="N531" s="4" t="str">
        <f>IF(Table1[[#This Row],[Margin]]="", "check", IF(Table1[[#This Row],[Margin]]&lt;0.2, "Low", "OK"))</f>
        <v>OK</v>
      </c>
      <c r="O531" s="4" t="str" cm="1">
        <f t="array" ref="O531">_xlfn.IFS(Table1[[#This Row],[Revenue]]=0, "Check", Table1[[#This Row],[Revenue]]&gt;=1000, "Large", Table1[[#This Row],[Revenue]]&gt;=200, "Medium", TRUE, "Small")</f>
        <v>Large</v>
      </c>
      <c r="P531" s="4" t="str">
        <f>IF(AND(Table1[[#This Row],[Margin Flag]]="Low", Table1[[#This Row],[Revenue]]&gt;1000), "Review", "")</f>
        <v/>
      </c>
      <c r="Q531" s="4" t="str">
        <f>IF(OR(Table1[[#This Row],[Qty]]&gt;=5,Table1[[#This Row],[Order Size]] = "Large" ), "Bulk", "")</f>
        <v>Bulk</v>
      </c>
      <c r="R531" s="10">
        <f>_xlfn.XLOOKUP(G531, Lookup!$A$2:$A$7, Lookup!$B$2:$B$7, "")</f>
        <v>0.25</v>
      </c>
      <c r="S531" s="4" t="str">
        <f>IF(Table1[[#This Row],[Margin]]&lt;Table1[[#This Row],[Target Margin]], "Yes", "")</f>
        <v>Yes</v>
      </c>
    </row>
    <row r="532" spans="1:19">
      <c r="A532" t="s">
        <v>577</v>
      </c>
      <c r="B532" s="2">
        <v>46284</v>
      </c>
      <c r="C532" t="s">
        <v>29</v>
      </c>
      <c r="D532" t="s">
        <v>152</v>
      </c>
      <c r="E532">
        <v>1</v>
      </c>
      <c r="F532" t="str">
        <f>_xlfn.XLOOKUP(D532, Products!$A$2:$A$21, Products!$B$2:$B$21, "Not Found")</f>
        <v>Game Console</v>
      </c>
      <c r="G532" t="str">
        <f>_xlfn.XLOOKUP(D532, Products!$A$2:$A$21, Products!$C$2:$C$21,"not found")</f>
        <v>Gaming</v>
      </c>
      <c r="H532" s="4">
        <f>_xlfn.XLOOKUP(D532, Products!$A$2:$A$21, Products!$E$2:$E$21, 0)</f>
        <v>499</v>
      </c>
      <c r="I532" s="4">
        <f>_xlfn.XLOOKUP(D532, Products!$A$2:$A$21, Products!$F$2:$F$21,0)</f>
        <v>420</v>
      </c>
      <c r="J532" t="str">
        <f>_xlfn.XLOOKUP(C532, Stores!$A$2:$A$7, Stores!$D$2:$D$7)</f>
        <v>Sydney West</v>
      </c>
      <c r="K532" s="4">
        <f t="shared" si="16"/>
        <v>499</v>
      </c>
      <c r="L532" s="4">
        <f t="shared" si="17"/>
        <v>79</v>
      </c>
      <c r="M532" s="10">
        <f>IF(Table1[[#This Row],[Revenue]]=0, "", Table1[[#This Row],[Profit]]/Table1[[#This Row],[Revenue]])</f>
        <v>0.15831663326653306</v>
      </c>
      <c r="N532" s="4" t="str">
        <f>IF(Table1[[#This Row],[Margin]]="", "check", IF(Table1[[#This Row],[Margin]]&lt;0.2, "Low", "OK"))</f>
        <v>Low</v>
      </c>
      <c r="O532" s="4" t="str" cm="1">
        <f t="array" ref="O532">_xlfn.IFS(Table1[[#This Row],[Revenue]]=0, "Check", Table1[[#This Row],[Revenue]]&gt;=1000, "Large", Table1[[#This Row],[Revenue]]&gt;=200, "Medium", TRUE, "Small")</f>
        <v>Medium</v>
      </c>
      <c r="P532" s="4" t="str">
        <f>IF(AND(Table1[[#This Row],[Margin Flag]]="Low", Table1[[#This Row],[Revenue]]&gt;1000), "Review", "")</f>
        <v/>
      </c>
      <c r="Q532" s="4" t="str">
        <f>IF(OR(Table1[[#This Row],[Qty]]&gt;=5,Table1[[#This Row],[Order Size]] = "Large" ), "Bulk", "")</f>
        <v/>
      </c>
      <c r="R532" s="10">
        <f>_xlfn.XLOOKUP(G532, Lookup!$A$2:$A$7, Lookup!$B$2:$B$7, "")</f>
        <v>0.08</v>
      </c>
      <c r="S532" s="4" t="str">
        <f>IF(Table1[[#This Row],[Margin]]&lt;Table1[[#This Row],[Target Margin]], "Yes", "")</f>
        <v/>
      </c>
    </row>
    <row r="533" spans="1:19">
      <c r="A533" t="s">
        <v>578</v>
      </c>
      <c r="B533" s="2">
        <v>46284</v>
      </c>
      <c r="C533" t="s">
        <v>29</v>
      </c>
      <c r="D533" t="s">
        <v>21</v>
      </c>
      <c r="E533">
        <v>3</v>
      </c>
      <c r="F533" t="str">
        <f>_xlfn.XLOOKUP(D533, Products!$A$2:$A$21, Products!$B$2:$B$21, "Not Found")</f>
        <v>Gaming Mouse</v>
      </c>
      <c r="G533" t="str">
        <f>_xlfn.XLOOKUP(D533, Products!$A$2:$A$21, Products!$C$2:$C$21,"not found")</f>
        <v>Accessories</v>
      </c>
      <c r="H533" s="4">
        <f>_xlfn.XLOOKUP(D533, Products!$A$2:$A$21, Products!$E$2:$E$21, 0)</f>
        <v>89</v>
      </c>
      <c r="I533" s="4">
        <f>_xlfn.XLOOKUP(D533, Products!$A$2:$A$21, Products!$F$2:$F$21,0)</f>
        <v>41</v>
      </c>
      <c r="J533" t="str">
        <f>_xlfn.XLOOKUP(C533, Stores!$A$2:$A$7, Stores!$D$2:$D$7)</f>
        <v>Sydney West</v>
      </c>
      <c r="K533" s="4">
        <f t="shared" si="16"/>
        <v>267</v>
      </c>
      <c r="L533" s="4">
        <f t="shared" si="17"/>
        <v>144</v>
      </c>
      <c r="M533" s="10">
        <f>IF(Table1[[#This Row],[Revenue]]=0, "", Table1[[#This Row],[Profit]]/Table1[[#This Row],[Revenue]])</f>
        <v>0.5393258426966292</v>
      </c>
      <c r="N533" s="4" t="str">
        <f>IF(Table1[[#This Row],[Margin]]="", "check", IF(Table1[[#This Row],[Margin]]&lt;0.2, "Low", "OK"))</f>
        <v>OK</v>
      </c>
      <c r="O533" s="4" t="str" cm="1">
        <f t="array" ref="O533">_xlfn.IFS(Table1[[#This Row],[Revenue]]=0, "Check", Table1[[#This Row],[Revenue]]&gt;=1000, "Large", Table1[[#This Row],[Revenue]]&gt;=200, "Medium", TRUE, "Small")</f>
        <v>Medium</v>
      </c>
      <c r="P533" s="4" t="str">
        <f>IF(AND(Table1[[#This Row],[Margin Flag]]="Low", Table1[[#This Row],[Revenue]]&gt;1000), "Review", "")</f>
        <v/>
      </c>
      <c r="Q533" s="4" t="str">
        <f>IF(OR(Table1[[#This Row],[Qty]]&gt;=5,Table1[[#This Row],[Order Size]] = "Large" ), "Bulk", "")</f>
        <v/>
      </c>
      <c r="R533" s="10">
        <f>_xlfn.XLOOKUP(G533, Lookup!$A$2:$A$7, Lookup!$B$2:$B$7, "")</f>
        <v>0.25</v>
      </c>
      <c r="S533" s="4" t="str">
        <f>IF(Table1[[#This Row],[Margin]]&lt;Table1[[#This Row],[Target Margin]], "Yes", "")</f>
        <v/>
      </c>
    </row>
    <row r="534" spans="1:19">
      <c r="A534" t="s">
        <v>579</v>
      </c>
      <c r="B534" s="2">
        <v>46284</v>
      </c>
      <c r="C534" t="s">
        <v>20</v>
      </c>
      <c r="D534" t="s">
        <v>21</v>
      </c>
      <c r="E534">
        <v>1</v>
      </c>
      <c r="F534" t="str">
        <f>_xlfn.XLOOKUP(D534, Products!$A$2:$A$21, Products!$B$2:$B$21, "Not Found")</f>
        <v>Gaming Mouse</v>
      </c>
      <c r="G534" t="str">
        <f>_xlfn.XLOOKUP(D534, Products!$A$2:$A$21, Products!$C$2:$C$21,"not found")</f>
        <v>Accessories</v>
      </c>
      <c r="H534" s="4">
        <f>_xlfn.XLOOKUP(D534, Products!$A$2:$A$21, Products!$E$2:$E$21, 0)</f>
        <v>89</v>
      </c>
      <c r="I534" s="4">
        <f>_xlfn.XLOOKUP(D534, Products!$A$2:$A$21, Products!$F$2:$F$21,0)</f>
        <v>41</v>
      </c>
      <c r="J534" t="str">
        <f>_xlfn.XLOOKUP(C534, Stores!$A$2:$A$7, Stores!$D$2:$D$7)</f>
        <v>Sydney West</v>
      </c>
      <c r="K534" s="4">
        <f t="shared" si="16"/>
        <v>89</v>
      </c>
      <c r="L534" s="4">
        <f t="shared" si="17"/>
        <v>48</v>
      </c>
      <c r="M534" s="10">
        <f>IF(Table1[[#This Row],[Revenue]]=0, "", Table1[[#This Row],[Profit]]/Table1[[#This Row],[Revenue]])</f>
        <v>0.5393258426966292</v>
      </c>
      <c r="N534" s="4" t="str">
        <f>IF(Table1[[#This Row],[Margin]]="", "check", IF(Table1[[#This Row],[Margin]]&lt;0.2, "Low", "OK"))</f>
        <v>OK</v>
      </c>
      <c r="O534" s="4" t="str" cm="1">
        <f t="array" ref="O534">_xlfn.IFS(Table1[[#This Row],[Revenue]]=0, "Check", Table1[[#This Row],[Revenue]]&gt;=1000, "Large", Table1[[#This Row],[Revenue]]&gt;=200, "Medium", TRUE, "Small")</f>
        <v>Small</v>
      </c>
      <c r="P534" s="4" t="str">
        <f>IF(AND(Table1[[#This Row],[Margin Flag]]="Low", Table1[[#This Row],[Revenue]]&gt;1000), "Review", "")</f>
        <v/>
      </c>
      <c r="Q534" s="4" t="str">
        <f>IF(OR(Table1[[#This Row],[Qty]]&gt;=5,Table1[[#This Row],[Order Size]] = "Large" ), "Bulk", "")</f>
        <v/>
      </c>
      <c r="R534" s="10">
        <f>_xlfn.XLOOKUP(G534, Lookup!$A$2:$A$7, Lookup!$B$2:$B$7, "")</f>
        <v>0.25</v>
      </c>
      <c r="S534" s="4" t="str">
        <f>IF(Table1[[#This Row],[Margin]]&lt;Table1[[#This Row],[Target Margin]], "Yes", "")</f>
        <v/>
      </c>
    </row>
    <row r="535" spans="1:19">
      <c r="A535" t="s">
        <v>580</v>
      </c>
      <c r="B535" s="2">
        <v>46284</v>
      </c>
      <c r="C535" t="s">
        <v>57</v>
      </c>
      <c r="D535" t="s">
        <v>35</v>
      </c>
      <c r="E535">
        <v>1</v>
      </c>
      <c r="F535" t="str">
        <f>_xlfn.XLOOKUP(D535, Products!$A$2:$A$21, Products!$B$2:$B$21, "Not Found")</f>
        <v>Phone Case</v>
      </c>
      <c r="G535" t="str">
        <f>_xlfn.XLOOKUP(D535, Products!$A$2:$A$21, Products!$C$2:$C$21,"not found")</f>
        <v>Accessories</v>
      </c>
      <c r="H535" s="4">
        <f>_xlfn.XLOOKUP(D535, Products!$A$2:$A$21, Products!$E$2:$E$21, 0)</f>
        <v>39</v>
      </c>
      <c r="I535" s="4">
        <f>_xlfn.XLOOKUP(D535, Products!$A$2:$A$21, Products!$F$2:$F$21,0)</f>
        <v>9</v>
      </c>
      <c r="J535" t="str">
        <f>_xlfn.XLOOKUP(C535, Stores!$A$2:$A$7, Stores!$D$2:$D$7)</f>
        <v>Sydney South</v>
      </c>
      <c r="K535" s="4">
        <f t="shared" si="16"/>
        <v>39</v>
      </c>
      <c r="L535" s="4">
        <f t="shared" si="17"/>
        <v>30</v>
      </c>
      <c r="M535" s="10">
        <f>IF(Table1[[#This Row],[Revenue]]=0, "", Table1[[#This Row],[Profit]]/Table1[[#This Row],[Revenue]])</f>
        <v>0.76923076923076927</v>
      </c>
      <c r="N535" s="4" t="str">
        <f>IF(Table1[[#This Row],[Margin]]="", "check", IF(Table1[[#This Row],[Margin]]&lt;0.2, "Low", "OK"))</f>
        <v>OK</v>
      </c>
      <c r="O535" s="4" t="str" cm="1">
        <f t="array" ref="O535">_xlfn.IFS(Table1[[#This Row],[Revenue]]=0, "Check", Table1[[#This Row],[Revenue]]&gt;=1000, "Large", Table1[[#This Row],[Revenue]]&gt;=200, "Medium", TRUE, "Small")</f>
        <v>Small</v>
      </c>
      <c r="P535" s="4" t="str">
        <f>IF(AND(Table1[[#This Row],[Margin Flag]]="Low", Table1[[#This Row],[Revenue]]&gt;1000), "Review", "")</f>
        <v/>
      </c>
      <c r="Q535" s="4" t="str">
        <f>IF(OR(Table1[[#This Row],[Qty]]&gt;=5,Table1[[#This Row],[Order Size]] = "Large" ), "Bulk", "")</f>
        <v/>
      </c>
      <c r="R535" s="10">
        <f>_xlfn.XLOOKUP(G535, Lookup!$A$2:$A$7, Lookup!$B$2:$B$7, "")</f>
        <v>0.25</v>
      </c>
      <c r="S535" s="4" t="str">
        <f>IF(Table1[[#This Row],[Margin]]&lt;Table1[[#This Row],[Target Margin]], "Yes", "")</f>
        <v/>
      </c>
    </row>
    <row r="536" spans="1:19">
      <c r="A536" t="s">
        <v>581</v>
      </c>
      <c r="B536" s="2">
        <v>46284</v>
      </c>
      <c r="C536" t="s">
        <v>26</v>
      </c>
      <c r="D536" t="s">
        <v>24</v>
      </c>
      <c r="E536">
        <v>1</v>
      </c>
      <c r="F536" t="str">
        <f>_xlfn.XLOOKUP(D536, Products!$A$2:$A$21, Products!$B$2:$B$21, "Not Found")</f>
        <v>Wireless Earbuds</v>
      </c>
      <c r="G536" t="str">
        <f>_xlfn.XLOOKUP(D536, Products!$A$2:$A$21, Products!$C$2:$C$21,"not found")</f>
        <v>Audio</v>
      </c>
      <c r="H536" s="4">
        <f>_xlfn.XLOOKUP(D536, Products!$A$2:$A$21, Products!$E$2:$E$21, 0)</f>
        <v>249</v>
      </c>
      <c r="I536" s="4">
        <f>_xlfn.XLOOKUP(D536, Products!$A$2:$A$21, Products!$F$2:$F$21,0)</f>
        <v>140</v>
      </c>
      <c r="J536" t="str">
        <f>_xlfn.XLOOKUP(C536, Stores!$A$2:$A$7, Stores!$D$2:$D$7)</f>
        <v>Sydney North</v>
      </c>
      <c r="K536" s="4">
        <f t="shared" si="16"/>
        <v>249</v>
      </c>
      <c r="L536" s="4">
        <f t="shared" si="17"/>
        <v>109</v>
      </c>
      <c r="M536" s="10">
        <f>IF(Table1[[#This Row],[Revenue]]=0, "", Table1[[#This Row],[Profit]]/Table1[[#This Row],[Revenue]])</f>
        <v>0.43775100401606426</v>
      </c>
      <c r="N536" s="4" t="str">
        <f>IF(Table1[[#This Row],[Margin]]="", "check", IF(Table1[[#This Row],[Margin]]&lt;0.2, "Low", "OK"))</f>
        <v>OK</v>
      </c>
      <c r="O536" s="4" t="str" cm="1">
        <f t="array" ref="O536">_xlfn.IFS(Table1[[#This Row],[Revenue]]=0, "Check", Table1[[#This Row],[Revenue]]&gt;=1000, "Large", Table1[[#This Row],[Revenue]]&gt;=200, "Medium", TRUE, "Small")</f>
        <v>Medium</v>
      </c>
      <c r="P536" s="4" t="str">
        <f>IF(AND(Table1[[#This Row],[Margin Flag]]="Low", Table1[[#This Row],[Revenue]]&gt;1000), "Review", "")</f>
        <v/>
      </c>
      <c r="Q536" s="4" t="str">
        <f>IF(OR(Table1[[#This Row],[Qty]]&gt;=5,Table1[[#This Row],[Order Size]] = "Large" ), "Bulk", "")</f>
        <v/>
      </c>
      <c r="R536" s="10">
        <f>_xlfn.XLOOKUP(G536, Lookup!$A$2:$A$7, Lookup!$B$2:$B$7, "")</f>
        <v>0.25</v>
      </c>
      <c r="S536" s="4" t="str">
        <f>IF(Table1[[#This Row],[Margin]]&lt;Table1[[#This Row],[Target Margin]], "Yes", "")</f>
        <v/>
      </c>
    </row>
    <row r="537" spans="1:19">
      <c r="A537" t="s">
        <v>582</v>
      </c>
      <c r="B537" s="2">
        <v>46284</v>
      </c>
      <c r="C537" t="s">
        <v>23</v>
      </c>
      <c r="D537" t="s">
        <v>38</v>
      </c>
      <c r="E537">
        <v>1</v>
      </c>
      <c r="F537" t="str">
        <f>_xlfn.XLOOKUP(D537, Products!$A$2:$A$21, Products!$B$2:$B$21, "Not Found")</f>
        <v>USB-C Charger</v>
      </c>
      <c r="G537" t="str">
        <f>_xlfn.XLOOKUP(D537, Products!$A$2:$A$21, Products!$C$2:$C$21,"not found")</f>
        <v>Accessories</v>
      </c>
      <c r="H537" s="4">
        <f>_xlfn.XLOOKUP(D537, Products!$A$2:$A$21, Products!$E$2:$E$21, 0)</f>
        <v>49</v>
      </c>
      <c r="I537" s="4">
        <f>_xlfn.XLOOKUP(D537, Products!$A$2:$A$21, Products!$F$2:$F$21,0)</f>
        <v>14</v>
      </c>
      <c r="J537" t="str">
        <f>_xlfn.XLOOKUP(C537, Stores!$A$2:$A$7, Stores!$D$2:$D$7)</f>
        <v>Sydney East</v>
      </c>
      <c r="K537" s="4">
        <f t="shared" si="16"/>
        <v>49</v>
      </c>
      <c r="L537" s="4">
        <f t="shared" si="17"/>
        <v>35</v>
      </c>
      <c r="M537" s="10">
        <f>IF(Table1[[#This Row],[Revenue]]=0, "", Table1[[#This Row],[Profit]]/Table1[[#This Row],[Revenue]])</f>
        <v>0.7142857142857143</v>
      </c>
      <c r="N537" s="4" t="str">
        <f>IF(Table1[[#This Row],[Margin]]="", "check", IF(Table1[[#This Row],[Margin]]&lt;0.2, "Low", "OK"))</f>
        <v>OK</v>
      </c>
      <c r="O537" s="4" t="str" cm="1">
        <f t="array" ref="O537">_xlfn.IFS(Table1[[#This Row],[Revenue]]=0, "Check", Table1[[#This Row],[Revenue]]&gt;=1000, "Large", Table1[[#This Row],[Revenue]]&gt;=200, "Medium", TRUE, "Small")</f>
        <v>Small</v>
      </c>
      <c r="P537" s="4" t="str">
        <f>IF(AND(Table1[[#This Row],[Margin Flag]]="Low", Table1[[#This Row],[Revenue]]&gt;1000), "Review", "")</f>
        <v/>
      </c>
      <c r="Q537" s="4" t="str">
        <f>IF(OR(Table1[[#This Row],[Qty]]&gt;=5,Table1[[#This Row],[Order Size]] = "Large" ), "Bulk", "")</f>
        <v/>
      </c>
      <c r="R537" s="10">
        <f>_xlfn.XLOOKUP(G537, Lookup!$A$2:$A$7, Lookup!$B$2:$B$7, "")</f>
        <v>0.25</v>
      </c>
      <c r="S537" s="4" t="str">
        <f>IF(Table1[[#This Row],[Margin]]&lt;Table1[[#This Row],[Target Margin]], "Yes", "")</f>
        <v/>
      </c>
    </row>
    <row r="538" spans="1:19">
      <c r="A538" t="s">
        <v>583</v>
      </c>
      <c r="B538" s="2">
        <v>46285</v>
      </c>
      <c r="C538" t="s">
        <v>20</v>
      </c>
      <c r="D538" t="s">
        <v>58</v>
      </c>
      <c r="E538">
        <v>1</v>
      </c>
      <c r="F538" t="str">
        <f>_xlfn.XLOOKUP(D538, Products!$A$2:$A$21, Products!$B$2:$B$21, "Not Found")</f>
        <v>Mech Keyboard</v>
      </c>
      <c r="G538" t="str">
        <f>_xlfn.XLOOKUP(D538, Products!$A$2:$A$21, Products!$C$2:$C$21,"not found")</f>
        <v>Accessories</v>
      </c>
      <c r="H538" s="4">
        <f>_xlfn.XLOOKUP(D538, Products!$A$2:$A$21, Products!$E$2:$E$21, 0)</f>
        <v>149</v>
      </c>
      <c r="I538" s="4">
        <f>_xlfn.XLOOKUP(D538, Products!$A$2:$A$21, Products!$F$2:$F$21,0)</f>
        <v>72</v>
      </c>
      <c r="J538" t="str">
        <f>_xlfn.XLOOKUP(C538, Stores!$A$2:$A$7, Stores!$D$2:$D$7)</f>
        <v>Sydney West</v>
      </c>
      <c r="K538" s="4">
        <f t="shared" si="16"/>
        <v>149</v>
      </c>
      <c r="L538" s="4">
        <f t="shared" si="17"/>
        <v>77</v>
      </c>
      <c r="M538" s="10">
        <f>IF(Table1[[#This Row],[Revenue]]=0, "", Table1[[#This Row],[Profit]]/Table1[[#This Row],[Revenue]])</f>
        <v>0.51677852348993292</v>
      </c>
      <c r="N538" s="4" t="str">
        <f>IF(Table1[[#This Row],[Margin]]="", "check", IF(Table1[[#This Row],[Margin]]&lt;0.2, "Low", "OK"))</f>
        <v>OK</v>
      </c>
      <c r="O538" s="4" t="str" cm="1">
        <f t="array" ref="O538">_xlfn.IFS(Table1[[#This Row],[Revenue]]=0, "Check", Table1[[#This Row],[Revenue]]&gt;=1000, "Large", Table1[[#This Row],[Revenue]]&gt;=200, "Medium", TRUE, "Small")</f>
        <v>Small</v>
      </c>
      <c r="P538" s="4" t="str">
        <f>IF(AND(Table1[[#This Row],[Margin Flag]]="Low", Table1[[#This Row],[Revenue]]&gt;1000), "Review", "")</f>
        <v/>
      </c>
      <c r="Q538" s="4" t="str">
        <f>IF(OR(Table1[[#This Row],[Qty]]&gt;=5,Table1[[#This Row],[Order Size]] = "Large" ), "Bulk", "")</f>
        <v/>
      </c>
      <c r="R538" s="10">
        <f>_xlfn.XLOOKUP(G538, Lookup!$A$2:$A$7, Lookup!$B$2:$B$7, "")</f>
        <v>0.25</v>
      </c>
      <c r="S538" s="4" t="str">
        <f>IF(Table1[[#This Row],[Margin]]&lt;Table1[[#This Row],[Target Margin]], "Yes", "")</f>
        <v/>
      </c>
    </row>
    <row r="539" spans="1:19">
      <c r="A539" t="s">
        <v>584</v>
      </c>
      <c r="B539" s="2">
        <v>46285</v>
      </c>
      <c r="C539" t="s">
        <v>20</v>
      </c>
      <c r="D539" t="s">
        <v>69</v>
      </c>
      <c r="E539">
        <v>2</v>
      </c>
      <c r="F539" t="str">
        <f>_xlfn.XLOOKUP(D539, Products!$A$2:$A$21, Products!$B$2:$B$21, "Not Found")</f>
        <v>27in Monitor</v>
      </c>
      <c r="G539" t="str">
        <f>_xlfn.XLOOKUP(D539, Products!$A$2:$A$21, Products!$C$2:$C$21,"not found")</f>
        <v>Computers</v>
      </c>
      <c r="H539" s="4">
        <f>_xlfn.XLOOKUP(D539, Products!$A$2:$A$21, Products!$E$2:$E$21, 0)</f>
        <v>399</v>
      </c>
      <c r="I539" s="4">
        <f>_xlfn.XLOOKUP(D539, Products!$A$2:$A$21, Products!$F$2:$F$21,0)</f>
        <v>290</v>
      </c>
      <c r="J539" t="str">
        <f>_xlfn.XLOOKUP(C539, Stores!$A$2:$A$7, Stores!$D$2:$D$7)</f>
        <v>Sydney West</v>
      </c>
      <c r="K539" s="4">
        <f t="shared" si="16"/>
        <v>798</v>
      </c>
      <c r="L539" s="4">
        <f t="shared" si="17"/>
        <v>218</v>
      </c>
      <c r="M539" s="10">
        <f>IF(Table1[[#This Row],[Revenue]]=0, "", Table1[[#This Row],[Profit]]/Table1[[#This Row],[Revenue]])</f>
        <v>0.27318295739348369</v>
      </c>
      <c r="N539" s="4" t="str">
        <f>IF(Table1[[#This Row],[Margin]]="", "check", IF(Table1[[#This Row],[Margin]]&lt;0.2, "Low", "OK"))</f>
        <v>OK</v>
      </c>
      <c r="O539" s="4" t="str" cm="1">
        <f t="array" ref="O539">_xlfn.IFS(Table1[[#This Row],[Revenue]]=0, "Check", Table1[[#This Row],[Revenue]]&gt;=1000, "Large", Table1[[#This Row],[Revenue]]&gt;=200, "Medium", TRUE, "Small")</f>
        <v>Medium</v>
      </c>
      <c r="P539" s="4" t="str">
        <f>IF(AND(Table1[[#This Row],[Margin Flag]]="Low", Table1[[#This Row],[Revenue]]&gt;1000), "Review", "")</f>
        <v/>
      </c>
      <c r="Q539" s="4" t="str">
        <f>IF(OR(Table1[[#This Row],[Qty]]&gt;=5,Table1[[#This Row],[Order Size]] = "Large" ), "Bulk", "")</f>
        <v/>
      </c>
      <c r="R539" s="10">
        <f>_xlfn.XLOOKUP(G539, Lookup!$A$2:$A$7, Lookup!$B$2:$B$7, "")</f>
        <v>0.25</v>
      </c>
      <c r="S539" s="4" t="str">
        <f>IF(Table1[[#This Row],[Margin]]&lt;Table1[[#This Row],[Target Margin]], "Yes", "")</f>
        <v/>
      </c>
    </row>
    <row r="540" spans="1:19">
      <c r="A540" t="s">
        <v>585</v>
      </c>
      <c r="B540" s="2">
        <v>46285</v>
      </c>
      <c r="C540" t="s">
        <v>20</v>
      </c>
      <c r="D540" t="s">
        <v>21</v>
      </c>
      <c r="E540">
        <v>1</v>
      </c>
      <c r="F540" t="str">
        <f>_xlfn.XLOOKUP(D540, Products!$A$2:$A$21, Products!$B$2:$B$21, "Not Found")</f>
        <v>Gaming Mouse</v>
      </c>
      <c r="G540" t="str">
        <f>_xlfn.XLOOKUP(D540, Products!$A$2:$A$21, Products!$C$2:$C$21,"not found")</f>
        <v>Accessories</v>
      </c>
      <c r="H540" s="4">
        <f>_xlfn.XLOOKUP(D540, Products!$A$2:$A$21, Products!$E$2:$E$21, 0)</f>
        <v>89</v>
      </c>
      <c r="I540" s="4">
        <f>_xlfn.XLOOKUP(D540, Products!$A$2:$A$21, Products!$F$2:$F$21,0)</f>
        <v>41</v>
      </c>
      <c r="J540" t="str">
        <f>_xlfn.XLOOKUP(C540, Stores!$A$2:$A$7, Stores!$D$2:$D$7)</f>
        <v>Sydney West</v>
      </c>
      <c r="K540" s="4">
        <f t="shared" si="16"/>
        <v>89</v>
      </c>
      <c r="L540" s="4">
        <f t="shared" si="17"/>
        <v>48</v>
      </c>
      <c r="M540" s="10">
        <f>IF(Table1[[#This Row],[Revenue]]=0, "", Table1[[#This Row],[Profit]]/Table1[[#This Row],[Revenue]])</f>
        <v>0.5393258426966292</v>
      </c>
      <c r="N540" s="4" t="str">
        <f>IF(Table1[[#This Row],[Margin]]="", "check", IF(Table1[[#This Row],[Margin]]&lt;0.2, "Low", "OK"))</f>
        <v>OK</v>
      </c>
      <c r="O540" s="4" t="str" cm="1">
        <f t="array" ref="O540">_xlfn.IFS(Table1[[#This Row],[Revenue]]=0, "Check", Table1[[#This Row],[Revenue]]&gt;=1000, "Large", Table1[[#This Row],[Revenue]]&gt;=200, "Medium", TRUE, "Small")</f>
        <v>Small</v>
      </c>
      <c r="P540" s="4" t="str">
        <f>IF(AND(Table1[[#This Row],[Margin Flag]]="Low", Table1[[#This Row],[Revenue]]&gt;1000), "Review", "")</f>
        <v/>
      </c>
      <c r="Q540" s="4" t="str">
        <f>IF(OR(Table1[[#This Row],[Qty]]&gt;=5,Table1[[#This Row],[Order Size]] = "Large" ), "Bulk", "")</f>
        <v/>
      </c>
      <c r="R540" s="10">
        <f>_xlfn.XLOOKUP(G540, Lookup!$A$2:$A$7, Lookup!$B$2:$B$7, "")</f>
        <v>0.25</v>
      </c>
      <c r="S540" s="4" t="str">
        <f>IF(Table1[[#This Row],[Margin]]&lt;Table1[[#This Row],[Target Margin]], "Yes", "")</f>
        <v/>
      </c>
    </row>
    <row r="541" spans="1:19">
      <c r="A541" t="s">
        <v>586</v>
      </c>
      <c r="B541" s="2">
        <v>46285</v>
      </c>
      <c r="C541" t="s">
        <v>20</v>
      </c>
      <c r="D541" t="s">
        <v>60</v>
      </c>
      <c r="E541">
        <v>1</v>
      </c>
      <c r="F541" t="str">
        <f>_xlfn.XLOOKUP(D541, Products!$A$2:$A$21, Products!$B$2:$B$21, "Not Found")</f>
        <v>55in TV</v>
      </c>
      <c r="G541" t="str">
        <f>_xlfn.XLOOKUP(D541, Products!$A$2:$A$21, Products!$C$2:$C$21,"not found")</f>
        <v>TV</v>
      </c>
      <c r="H541" s="4">
        <f>_xlfn.XLOOKUP(D541, Products!$A$2:$A$21, Products!$E$2:$E$21, 0)</f>
        <v>1299</v>
      </c>
      <c r="I541" s="4">
        <f>_xlfn.XLOOKUP(D541, Products!$A$2:$A$21, Products!$F$2:$F$21,0)</f>
        <v>980</v>
      </c>
      <c r="J541" t="str">
        <f>_xlfn.XLOOKUP(C541, Stores!$A$2:$A$7, Stores!$D$2:$D$7)</f>
        <v>Sydney West</v>
      </c>
      <c r="K541" s="4">
        <f t="shared" si="16"/>
        <v>1299</v>
      </c>
      <c r="L541" s="4">
        <f t="shared" si="17"/>
        <v>319</v>
      </c>
      <c r="M541" s="10">
        <f>IF(Table1[[#This Row],[Revenue]]=0, "", Table1[[#This Row],[Profit]]/Table1[[#This Row],[Revenue]])</f>
        <v>0.2455735180908391</v>
      </c>
      <c r="N541" s="4" t="str">
        <f>IF(Table1[[#This Row],[Margin]]="", "check", IF(Table1[[#This Row],[Margin]]&lt;0.2, "Low", "OK"))</f>
        <v>OK</v>
      </c>
      <c r="O541" s="4" t="str" cm="1">
        <f t="array" ref="O541">_xlfn.IFS(Table1[[#This Row],[Revenue]]=0, "Check", Table1[[#This Row],[Revenue]]&gt;=1000, "Large", Table1[[#This Row],[Revenue]]&gt;=200, "Medium", TRUE, "Small")</f>
        <v>Large</v>
      </c>
      <c r="P541" s="4" t="str">
        <f>IF(AND(Table1[[#This Row],[Margin Flag]]="Low", Table1[[#This Row],[Revenue]]&gt;1000), "Review", "")</f>
        <v/>
      </c>
      <c r="Q541" s="4" t="str">
        <f>IF(OR(Table1[[#This Row],[Qty]]&gt;=5,Table1[[#This Row],[Order Size]] = "Large" ), "Bulk", "")</f>
        <v>Bulk</v>
      </c>
      <c r="R541" s="10">
        <f>_xlfn.XLOOKUP(G541, Lookup!$A$2:$A$7, Lookup!$B$2:$B$7, "")</f>
        <v>0.25</v>
      </c>
      <c r="S541" s="4" t="str">
        <f>IF(Table1[[#This Row],[Margin]]&lt;Table1[[#This Row],[Target Margin]], "Yes", "")</f>
        <v>Yes</v>
      </c>
    </row>
    <row r="542" spans="1:19">
      <c r="A542" t="s">
        <v>587</v>
      </c>
      <c r="B542" s="2">
        <v>46285</v>
      </c>
      <c r="C542" t="s">
        <v>57</v>
      </c>
      <c r="D542" t="s">
        <v>38</v>
      </c>
      <c r="E542">
        <v>1</v>
      </c>
      <c r="F542" t="str">
        <f>_xlfn.XLOOKUP(D542, Products!$A$2:$A$21, Products!$B$2:$B$21, "Not Found")</f>
        <v>USB-C Charger</v>
      </c>
      <c r="G542" t="str">
        <f>_xlfn.XLOOKUP(D542, Products!$A$2:$A$21, Products!$C$2:$C$21,"not found")</f>
        <v>Accessories</v>
      </c>
      <c r="H542" s="4">
        <f>_xlfn.XLOOKUP(D542, Products!$A$2:$A$21, Products!$E$2:$E$21, 0)</f>
        <v>49</v>
      </c>
      <c r="I542" s="4">
        <f>_xlfn.XLOOKUP(D542, Products!$A$2:$A$21, Products!$F$2:$F$21,0)</f>
        <v>14</v>
      </c>
      <c r="J542" t="str">
        <f>_xlfn.XLOOKUP(C542, Stores!$A$2:$A$7, Stores!$D$2:$D$7)</f>
        <v>Sydney South</v>
      </c>
      <c r="K542" s="4">
        <f t="shared" si="16"/>
        <v>49</v>
      </c>
      <c r="L542" s="4">
        <f t="shared" si="17"/>
        <v>35</v>
      </c>
      <c r="M542" s="10">
        <f>IF(Table1[[#This Row],[Revenue]]=0, "", Table1[[#This Row],[Profit]]/Table1[[#This Row],[Revenue]])</f>
        <v>0.7142857142857143</v>
      </c>
      <c r="N542" s="4" t="str">
        <f>IF(Table1[[#This Row],[Margin]]="", "check", IF(Table1[[#This Row],[Margin]]&lt;0.2, "Low", "OK"))</f>
        <v>OK</v>
      </c>
      <c r="O542" s="4" t="str" cm="1">
        <f t="array" ref="O542">_xlfn.IFS(Table1[[#This Row],[Revenue]]=0, "Check", Table1[[#This Row],[Revenue]]&gt;=1000, "Large", Table1[[#This Row],[Revenue]]&gt;=200, "Medium", TRUE, "Small")</f>
        <v>Small</v>
      </c>
      <c r="P542" s="4" t="str">
        <f>IF(AND(Table1[[#This Row],[Margin Flag]]="Low", Table1[[#This Row],[Revenue]]&gt;1000), "Review", "")</f>
        <v/>
      </c>
      <c r="Q542" s="4" t="str">
        <f>IF(OR(Table1[[#This Row],[Qty]]&gt;=5,Table1[[#This Row],[Order Size]] = "Large" ), "Bulk", "")</f>
        <v/>
      </c>
      <c r="R542" s="10">
        <f>_xlfn.XLOOKUP(G542, Lookup!$A$2:$A$7, Lookup!$B$2:$B$7, "")</f>
        <v>0.25</v>
      </c>
      <c r="S542" s="4" t="str">
        <f>IF(Table1[[#This Row],[Margin]]&lt;Table1[[#This Row],[Target Margin]], "Yes", "")</f>
        <v/>
      </c>
    </row>
    <row r="543" spans="1:19">
      <c r="A543" t="s">
        <v>588</v>
      </c>
      <c r="B543" s="2">
        <v>46285</v>
      </c>
      <c r="C543" t="s">
        <v>32</v>
      </c>
      <c r="D543" t="s">
        <v>87</v>
      </c>
      <c r="E543">
        <v>2</v>
      </c>
      <c r="F543" t="str">
        <f>_xlfn.XLOOKUP(D543, Products!$A$2:$A$21, Products!$B$2:$B$21, "Not Found")</f>
        <v>Laptop 16in</v>
      </c>
      <c r="G543" t="str">
        <f>_xlfn.XLOOKUP(D543, Products!$A$2:$A$21, Products!$C$2:$C$21,"not found")</f>
        <v>Computers</v>
      </c>
      <c r="H543" s="4">
        <f>_xlfn.XLOOKUP(D543, Products!$A$2:$A$21, Products!$E$2:$E$21, 0)</f>
        <v>1799</v>
      </c>
      <c r="I543" s="4">
        <f>_xlfn.XLOOKUP(D543, Products!$A$2:$A$21, Products!$F$2:$F$21,0)</f>
        <v>1390</v>
      </c>
      <c r="J543" t="str">
        <f>_xlfn.XLOOKUP(C543, Stores!$A$2:$A$7, Stores!$D$2:$D$7)</f>
        <v>Sydney South</v>
      </c>
      <c r="K543" s="4">
        <f t="shared" si="16"/>
        <v>3598</v>
      </c>
      <c r="L543" s="4">
        <f t="shared" si="17"/>
        <v>818</v>
      </c>
      <c r="M543" s="10">
        <f>IF(Table1[[#This Row],[Revenue]]=0, "", Table1[[#This Row],[Profit]]/Table1[[#This Row],[Revenue]])</f>
        <v>0.2273485269594219</v>
      </c>
      <c r="N543" s="4" t="str">
        <f>IF(Table1[[#This Row],[Margin]]="", "check", IF(Table1[[#This Row],[Margin]]&lt;0.2, "Low", "OK"))</f>
        <v>OK</v>
      </c>
      <c r="O543" s="4" t="str" cm="1">
        <f t="array" ref="O543">_xlfn.IFS(Table1[[#This Row],[Revenue]]=0, "Check", Table1[[#This Row],[Revenue]]&gt;=1000, "Large", Table1[[#This Row],[Revenue]]&gt;=200, "Medium", TRUE, "Small")</f>
        <v>Large</v>
      </c>
      <c r="P543" s="4" t="str">
        <f>IF(AND(Table1[[#This Row],[Margin Flag]]="Low", Table1[[#This Row],[Revenue]]&gt;1000), "Review", "")</f>
        <v/>
      </c>
      <c r="Q543" s="4" t="str">
        <f>IF(OR(Table1[[#This Row],[Qty]]&gt;=5,Table1[[#This Row],[Order Size]] = "Large" ), "Bulk", "")</f>
        <v>Bulk</v>
      </c>
      <c r="R543" s="10">
        <f>_xlfn.XLOOKUP(G543, Lookup!$A$2:$A$7, Lookup!$B$2:$B$7, "")</f>
        <v>0.25</v>
      </c>
      <c r="S543" s="4" t="str">
        <f>IF(Table1[[#This Row],[Margin]]&lt;Table1[[#This Row],[Target Margin]], "Yes", "")</f>
        <v>Yes</v>
      </c>
    </row>
    <row r="544" spans="1:19">
      <c r="A544" t="s">
        <v>589</v>
      </c>
      <c r="B544" s="2">
        <v>46285</v>
      </c>
      <c r="C544" t="s">
        <v>32</v>
      </c>
      <c r="D544" t="s">
        <v>50</v>
      </c>
      <c r="E544">
        <v>1</v>
      </c>
      <c r="F544" t="str">
        <f>_xlfn.XLOOKUP(D544, Products!$A$2:$A$21, Products!$B$2:$B$21, "Not Found")</f>
        <v>Smartphone 128GB</v>
      </c>
      <c r="G544" t="str">
        <f>_xlfn.XLOOKUP(D544, Products!$A$2:$A$21, Products!$C$2:$C$21,"not found")</f>
        <v>Phones</v>
      </c>
      <c r="H544" s="4">
        <f>_xlfn.XLOOKUP(D544, Products!$A$2:$A$21, Products!$E$2:$E$21, 0)</f>
        <v>1099</v>
      </c>
      <c r="I544" s="4">
        <f>_xlfn.XLOOKUP(D544, Products!$A$2:$A$21, Products!$F$2:$F$21,0)</f>
        <v>860</v>
      </c>
      <c r="J544" t="str">
        <f>_xlfn.XLOOKUP(C544, Stores!$A$2:$A$7, Stores!$D$2:$D$7)</f>
        <v>Sydney South</v>
      </c>
      <c r="K544" s="4">
        <f t="shared" si="16"/>
        <v>1099</v>
      </c>
      <c r="L544" s="4">
        <f t="shared" si="17"/>
        <v>239</v>
      </c>
      <c r="M544" s="10">
        <f>IF(Table1[[#This Row],[Revenue]]=0, "", Table1[[#This Row],[Profit]]/Table1[[#This Row],[Revenue]])</f>
        <v>0.21747042766151045</v>
      </c>
      <c r="N544" s="4" t="str">
        <f>IF(Table1[[#This Row],[Margin]]="", "check", IF(Table1[[#This Row],[Margin]]&lt;0.2, "Low", "OK"))</f>
        <v>OK</v>
      </c>
      <c r="O544" s="4" t="str" cm="1">
        <f t="array" ref="O544">_xlfn.IFS(Table1[[#This Row],[Revenue]]=0, "Check", Table1[[#This Row],[Revenue]]&gt;=1000, "Large", Table1[[#This Row],[Revenue]]&gt;=200, "Medium", TRUE, "Small")</f>
        <v>Large</v>
      </c>
      <c r="P544" s="4" t="str">
        <f>IF(AND(Table1[[#This Row],[Margin Flag]]="Low", Table1[[#This Row],[Revenue]]&gt;1000), "Review", "")</f>
        <v/>
      </c>
      <c r="Q544" s="4" t="str">
        <f>IF(OR(Table1[[#This Row],[Qty]]&gt;=5,Table1[[#This Row],[Order Size]] = "Large" ), "Bulk", "")</f>
        <v>Bulk</v>
      </c>
      <c r="R544" s="10">
        <f>_xlfn.XLOOKUP(G544, Lookup!$A$2:$A$7, Lookup!$B$2:$B$7, "")</f>
        <v>0.25</v>
      </c>
      <c r="S544" s="4" t="str">
        <f>IF(Table1[[#This Row],[Margin]]&lt;Table1[[#This Row],[Target Margin]], "Yes", "")</f>
        <v>Yes</v>
      </c>
    </row>
    <row r="545" spans="1:19">
      <c r="A545" t="s">
        <v>590</v>
      </c>
      <c r="B545" s="2">
        <v>46285</v>
      </c>
      <c r="C545" t="s">
        <v>23</v>
      </c>
      <c r="D545" t="s">
        <v>35</v>
      </c>
      <c r="E545">
        <v>1</v>
      </c>
      <c r="F545" t="str">
        <f>_xlfn.XLOOKUP(D545, Products!$A$2:$A$21, Products!$B$2:$B$21, "Not Found")</f>
        <v>Phone Case</v>
      </c>
      <c r="G545" t="str">
        <f>_xlfn.XLOOKUP(D545, Products!$A$2:$A$21, Products!$C$2:$C$21,"not found")</f>
        <v>Accessories</v>
      </c>
      <c r="H545" s="4">
        <f>_xlfn.XLOOKUP(D545, Products!$A$2:$A$21, Products!$E$2:$E$21, 0)</f>
        <v>39</v>
      </c>
      <c r="I545" s="4">
        <f>_xlfn.XLOOKUP(D545, Products!$A$2:$A$21, Products!$F$2:$F$21,0)</f>
        <v>9</v>
      </c>
      <c r="J545" t="str">
        <f>_xlfn.XLOOKUP(C545, Stores!$A$2:$A$7, Stores!$D$2:$D$7)</f>
        <v>Sydney East</v>
      </c>
      <c r="K545" s="4">
        <f t="shared" si="16"/>
        <v>39</v>
      </c>
      <c r="L545" s="4">
        <f t="shared" si="17"/>
        <v>30</v>
      </c>
      <c r="M545" s="10">
        <f>IF(Table1[[#This Row],[Revenue]]=0, "", Table1[[#This Row],[Profit]]/Table1[[#This Row],[Revenue]])</f>
        <v>0.76923076923076927</v>
      </c>
      <c r="N545" s="4" t="str">
        <f>IF(Table1[[#This Row],[Margin]]="", "check", IF(Table1[[#This Row],[Margin]]&lt;0.2, "Low", "OK"))</f>
        <v>OK</v>
      </c>
      <c r="O545" s="4" t="str" cm="1">
        <f t="array" ref="O545">_xlfn.IFS(Table1[[#This Row],[Revenue]]=0, "Check", Table1[[#This Row],[Revenue]]&gt;=1000, "Large", Table1[[#This Row],[Revenue]]&gt;=200, "Medium", TRUE, "Small")</f>
        <v>Small</v>
      </c>
      <c r="P545" s="4" t="str">
        <f>IF(AND(Table1[[#This Row],[Margin Flag]]="Low", Table1[[#This Row],[Revenue]]&gt;1000), "Review", "")</f>
        <v/>
      </c>
      <c r="Q545" s="4" t="str">
        <f>IF(OR(Table1[[#This Row],[Qty]]&gt;=5,Table1[[#This Row],[Order Size]] = "Large" ), "Bulk", "")</f>
        <v/>
      </c>
      <c r="R545" s="10">
        <f>_xlfn.XLOOKUP(G545, Lookup!$A$2:$A$7, Lookup!$B$2:$B$7, "")</f>
        <v>0.25</v>
      </c>
      <c r="S545" s="4" t="str">
        <f>IF(Table1[[#This Row],[Margin]]&lt;Table1[[#This Row],[Target Margin]], "Yes", "")</f>
        <v/>
      </c>
    </row>
    <row r="546" spans="1:19">
      <c r="A546" t="s">
        <v>591</v>
      </c>
      <c r="B546" s="2">
        <v>46285</v>
      </c>
      <c r="C546" t="s">
        <v>32</v>
      </c>
      <c r="D546" t="s">
        <v>35</v>
      </c>
      <c r="E546">
        <v>1</v>
      </c>
      <c r="F546" t="str">
        <f>_xlfn.XLOOKUP(D546, Products!$A$2:$A$21, Products!$B$2:$B$21, "Not Found")</f>
        <v>Phone Case</v>
      </c>
      <c r="G546" t="str">
        <f>_xlfn.XLOOKUP(D546, Products!$A$2:$A$21, Products!$C$2:$C$21,"not found")</f>
        <v>Accessories</v>
      </c>
      <c r="H546" s="4">
        <f>_xlfn.XLOOKUP(D546, Products!$A$2:$A$21, Products!$E$2:$E$21, 0)</f>
        <v>39</v>
      </c>
      <c r="I546" s="4">
        <f>_xlfn.XLOOKUP(D546, Products!$A$2:$A$21, Products!$F$2:$F$21,0)</f>
        <v>9</v>
      </c>
      <c r="J546" t="str">
        <f>_xlfn.XLOOKUP(C546, Stores!$A$2:$A$7, Stores!$D$2:$D$7)</f>
        <v>Sydney South</v>
      </c>
      <c r="K546" s="4">
        <f t="shared" si="16"/>
        <v>39</v>
      </c>
      <c r="L546" s="4">
        <f t="shared" si="17"/>
        <v>30</v>
      </c>
      <c r="M546" s="10">
        <f>IF(Table1[[#This Row],[Revenue]]=0, "", Table1[[#This Row],[Profit]]/Table1[[#This Row],[Revenue]])</f>
        <v>0.76923076923076927</v>
      </c>
      <c r="N546" s="4" t="str">
        <f>IF(Table1[[#This Row],[Margin]]="", "check", IF(Table1[[#This Row],[Margin]]&lt;0.2, "Low", "OK"))</f>
        <v>OK</v>
      </c>
      <c r="O546" s="4" t="str" cm="1">
        <f t="array" ref="O546">_xlfn.IFS(Table1[[#This Row],[Revenue]]=0, "Check", Table1[[#This Row],[Revenue]]&gt;=1000, "Large", Table1[[#This Row],[Revenue]]&gt;=200, "Medium", TRUE, "Small")</f>
        <v>Small</v>
      </c>
      <c r="P546" s="4" t="str">
        <f>IF(AND(Table1[[#This Row],[Margin Flag]]="Low", Table1[[#This Row],[Revenue]]&gt;1000), "Review", "")</f>
        <v/>
      </c>
      <c r="Q546" s="4" t="str">
        <f>IF(OR(Table1[[#This Row],[Qty]]&gt;=5,Table1[[#This Row],[Order Size]] = "Large" ), "Bulk", "")</f>
        <v/>
      </c>
      <c r="R546" s="10">
        <f>_xlfn.XLOOKUP(G546, Lookup!$A$2:$A$7, Lookup!$B$2:$B$7, "")</f>
        <v>0.25</v>
      </c>
      <c r="S546" s="4" t="str">
        <f>IF(Table1[[#This Row],[Margin]]&lt;Table1[[#This Row],[Target Margin]], "Yes", "")</f>
        <v/>
      </c>
    </row>
    <row r="547" spans="1:19">
      <c r="A547" t="s">
        <v>592</v>
      </c>
      <c r="B547" s="2">
        <v>46285</v>
      </c>
      <c r="C547" t="s">
        <v>23</v>
      </c>
      <c r="D547" t="s">
        <v>35</v>
      </c>
      <c r="E547">
        <v>2</v>
      </c>
      <c r="F547" t="str">
        <f>_xlfn.XLOOKUP(D547, Products!$A$2:$A$21, Products!$B$2:$B$21, "Not Found")</f>
        <v>Phone Case</v>
      </c>
      <c r="G547" t="str">
        <f>_xlfn.XLOOKUP(D547, Products!$A$2:$A$21, Products!$C$2:$C$21,"not found")</f>
        <v>Accessories</v>
      </c>
      <c r="H547" s="4">
        <f>_xlfn.XLOOKUP(D547, Products!$A$2:$A$21, Products!$E$2:$E$21, 0)</f>
        <v>39</v>
      </c>
      <c r="I547" s="4">
        <f>_xlfn.XLOOKUP(D547, Products!$A$2:$A$21, Products!$F$2:$F$21,0)</f>
        <v>9</v>
      </c>
      <c r="J547" t="str">
        <f>_xlfn.XLOOKUP(C547, Stores!$A$2:$A$7, Stores!$D$2:$D$7)</f>
        <v>Sydney East</v>
      </c>
      <c r="K547" s="4">
        <f t="shared" si="16"/>
        <v>78</v>
      </c>
      <c r="L547" s="4">
        <f t="shared" si="17"/>
        <v>60</v>
      </c>
      <c r="M547" s="10">
        <f>IF(Table1[[#This Row],[Revenue]]=0, "", Table1[[#This Row],[Profit]]/Table1[[#This Row],[Revenue]])</f>
        <v>0.76923076923076927</v>
      </c>
      <c r="N547" s="4" t="str">
        <f>IF(Table1[[#This Row],[Margin]]="", "check", IF(Table1[[#This Row],[Margin]]&lt;0.2, "Low", "OK"))</f>
        <v>OK</v>
      </c>
      <c r="O547" s="4" t="str" cm="1">
        <f t="array" ref="O547">_xlfn.IFS(Table1[[#This Row],[Revenue]]=0, "Check", Table1[[#This Row],[Revenue]]&gt;=1000, "Large", Table1[[#This Row],[Revenue]]&gt;=200, "Medium", TRUE, "Small")</f>
        <v>Small</v>
      </c>
      <c r="P547" s="4" t="str">
        <f>IF(AND(Table1[[#This Row],[Margin Flag]]="Low", Table1[[#This Row],[Revenue]]&gt;1000), "Review", "")</f>
        <v/>
      </c>
      <c r="Q547" s="4" t="str">
        <f>IF(OR(Table1[[#This Row],[Qty]]&gt;=5,Table1[[#This Row],[Order Size]] = "Large" ), "Bulk", "")</f>
        <v/>
      </c>
      <c r="R547" s="10">
        <f>_xlfn.XLOOKUP(G547, Lookup!$A$2:$A$7, Lookup!$B$2:$B$7, "")</f>
        <v>0.25</v>
      </c>
      <c r="S547" s="4" t="str">
        <f>IF(Table1[[#This Row],[Margin]]&lt;Table1[[#This Row],[Target Margin]], "Yes", "")</f>
        <v/>
      </c>
    </row>
    <row r="548" spans="1:19">
      <c r="A548" t="s">
        <v>593</v>
      </c>
      <c r="B548" s="2">
        <v>46285</v>
      </c>
      <c r="C548" t="s">
        <v>29</v>
      </c>
      <c r="D548" t="s">
        <v>21</v>
      </c>
      <c r="E548">
        <v>1</v>
      </c>
      <c r="F548" t="str">
        <f>_xlfn.XLOOKUP(D548, Products!$A$2:$A$21, Products!$B$2:$B$21, "Not Found")</f>
        <v>Gaming Mouse</v>
      </c>
      <c r="G548" t="str">
        <f>_xlfn.XLOOKUP(D548, Products!$A$2:$A$21, Products!$C$2:$C$21,"not found")</f>
        <v>Accessories</v>
      </c>
      <c r="H548" s="4">
        <f>_xlfn.XLOOKUP(D548, Products!$A$2:$A$21, Products!$E$2:$E$21, 0)</f>
        <v>89</v>
      </c>
      <c r="I548" s="4">
        <f>_xlfn.XLOOKUP(D548, Products!$A$2:$A$21, Products!$F$2:$F$21,0)</f>
        <v>41</v>
      </c>
      <c r="J548" t="str">
        <f>_xlfn.XLOOKUP(C548, Stores!$A$2:$A$7, Stores!$D$2:$D$7)</f>
        <v>Sydney West</v>
      </c>
      <c r="K548" s="4">
        <f t="shared" si="16"/>
        <v>89</v>
      </c>
      <c r="L548" s="4">
        <f t="shared" si="17"/>
        <v>48</v>
      </c>
      <c r="M548" s="10">
        <f>IF(Table1[[#This Row],[Revenue]]=0, "", Table1[[#This Row],[Profit]]/Table1[[#This Row],[Revenue]])</f>
        <v>0.5393258426966292</v>
      </c>
      <c r="N548" s="4" t="str">
        <f>IF(Table1[[#This Row],[Margin]]="", "check", IF(Table1[[#This Row],[Margin]]&lt;0.2, "Low", "OK"))</f>
        <v>OK</v>
      </c>
      <c r="O548" s="4" t="str" cm="1">
        <f t="array" ref="O548">_xlfn.IFS(Table1[[#This Row],[Revenue]]=0, "Check", Table1[[#This Row],[Revenue]]&gt;=1000, "Large", Table1[[#This Row],[Revenue]]&gt;=200, "Medium", TRUE, "Small")</f>
        <v>Small</v>
      </c>
      <c r="P548" s="4" t="str">
        <f>IF(AND(Table1[[#This Row],[Margin Flag]]="Low", Table1[[#This Row],[Revenue]]&gt;1000), "Review", "")</f>
        <v/>
      </c>
      <c r="Q548" s="4" t="str">
        <f>IF(OR(Table1[[#This Row],[Qty]]&gt;=5,Table1[[#This Row],[Order Size]] = "Large" ), "Bulk", "")</f>
        <v/>
      </c>
      <c r="R548" s="10">
        <f>_xlfn.XLOOKUP(G548, Lookup!$A$2:$A$7, Lookup!$B$2:$B$7, "")</f>
        <v>0.25</v>
      </c>
      <c r="S548" s="4" t="str">
        <f>IF(Table1[[#This Row],[Margin]]&lt;Table1[[#This Row],[Target Margin]], "Yes", "")</f>
        <v/>
      </c>
    </row>
    <row r="549" spans="1:19">
      <c r="A549" t="s">
        <v>594</v>
      </c>
      <c r="B549" s="2">
        <v>46285</v>
      </c>
      <c r="C549" t="s">
        <v>32</v>
      </c>
      <c r="D549" t="s">
        <v>30</v>
      </c>
      <c r="E549">
        <v>1</v>
      </c>
      <c r="F549" t="str">
        <f>_xlfn.XLOOKUP(D549, Products!$A$2:$A$21, Products!$B$2:$B$21, "Not Found")</f>
        <v>Video Game</v>
      </c>
      <c r="G549" t="str">
        <f>_xlfn.XLOOKUP(D549, Products!$A$2:$A$21, Products!$C$2:$C$21,"not found")</f>
        <v>Gaming</v>
      </c>
      <c r="H549" s="4">
        <f>_xlfn.XLOOKUP(D549, Products!$A$2:$A$21, Products!$E$2:$E$21, 0)</f>
        <v>79</v>
      </c>
      <c r="I549" s="4">
        <f>_xlfn.XLOOKUP(D549, Products!$A$2:$A$21, Products!$F$2:$F$21,0)</f>
        <v>52</v>
      </c>
      <c r="J549" t="str">
        <f>_xlfn.XLOOKUP(C549, Stores!$A$2:$A$7, Stores!$D$2:$D$7)</f>
        <v>Sydney South</v>
      </c>
      <c r="K549" s="4">
        <f t="shared" si="16"/>
        <v>79</v>
      </c>
      <c r="L549" s="4">
        <f t="shared" si="17"/>
        <v>27</v>
      </c>
      <c r="M549" s="10">
        <f>IF(Table1[[#This Row],[Revenue]]=0, "", Table1[[#This Row],[Profit]]/Table1[[#This Row],[Revenue]])</f>
        <v>0.34177215189873417</v>
      </c>
      <c r="N549" s="4" t="str">
        <f>IF(Table1[[#This Row],[Margin]]="", "check", IF(Table1[[#This Row],[Margin]]&lt;0.2, "Low", "OK"))</f>
        <v>OK</v>
      </c>
      <c r="O549" s="4" t="str" cm="1">
        <f t="array" ref="O549">_xlfn.IFS(Table1[[#This Row],[Revenue]]=0, "Check", Table1[[#This Row],[Revenue]]&gt;=1000, "Large", Table1[[#This Row],[Revenue]]&gt;=200, "Medium", TRUE, "Small")</f>
        <v>Small</v>
      </c>
      <c r="P549" s="4" t="str">
        <f>IF(AND(Table1[[#This Row],[Margin Flag]]="Low", Table1[[#This Row],[Revenue]]&gt;1000), "Review", "")</f>
        <v/>
      </c>
      <c r="Q549" s="4" t="str">
        <f>IF(OR(Table1[[#This Row],[Qty]]&gt;=5,Table1[[#This Row],[Order Size]] = "Large" ), "Bulk", "")</f>
        <v/>
      </c>
      <c r="R549" s="10">
        <f>_xlfn.XLOOKUP(G549, Lookup!$A$2:$A$7, Lookup!$B$2:$B$7, "")</f>
        <v>0.08</v>
      </c>
      <c r="S549" s="4" t="str">
        <f>IF(Table1[[#This Row],[Margin]]&lt;Table1[[#This Row],[Target Margin]], "Yes", "")</f>
        <v/>
      </c>
    </row>
    <row r="550" spans="1:19">
      <c r="A550" t="s">
        <v>595</v>
      </c>
      <c r="B550" s="2">
        <v>46285</v>
      </c>
      <c r="C550" t="s">
        <v>26</v>
      </c>
      <c r="D550" t="s">
        <v>38</v>
      </c>
      <c r="E550">
        <v>1</v>
      </c>
      <c r="F550" t="str">
        <f>_xlfn.XLOOKUP(D550, Products!$A$2:$A$21, Products!$B$2:$B$21, "Not Found")</f>
        <v>USB-C Charger</v>
      </c>
      <c r="G550" t="str">
        <f>_xlfn.XLOOKUP(D550, Products!$A$2:$A$21, Products!$C$2:$C$21,"not found")</f>
        <v>Accessories</v>
      </c>
      <c r="H550" s="4">
        <f>_xlfn.XLOOKUP(D550, Products!$A$2:$A$21, Products!$E$2:$E$21, 0)</f>
        <v>49</v>
      </c>
      <c r="I550" s="4">
        <f>_xlfn.XLOOKUP(D550, Products!$A$2:$A$21, Products!$F$2:$F$21,0)</f>
        <v>14</v>
      </c>
      <c r="J550" t="str">
        <f>_xlfn.XLOOKUP(C550, Stores!$A$2:$A$7, Stores!$D$2:$D$7)</f>
        <v>Sydney North</v>
      </c>
      <c r="K550" s="4">
        <f t="shared" si="16"/>
        <v>49</v>
      </c>
      <c r="L550" s="4">
        <f t="shared" si="17"/>
        <v>35</v>
      </c>
      <c r="M550" s="10">
        <f>IF(Table1[[#This Row],[Revenue]]=0, "", Table1[[#This Row],[Profit]]/Table1[[#This Row],[Revenue]])</f>
        <v>0.7142857142857143</v>
      </c>
      <c r="N550" s="4" t="str">
        <f>IF(Table1[[#This Row],[Margin]]="", "check", IF(Table1[[#This Row],[Margin]]&lt;0.2, "Low", "OK"))</f>
        <v>OK</v>
      </c>
      <c r="O550" s="4" t="str" cm="1">
        <f t="array" ref="O550">_xlfn.IFS(Table1[[#This Row],[Revenue]]=0, "Check", Table1[[#This Row],[Revenue]]&gt;=1000, "Large", Table1[[#This Row],[Revenue]]&gt;=200, "Medium", TRUE, "Small")</f>
        <v>Small</v>
      </c>
      <c r="P550" s="4" t="str">
        <f>IF(AND(Table1[[#This Row],[Margin Flag]]="Low", Table1[[#This Row],[Revenue]]&gt;1000), "Review", "")</f>
        <v/>
      </c>
      <c r="Q550" s="4" t="str">
        <f>IF(OR(Table1[[#This Row],[Qty]]&gt;=5,Table1[[#This Row],[Order Size]] = "Large" ), "Bulk", "")</f>
        <v/>
      </c>
      <c r="R550" s="10">
        <f>_xlfn.XLOOKUP(G550, Lookup!$A$2:$A$7, Lookup!$B$2:$B$7, "")</f>
        <v>0.25</v>
      </c>
      <c r="S550" s="4" t="str">
        <f>IF(Table1[[#This Row],[Margin]]&lt;Table1[[#This Row],[Target Margin]], "Yes", "")</f>
        <v/>
      </c>
    </row>
    <row r="551" spans="1:19">
      <c r="A551" t="s">
        <v>596</v>
      </c>
      <c r="B551" s="2">
        <v>46285</v>
      </c>
      <c r="C551" t="s">
        <v>32</v>
      </c>
      <c r="D551" t="s">
        <v>38</v>
      </c>
      <c r="E551">
        <v>3</v>
      </c>
      <c r="F551" t="str">
        <f>_xlfn.XLOOKUP(D551, Products!$A$2:$A$21, Products!$B$2:$B$21, "Not Found")</f>
        <v>USB-C Charger</v>
      </c>
      <c r="G551" t="str">
        <f>_xlfn.XLOOKUP(D551, Products!$A$2:$A$21, Products!$C$2:$C$21,"not found")</f>
        <v>Accessories</v>
      </c>
      <c r="H551" s="4">
        <f>_xlfn.XLOOKUP(D551, Products!$A$2:$A$21, Products!$E$2:$E$21, 0)</f>
        <v>49</v>
      </c>
      <c r="I551" s="4">
        <f>_xlfn.XLOOKUP(D551, Products!$A$2:$A$21, Products!$F$2:$F$21,0)</f>
        <v>14</v>
      </c>
      <c r="J551" t="str">
        <f>_xlfn.XLOOKUP(C551, Stores!$A$2:$A$7, Stores!$D$2:$D$7)</f>
        <v>Sydney South</v>
      </c>
      <c r="K551" s="4">
        <f t="shared" si="16"/>
        <v>147</v>
      </c>
      <c r="L551" s="4">
        <f t="shared" si="17"/>
        <v>105</v>
      </c>
      <c r="M551" s="10">
        <f>IF(Table1[[#This Row],[Revenue]]=0, "", Table1[[#This Row],[Profit]]/Table1[[#This Row],[Revenue]])</f>
        <v>0.7142857142857143</v>
      </c>
      <c r="N551" s="4" t="str">
        <f>IF(Table1[[#This Row],[Margin]]="", "check", IF(Table1[[#This Row],[Margin]]&lt;0.2, "Low", "OK"))</f>
        <v>OK</v>
      </c>
      <c r="O551" s="4" t="str" cm="1">
        <f t="array" ref="O551">_xlfn.IFS(Table1[[#This Row],[Revenue]]=0, "Check", Table1[[#This Row],[Revenue]]&gt;=1000, "Large", Table1[[#This Row],[Revenue]]&gt;=200, "Medium", TRUE, "Small")</f>
        <v>Small</v>
      </c>
      <c r="P551" s="4" t="str">
        <f>IF(AND(Table1[[#This Row],[Margin Flag]]="Low", Table1[[#This Row],[Revenue]]&gt;1000), "Review", "")</f>
        <v/>
      </c>
      <c r="Q551" s="4" t="str">
        <f>IF(OR(Table1[[#This Row],[Qty]]&gt;=5,Table1[[#This Row],[Order Size]] = "Large" ), "Bulk", "")</f>
        <v/>
      </c>
      <c r="R551" s="10">
        <f>_xlfn.XLOOKUP(G551, Lookup!$A$2:$A$7, Lookup!$B$2:$B$7, "")</f>
        <v>0.25</v>
      </c>
      <c r="S551" s="4" t="str">
        <f>IF(Table1[[#This Row],[Margin]]&lt;Table1[[#This Row],[Target Margin]], "Yes", "")</f>
        <v/>
      </c>
    </row>
    <row r="552" spans="1:19">
      <c r="A552" t="s">
        <v>597</v>
      </c>
      <c r="B552" s="2">
        <v>46286</v>
      </c>
      <c r="C552" t="s">
        <v>32</v>
      </c>
      <c r="D552" t="s">
        <v>27</v>
      </c>
      <c r="E552">
        <v>1</v>
      </c>
      <c r="F552" t="str">
        <f>_xlfn.XLOOKUP(D552, Products!$A$2:$A$21, Products!$B$2:$B$21, "Not Found")</f>
        <v>Bluetooth Speaker</v>
      </c>
      <c r="G552" t="str">
        <f>_xlfn.XLOOKUP(D552, Products!$A$2:$A$21, Products!$C$2:$C$21,"not found")</f>
        <v>Audio</v>
      </c>
      <c r="H552" s="4">
        <f>_xlfn.XLOOKUP(D552, Products!$A$2:$A$21, Products!$E$2:$E$21, 0)</f>
        <v>179</v>
      </c>
      <c r="I552" s="4">
        <f>_xlfn.XLOOKUP(D552, Products!$A$2:$A$21, Products!$F$2:$F$21,0)</f>
        <v>95</v>
      </c>
      <c r="J552" t="str">
        <f>_xlfn.XLOOKUP(C552, Stores!$A$2:$A$7, Stores!$D$2:$D$7)</f>
        <v>Sydney South</v>
      </c>
      <c r="K552" s="4">
        <f t="shared" si="16"/>
        <v>179</v>
      </c>
      <c r="L552" s="4">
        <f t="shared" si="17"/>
        <v>84</v>
      </c>
      <c r="M552" s="10">
        <f>IF(Table1[[#This Row],[Revenue]]=0, "", Table1[[#This Row],[Profit]]/Table1[[#This Row],[Revenue]])</f>
        <v>0.46927374301675978</v>
      </c>
      <c r="N552" s="4" t="str">
        <f>IF(Table1[[#This Row],[Margin]]="", "check", IF(Table1[[#This Row],[Margin]]&lt;0.2, "Low", "OK"))</f>
        <v>OK</v>
      </c>
      <c r="O552" s="4" t="str" cm="1">
        <f t="array" ref="O552">_xlfn.IFS(Table1[[#This Row],[Revenue]]=0, "Check", Table1[[#This Row],[Revenue]]&gt;=1000, "Large", Table1[[#This Row],[Revenue]]&gt;=200, "Medium", TRUE, "Small")</f>
        <v>Small</v>
      </c>
      <c r="P552" s="4" t="str">
        <f>IF(AND(Table1[[#This Row],[Margin Flag]]="Low", Table1[[#This Row],[Revenue]]&gt;1000), "Review", "")</f>
        <v/>
      </c>
      <c r="Q552" s="4" t="str">
        <f>IF(OR(Table1[[#This Row],[Qty]]&gt;=5,Table1[[#This Row],[Order Size]] = "Large" ), "Bulk", "")</f>
        <v/>
      </c>
      <c r="R552" s="10">
        <f>_xlfn.XLOOKUP(G552, Lookup!$A$2:$A$7, Lookup!$B$2:$B$7, "")</f>
        <v>0.25</v>
      </c>
      <c r="S552" s="4" t="str">
        <f>IF(Table1[[#This Row],[Margin]]&lt;Table1[[#This Row],[Target Margin]], "Yes", "")</f>
        <v/>
      </c>
    </row>
    <row r="553" spans="1:19">
      <c r="A553" t="s">
        <v>598</v>
      </c>
      <c r="B553" s="2">
        <v>46286</v>
      </c>
      <c r="C553" t="s">
        <v>26</v>
      </c>
      <c r="D553" t="s">
        <v>30</v>
      </c>
      <c r="E553">
        <v>2</v>
      </c>
      <c r="F553" t="str">
        <f>_xlfn.XLOOKUP(D553, Products!$A$2:$A$21, Products!$B$2:$B$21, "Not Found")</f>
        <v>Video Game</v>
      </c>
      <c r="G553" t="str">
        <f>_xlfn.XLOOKUP(D553, Products!$A$2:$A$21, Products!$C$2:$C$21,"not found")</f>
        <v>Gaming</v>
      </c>
      <c r="H553" s="4">
        <f>_xlfn.XLOOKUP(D553, Products!$A$2:$A$21, Products!$E$2:$E$21, 0)</f>
        <v>79</v>
      </c>
      <c r="I553" s="4">
        <f>_xlfn.XLOOKUP(D553, Products!$A$2:$A$21, Products!$F$2:$F$21,0)</f>
        <v>52</v>
      </c>
      <c r="J553" t="str">
        <f>_xlfn.XLOOKUP(C553, Stores!$A$2:$A$7, Stores!$D$2:$D$7)</f>
        <v>Sydney North</v>
      </c>
      <c r="K553" s="4">
        <f t="shared" si="16"/>
        <v>158</v>
      </c>
      <c r="L553" s="4">
        <f t="shared" si="17"/>
        <v>54</v>
      </c>
      <c r="M553" s="10">
        <f>IF(Table1[[#This Row],[Revenue]]=0, "", Table1[[#This Row],[Profit]]/Table1[[#This Row],[Revenue]])</f>
        <v>0.34177215189873417</v>
      </c>
      <c r="N553" s="4" t="str">
        <f>IF(Table1[[#This Row],[Margin]]="", "check", IF(Table1[[#This Row],[Margin]]&lt;0.2, "Low", "OK"))</f>
        <v>OK</v>
      </c>
      <c r="O553" s="4" t="str" cm="1">
        <f t="array" ref="O553">_xlfn.IFS(Table1[[#This Row],[Revenue]]=0, "Check", Table1[[#This Row],[Revenue]]&gt;=1000, "Large", Table1[[#This Row],[Revenue]]&gt;=200, "Medium", TRUE, "Small")</f>
        <v>Small</v>
      </c>
      <c r="P553" s="4" t="str">
        <f>IF(AND(Table1[[#This Row],[Margin Flag]]="Low", Table1[[#This Row],[Revenue]]&gt;1000), "Review", "")</f>
        <v/>
      </c>
      <c r="Q553" s="4" t="str">
        <f>IF(OR(Table1[[#This Row],[Qty]]&gt;=5,Table1[[#This Row],[Order Size]] = "Large" ), "Bulk", "")</f>
        <v/>
      </c>
      <c r="R553" s="10">
        <f>_xlfn.XLOOKUP(G553, Lookup!$A$2:$A$7, Lookup!$B$2:$B$7, "")</f>
        <v>0.08</v>
      </c>
      <c r="S553" s="4" t="str">
        <f>IF(Table1[[#This Row],[Margin]]&lt;Table1[[#This Row],[Target Margin]], "Yes", "")</f>
        <v/>
      </c>
    </row>
    <row r="554" spans="1:19">
      <c r="A554" t="s">
        <v>599</v>
      </c>
      <c r="B554" s="2">
        <v>46286</v>
      </c>
      <c r="C554" t="s">
        <v>29</v>
      </c>
      <c r="D554" t="s">
        <v>50</v>
      </c>
      <c r="E554">
        <v>3</v>
      </c>
      <c r="F554" t="str">
        <f>_xlfn.XLOOKUP(D554, Products!$A$2:$A$21, Products!$B$2:$B$21, "Not Found")</f>
        <v>Smartphone 128GB</v>
      </c>
      <c r="G554" t="str">
        <f>_xlfn.XLOOKUP(D554, Products!$A$2:$A$21, Products!$C$2:$C$21,"not found")</f>
        <v>Phones</v>
      </c>
      <c r="H554" s="4">
        <f>_xlfn.XLOOKUP(D554, Products!$A$2:$A$21, Products!$E$2:$E$21, 0)</f>
        <v>1099</v>
      </c>
      <c r="I554" s="4">
        <f>_xlfn.XLOOKUP(D554, Products!$A$2:$A$21, Products!$F$2:$F$21,0)</f>
        <v>860</v>
      </c>
      <c r="J554" t="str">
        <f>_xlfn.XLOOKUP(C554, Stores!$A$2:$A$7, Stores!$D$2:$D$7)</f>
        <v>Sydney West</v>
      </c>
      <c r="K554" s="4">
        <f t="shared" si="16"/>
        <v>3297</v>
      </c>
      <c r="L554" s="4">
        <f t="shared" si="17"/>
        <v>717</v>
      </c>
      <c r="M554" s="10">
        <f>IF(Table1[[#This Row],[Revenue]]=0, "", Table1[[#This Row],[Profit]]/Table1[[#This Row],[Revenue]])</f>
        <v>0.21747042766151045</v>
      </c>
      <c r="N554" s="4" t="str">
        <f>IF(Table1[[#This Row],[Margin]]="", "check", IF(Table1[[#This Row],[Margin]]&lt;0.2, "Low", "OK"))</f>
        <v>OK</v>
      </c>
      <c r="O554" s="4" t="str" cm="1">
        <f t="array" ref="O554">_xlfn.IFS(Table1[[#This Row],[Revenue]]=0, "Check", Table1[[#This Row],[Revenue]]&gt;=1000, "Large", Table1[[#This Row],[Revenue]]&gt;=200, "Medium", TRUE, "Small")</f>
        <v>Large</v>
      </c>
      <c r="P554" s="4" t="str">
        <f>IF(AND(Table1[[#This Row],[Margin Flag]]="Low", Table1[[#This Row],[Revenue]]&gt;1000), "Review", "")</f>
        <v/>
      </c>
      <c r="Q554" s="4" t="str">
        <f>IF(OR(Table1[[#This Row],[Qty]]&gt;=5,Table1[[#This Row],[Order Size]] = "Large" ), "Bulk", "")</f>
        <v>Bulk</v>
      </c>
      <c r="R554" s="10">
        <f>_xlfn.XLOOKUP(G554, Lookup!$A$2:$A$7, Lookup!$B$2:$B$7, "")</f>
        <v>0.25</v>
      </c>
      <c r="S554" s="4" t="str">
        <f>IF(Table1[[#This Row],[Margin]]&lt;Table1[[#This Row],[Target Margin]], "Yes", "")</f>
        <v>Yes</v>
      </c>
    </row>
    <row r="555" spans="1:19">
      <c r="A555" t="s">
        <v>600</v>
      </c>
      <c r="B555" s="2">
        <v>46286</v>
      </c>
      <c r="C555" t="s">
        <v>57</v>
      </c>
      <c r="D555" t="s">
        <v>80</v>
      </c>
      <c r="E555">
        <v>1</v>
      </c>
      <c r="F555" t="str">
        <f>_xlfn.XLOOKUP(D555, Products!$A$2:$A$21, Products!$B$2:$B$21, "Not Found")</f>
        <v>Over-Ear Headphones</v>
      </c>
      <c r="G555" t="str">
        <f>_xlfn.XLOOKUP(D555, Products!$A$2:$A$21, Products!$C$2:$C$21,"not found")</f>
        <v>Audio</v>
      </c>
      <c r="H555" s="4">
        <f>_xlfn.XLOOKUP(D555, Products!$A$2:$A$21, Products!$E$2:$E$21, 0)</f>
        <v>499</v>
      </c>
      <c r="I555" s="4">
        <f>_xlfn.XLOOKUP(D555, Products!$A$2:$A$21, Products!$F$2:$F$21,0)</f>
        <v>310</v>
      </c>
      <c r="J555" t="str">
        <f>_xlfn.XLOOKUP(C555, Stores!$A$2:$A$7, Stores!$D$2:$D$7)</f>
        <v>Sydney South</v>
      </c>
      <c r="K555" s="4">
        <f t="shared" si="16"/>
        <v>499</v>
      </c>
      <c r="L555" s="4">
        <f t="shared" si="17"/>
        <v>189</v>
      </c>
      <c r="M555" s="10">
        <f>IF(Table1[[#This Row],[Revenue]]=0, "", Table1[[#This Row],[Profit]]/Table1[[#This Row],[Revenue]])</f>
        <v>0.37875751503006011</v>
      </c>
      <c r="N555" s="4" t="str">
        <f>IF(Table1[[#This Row],[Margin]]="", "check", IF(Table1[[#This Row],[Margin]]&lt;0.2, "Low", "OK"))</f>
        <v>OK</v>
      </c>
      <c r="O555" s="4" t="str" cm="1">
        <f t="array" ref="O555">_xlfn.IFS(Table1[[#This Row],[Revenue]]=0, "Check", Table1[[#This Row],[Revenue]]&gt;=1000, "Large", Table1[[#This Row],[Revenue]]&gt;=200, "Medium", TRUE, "Small")</f>
        <v>Medium</v>
      </c>
      <c r="P555" s="4" t="str">
        <f>IF(AND(Table1[[#This Row],[Margin Flag]]="Low", Table1[[#This Row],[Revenue]]&gt;1000), "Review", "")</f>
        <v/>
      </c>
      <c r="Q555" s="4" t="str">
        <f>IF(OR(Table1[[#This Row],[Qty]]&gt;=5,Table1[[#This Row],[Order Size]] = "Large" ), "Bulk", "")</f>
        <v/>
      </c>
      <c r="R555" s="10">
        <f>_xlfn.XLOOKUP(G555, Lookup!$A$2:$A$7, Lookup!$B$2:$B$7, "")</f>
        <v>0.25</v>
      </c>
      <c r="S555" s="4" t="str">
        <f>IF(Table1[[#This Row],[Margin]]&lt;Table1[[#This Row],[Target Margin]], "Yes", "")</f>
        <v/>
      </c>
    </row>
    <row r="556" spans="1:19">
      <c r="A556" t="s">
        <v>601</v>
      </c>
      <c r="B556" s="2">
        <v>46286</v>
      </c>
      <c r="C556" t="s">
        <v>20</v>
      </c>
      <c r="D556" t="s">
        <v>21</v>
      </c>
      <c r="E556">
        <v>1</v>
      </c>
      <c r="F556" t="str">
        <f>_xlfn.XLOOKUP(D556, Products!$A$2:$A$21, Products!$B$2:$B$21, "Not Found")</f>
        <v>Gaming Mouse</v>
      </c>
      <c r="G556" t="str">
        <f>_xlfn.XLOOKUP(D556, Products!$A$2:$A$21, Products!$C$2:$C$21,"not found")</f>
        <v>Accessories</v>
      </c>
      <c r="H556" s="4">
        <f>_xlfn.XLOOKUP(D556, Products!$A$2:$A$21, Products!$E$2:$E$21, 0)</f>
        <v>89</v>
      </c>
      <c r="I556" s="4">
        <f>_xlfn.XLOOKUP(D556, Products!$A$2:$A$21, Products!$F$2:$F$21,0)</f>
        <v>41</v>
      </c>
      <c r="J556" t="str">
        <f>_xlfn.XLOOKUP(C556, Stores!$A$2:$A$7, Stores!$D$2:$D$7)</f>
        <v>Sydney West</v>
      </c>
      <c r="K556" s="4">
        <f t="shared" si="16"/>
        <v>89</v>
      </c>
      <c r="L556" s="4">
        <f t="shared" si="17"/>
        <v>48</v>
      </c>
      <c r="M556" s="10">
        <f>IF(Table1[[#This Row],[Revenue]]=0, "", Table1[[#This Row],[Profit]]/Table1[[#This Row],[Revenue]])</f>
        <v>0.5393258426966292</v>
      </c>
      <c r="N556" s="4" t="str">
        <f>IF(Table1[[#This Row],[Margin]]="", "check", IF(Table1[[#This Row],[Margin]]&lt;0.2, "Low", "OK"))</f>
        <v>OK</v>
      </c>
      <c r="O556" s="4" t="str" cm="1">
        <f t="array" ref="O556">_xlfn.IFS(Table1[[#This Row],[Revenue]]=0, "Check", Table1[[#This Row],[Revenue]]&gt;=1000, "Large", Table1[[#This Row],[Revenue]]&gt;=200, "Medium", TRUE, "Small")</f>
        <v>Small</v>
      </c>
      <c r="P556" s="4" t="str">
        <f>IF(AND(Table1[[#This Row],[Margin Flag]]="Low", Table1[[#This Row],[Revenue]]&gt;1000), "Review", "")</f>
        <v/>
      </c>
      <c r="Q556" s="4" t="str">
        <f>IF(OR(Table1[[#This Row],[Qty]]&gt;=5,Table1[[#This Row],[Order Size]] = "Large" ), "Bulk", "")</f>
        <v/>
      </c>
      <c r="R556" s="10">
        <f>_xlfn.XLOOKUP(G556, Lookup!$A$2:$A$7, Lookup!$B$2:$B$7, "")</f>
        <v>0.25</v>
      </c>
      <c r="S556" s="4" t="str">
        <f>IF(Table1[[#This Row],[Margin]]&lt;Table1[[#This Row],[Target Margin]], "Yes", "")</f>
        <v/>
      </c>
    </row>
    <row r="557" spans="1:19">
      <c r="A557" t="s">
        <v>602</v>
      </c>
      <c r="B557" s="2">
        <v>46286</v>
      </c>
      <c r="C557" t="s">
        <v>32</v>
      </c>
      <c r="D557" t="s">
        <v>35</v>
      </c>
      <c r="E557">
        <v>2</v>
      </c>
      <c r="F557" t="str">
        <f>_xlfn.XLOOKUP(D557, Products!$A$2:$A$21, Products!$B$2:$B$21, "Not Found")</f>
        <v>Phone Case</v>
      </c>
      <c r="G557" t="str">
        <f>_xlfn.XLOOKUP(D557, Products!$A$2:$A$21, Products!$C$2:$C$21,"not found")</f>
        <v>Accessories</v>
      </c>
      <c r="H557" s="4">
        <f>_xlfn.XLOOKUP(D557, Products!$A$2:$A$21, Products!$E$2:$E$21, 0)</f>
        <v>39</v>
      </c>
      <c r="I557" s="4">
        <f>_xlfn.XLOOKUP(D557, Products!$A$2:$A$21, Products!$F$2:$F$21,0)</f>
        <v>9</v>
      </c>
      <c r="J557" t="str">
        <f>_xlfn.XLOOKUP(C557, Stores!$A$2:$A$7, Stores!$D$2:$D$7)</f>
        <v>Sydney South</v>
      </c>
      <c r="K557" s="4">
        <f t="shared" si="16"/>
        <v>78</v>
      </c>
      <c r="L557" s="4">
        <f t="shared" si="17"/>
        <v>60</v>
      </c>
      <c r="M557" s="10">
        <f>IF(Table1[[#This Row],[Revenue]]=0, "", Table1[[#This Row],[Profit]]/Table1[[#This Row],[Revenue]])</f>
        <v>0.76923076923076927</v>
      </c>
      <c r="N557" s="4" t="str">
        <f>IF(Table1[[#This Row],[Margin]]="", "check", IF(Table1[[#This Row],[Margin]]&lt;0.2, "Low", "OK"))</f>
        <v>OK</v>
      </c>
      <c r="O557" s="4" t="str" cm="1">
        <f t="array" ref="O557">_xlfn.IFS(Table1[[#This Row],[Revenue]]=0, "Check", Table1[[#This Row],[Revenue]]&gt;=1000, "Large", Table1[[#This Row],[Revenue]]&gt;=200, "Medium", TRUE, "Small")</f>
        <v>Small</v>
      </c>
      <c r="P557" s="4" t="str">
        <f>IF(AND(Table1[[#This Row],[Margin Flag]]="Low", Table1[[#This Row],[Revenue]]&gt;1000), "Review", "")</f>
        <v/>
      </c>
      <c r="Q557" s="4" t="str">
        <f>IF(OR(Table1[[#This Row],[Qty]]&gt;=5,Table1[[#This Row],[Order Size]] = "Large" ), "Bulk", "")</f>
        <v/>
      </c>
      <c r="R557" s="10">
        <f>_xlfn.XLOOKUP(G557, Lookup!$A$2:$A$7, Lookup!$B$2:$B$7, "")</f>
        <v>0.25</v>
      </c>
      <c r="S557" s="4" t="str">
        <f>IF(Table1[[#This Row],[Margin]]&lt;Table1[[#This Row],[Target Margin]], "Yes", "")</f>
        <v/>
      </c>
    </row>
    <row r="558" spans="1:19">
      <c r="A558" t="s">
        <v>603</v>
      </c>
      <c r="B558" s="2">
        <v>46286</v>
      </c>
      <c r="C558" t="s">
        <v>29</v>
      </c>
      <c r="D558" t="s">
        <v>35</v>
      </c>
      <c r="E558">
        <v>1</v>
      </c>
      <c r="F558" t="str">
        <f>_xlfn.XLOOKUP(D558, Products!$A$2:$A$21, Products!$B$2:$B$21, "Not Found")</f>
        <v>Phone Case</v>
      </c>
      <c r="G558" t="str">
        <f>_xlfn.XLOOKUP(D558, Products!$A$2:$A$21, Products!$C$2:$C$21,"not found")</f>
        <v>Accessories</v>
      </c>
      <c r="H558" s="4">
        <f>_xlfn.XLOOKUP(D558, Products!$A$2:$A$21, Products!$E$2:$E$21, 0)</f>
        <v>39</v>
      </c>
      <c r="I558" s="4">
        <f>_xlfn.XLOOKUP(D558, Products!$A$2:$A$21, Products!$F$2:$F$21,0)</f>
        <v>9</v>
      </c>
      <c r="J558" t="str">
        <f>_xlfn.XLOOKUP(C558, Stores!$A$2:$A$7, Stores!$D$2:$D$7)</f>
        <v>Sydney West</v>
      </c>
      <c r="K558" s="4">
        <f t="shared" si="16"/>
        <v>39</v>
      </c>
      <c r="L558" s="4">
        <f t="shared" si="17"/>
        <v>30</v>
      </c>
      <c r="M558" s="10">
        <f>IF(Table1[[#This Row],[Revenue]]=0, "", Table1[[#This Row],[Profit]]/Table1[[#This Row],[Revenue]])</f>
        <v>0.76923076923076927</v>
      </c>
      <c r="N558" s="4" t="str">
        <f>IF(Table1[[#This Row],[Margin]]="", "check", IF(Table1[[#This Row],[Margin]]&lt;0.2, "Low", "OK"))</f>
        <v>OK</v>
      </c>
      <c r="O558" s="4" t="str" cm="1">
        <f t="array" ref="O558">_xlfn.IFS(Table1[[#This Row],[Revenue]]=0, "Check", Table1[[#This Row],[Revenue]]&gt;=1000, "Large", Table1[[#This Row],[Revenue]]&gt;=200, "Medium", TRUE, "Small")</f>
        <v>Small</v>
      </c>
      <c r="P558" s="4" t="str">
        <f>IF(AND(Table1[[#This Row],[Margin Flag]]="Low", Table1[[#This Row],[Revenue]]&gt;1000), "Review", "")</f>
        <v/>
      </c>
      <c r="Q558" s="4" t="str">
        <f>IF(OR(Table1[[#This Row],[Qty]]&gt;=5,Table1[[#This Row],[Order Size]] = "Large" ), "Bulk", "")</f>
        <v/>
      </c>
      <c r="R558" s="10">
        <f>_xlfn.XLOOKUP(G558, Lookup!$A$2:$A$7, Lookup!$B$2:$B$7, "")</f>
        <v>0.25</v>
      </c>
      <c r="S558" s="4" t="str">
        <f>IF(Table1[[#This Row],[Margin]]&lt;Table1[[#This Row],[Target Margin]], "Yes", "")</f>
        <v/>
      </c>
    </row>
    <row r="559" spans="1:19">
      <c r="A559" t="s">
        <v>604</v>
      </c>
      <c r="B559" s="2">
        <v>46286</v>
      </c>
      <c r="C559" t="s">
        <v>32</v>
      </c>
      <c r="D559" t="s">
        <v>50</v>
      </c>
      <c r="E559">
        <v>1</v>
      </c>
      <c r="F559" t="str">
        <f>_xlfn.XLOOKUP(D559, Products!$A$2:$A$21, Products!$B$2:$B$21, "Not Found")</f>
        <v>Smartphone 128GB</v>
      </c>
      <c r="G559" t="str">
        <f>_xlfn.XLOOKUP(D559, Products!$A$2:$A$21, Products!$C$2:$C$21,"not found")</f>
        <v>Phones</v>
      </c>
      <c r="H559" s="4">
        <f>_xlfn.XLOOKUP(D559, Products!$A$2:$A$21, Products!$E$2:$E$21, 0)</f>
        <v>1099</v>
      </c>
      <c r="I559" s="4">
        <f>_xlfn.XLOOKUP(D559, Products!$A$2:$A$21, Products!$F$2:$F$21,0)</f>
        <v>860</v>
      </c>
      <c r="J559" t="str">
        <f>_xlfn.XLOOKUP(C559, Stores!$A$2:$A$7, Stores!$D$2:$D$7)</f>
        <v>Sydney South</v>
      </c>
      <c r="K559" s="4">
        <f t="shared" si="16"/>
        <v>1099</v>
      </c>
      <c r="L559" s="4">
        <f t="shared" si="17"/>
        <v>239</v>
      </c>
      <c r="M559" s="10">
        <f>IF(Table1[[#This Row],[Revenue]]=0, "", Table1[[#This Row],[Profit]]/Table1[[#This Row],[Revenue]])</f>
        <v>0.21747042766151045</v>
      </c>
      <c r="N559" s="4" t="str">
        <f>IF(Table1[[#This Row],[Margin]]="", "check", IF(Table1[[#This Row],[Margin]]&lt;0.2, "Low", "OK"))</f>
        <v>OK</v>
      </c>
      <c r="O559" s="4" t="str" cm="1">
        <f t="array" ref="O559">_xlfn.IFS(Table1[[#This Row],[Revenue]]=0, "Check", Table1[[#This Row],[Revenue]]&gt;=1000, "Large", Table1[[#This Row],[Revenue]]&gt;=200, "Medium", TRUE, "Small")</f>
        <v>Large</v>
      </c>
      <c r="P559" s="4" t="str">
        <f>IF(AND(Table1[[#This Row],[Margin Flag]]="Low", Table1[[#This Row],[Revenue]]&gt;1000), "Review", "")</f>
        <v/>
      </c>
      <c r="Q559" s="4" t="str">
        <f>IF(OR(Table1[[#This Row],[Qty]]&gt;=5,Table1[[#This Row],[Order Size]] = "Large" ), "Bulk", "")</f>
        <v>Bulk</v>
      </c>
      <c r="R559" s="10">
        <f>_xlfn.XLOOKUP(G559, Lookup!$A$2:$A$7, Lookup!$B$2:$B$7, "")</f>
        <v>0.25</v>
      </c>
      <c r="S559" s="4" t="str">
        <f>IF(Table1[[#This Row],[Margin]]&lt;Table1[[#This Row],[Target Margin]], "Yes", "")</f>
        <v>Yes</v>
      </c>
    </row>
    <row r="560" spans="1:19">
      <c r="A560" t="s">
        <v>605</v>
      </c>
      <c r="B560" s="2">
        <v>46286</v>
      </c>
      <c r="C560" t="s">
        <v>26</v>
      </c>
      <c r="D560" t="s">
        <v>50</v>
      </c>
      <c r="E560">
        <v>1</v>
      </c>
      <c r="F560" t="str">
        <f>_xlfn.XLOOKUP(D560, Products!$A$2:$A$21, Products!$B$2:$B$21, "Not Found")</f>
        <v>Smartphone 128GB</v>
      </c>
      <c r="G560" t="str">
        <f>_xlfn.XLOOKUP(D560, Products!$A$2:$A$21, Products!$C$2:$C$21,"not found")</f>
        <v>Phones</v>
      </c>
      <c r="H560" s="4">
        <f>_xlfn.XLOOKUP(D560, Products!$A$2:$A$21, Products!$E$2:$E$21, 0)</f>
        <v>1099</v>
      </c>
      <c r="I560" s="4">
        <f>_xlfn.XLOOKUP(D560, Products!$A$2:$A$21, Products!$F$2:$F$21,0)</f>
        <v>860</v>
      </c>
      <c r="J560" t="str">
        <f>_xlfn.XLOOKUP(C560, Stores!$A$2:$A$7, Stores!$D$2:$D$7)</f>
        <v>Sydney North</v>
      </c>
      <c r="K560" s="4">
        <f t="shared" si="16"/>
        <v>1099</v>
      </c>
      <c r="L560" s="4">
        <f t="shared" si="17"/>
        <v>239</v>
      </c>
      <c r="M560" s="10">
        <f>IF(Table1[[#This Row],[Revenue]]=0, "", Table1[[#This Row],[Profit]]/Table1[[#This Row],[Revenue]])</f>
        <v>0.21747042766151045</v>
      </c>
      <c r="N560" s="4" t="str">
        <f>IF(Table1[[#This Row],[Margin]]="", "check", IF(Table1[[#This Row],[Margin]]&lt;0.2, "Low", "OK"))</f>
        <v>OK</v>
      </c>
      <c r="O560" s="4" t="str" cm="1">
        <f t="array" ref="O560">_xlfn.IFS(Table1[[#This Row],[Revenue]]=0, "Check", Table1[[#This Row],[Revenue]]&gt;=1000, "Large", Table1[[#This Row],[Revenue]]&gt;=200, "Medium", TRUE, "Small")</f>
        <v>Large</v>
      </c>
      <c r="P560" s="4" t="str">
        <f>IF(AND(Table1[[#This Row],[Margin Flag]]="Low", Table1[[#This Row],[Revenue]]&gt;1000), "Review", "")</f>
        <v/>
      </c>
      <c r="Q560" s="4" t="str">
        <f>IF(OR(Table1[[#This Row],[Qty]]&gt;=5,Table1[[#This Row],[Order Size]] = "Large" ), "Bulk", "")</f>
        <v>Bulk</v>
      </c>
      <c r="R560" s="10">
        <f>_xlfn.XLOOKUP(G560, Lookup!$A$2:$A$7, Lookup!$B$2:$B$7, "")</f>
        <v>0.25</v>
      </c>
      <c r="S560" s="4" t="str">
        <f>IF(Table1[[#This Row],[Margin]]&lt;Table1[[#This Row],[Target Margin]], "Yes", "")</f>
        <v>Yes</v>
      </c>
    </row>
    <row r="561" spans="1:19">
      <c r="A561" t="s">
        <v>606</v>
      </c>
      <c r="B561" s="2">
        <v>46287</v>
      </c>
      <c r="C561" t="s">
        <v>32</v>
      </c>
      <c r="D561" t="s">
        <v>24</v>
      </c>
      <c r="E561">
        <v>1</v>
      </c>
      <c r="F561" t="str">
        <f>_xlfn.XLOOKUP(D561, Products!$A$2:$A$21, Products!$B$2:$B$21, "Not Found")</f>
        <v>Wireless Earbuds</v>
      </c>
      <c r="G561" t="str">
        <f>_xlfn.XLOOKUP(D561, Products!$A$2:$A$21, Products!$C$2:$C$21,"not found")</f>
        <v>Audio</v>
      </c>
      <c r="H561" s="4">
        <f>_xlfn.XLOOKUP(D561, Products!$A$2:$A$21, Products!$E$2:$E$21, 0)</f>
        <v>249</v>
      </c>
      <c r="I561" s="4">
        <f>_xlfn.XLOOKUP(D561, Products!$A$2:$A$21, Products!$F$2:$F$21,0)</f>
        <v>140</v>
      </c>
      <c r="J561" t="str">
        <f>_xlfn.XLOOKUP(C561, Stores!$A$2:$A$7, Stores!$D$2:$D$7)</f>
        <v>Sydney South</v>
      </c>
      <c r="K561" s="4">
        <f t="shared" si="16"/>
        <v>249</v>
      </c>
      <c r="L561" s="4">
        <f t="shared" si="17"/>
        <v>109</v>
      </c>
      <c r="M561" s="10">
        <f>IF(Table1[[#This Row],[Revenue]]=0, "", Table1[[#This Row],[Profit]]/Table1[[#This Row],[Revenue]])</f>
        <v>0.43775100401606426</v>
      </c>
      <c r="N561" s="4" t="str">
        <f>IF(Table1[[#This Row],[Margin]]="", "check", IF(Table1[[#This Row],[Margin]]&lt;0.2, "Low", "OK"))</f>
        <v>OK</v>
      </c>
      <c r="O561" s="4" t="str" cm="1">
        <f t="array" ref="O561">_xlfn.IFS(Table1[[#This Row],[Revenue]]=0, "Check", Table1[[#This Row],[Revenue]]&gt;=1000, "Large", Table1[[#This Row],[Revenue]]&gt;=200, "Medium", TRUE, "Small")</f>
        <v>Medium</v>
      </c>
      <c r="P561" s="4" t="str">
        <f>IF(AND(Table1[[#This Row],[Margin Flag]]="Low", Table1[[#This Row],[Revenue]]&gt;1000), "Review", "")</f>
        <v/>
      </c>
      <c r="Q561" s="4" t="str">
        <f>IF(OR(Table1[[#This Row],[Qty]]&gt;=5,Table1[[#This Row],[Order Size]] = "Large" ), "Bulk", "")</f>
        <v/>
      </c>
      <c r="R561" s="10">
        <f>_xlfn.XLOOKUP(G561, Lookup!$A$2:$A$7, Lookup!$B$2:$B$7, "")</f>
        <v>0.25</v>
      </c>
      <c r="S561" s="4" t="str">
        <f>IF(Table1[[#This Row],[Margin]]&lt;Table1[[#This Row],[Target Margin]], "Yes", "")</f>
        <v/>
      </c>
    </row>
    <row r="562" spans="1:19">
      <c r="A562" t="s">
        <v>607</v>
      </c>
      <c r="B562" s="2">
        <v>46287</v>
      </c>
      <c r="C562" t="s">
        <v>29</v>
      </c>
      <c r="D562" t="s">
        <v>38</v>
      </c>
      <c r="E562">
        <v>3</v>
      </c>
      <c r="F562" t="str">
        <f>_xlfn.XLOOKUP(D562, Products!$A$2:$A$21, Products!$B$2:$B$21, "Not Found")</f>
        <v>USB-C Charger</v>
      </c>
      <c r="G562" t="str">
        <f>_xlfn.XLOOKUP(D562, Products!$A$2:$A$21, Products!$C$2:$C$21,"not found")</f>
        <v>Accessories</v>
      </c>
      <c r="H562" s="4">
        <f>_xlfn.XLOOKUP(D562, Products!$A$2:$A$21, Products!$E$2:$E$21, 0)</f>
        <v>49</v>
      </c>
      <c r="I562" s="4">
        <f>_xlfn.XLOOKUP(D562, Products!$A$2:$A$21, Products!$F$2:$F$21,0)</f>
        <v>14</v>
      </c>
      <c r="J562" t="str">
        <f>_xlfn.XLOOKUP(C562, Stores!$A$2:$A$7, Stores!$D$2:$D$7)</f>
        <v>Sydney West</v>
      </c>
      <c r="K562" s="4">
        <f t="shared" si="16"/>
        <v>147</v>
      </c>
      <c r="L562" s="4">
        <f t="shared" si="17"/>
        <v>105</v>
      </c>
      <c r="M562" s="10">
        <f>IF(Table1[[#This Row],[Revenue]]=0, "", Table1[[#This Row],[Profit]]/Table1[[#This Row],[Revenue]])</f>
        <v>0.7142857142857143</v>
      </c>
      <c r="N562" s="4" t="str">
        <f>IF(Table1[[#This Row],[Margin]]="", "check", IF(Table1[[#This Row],[Margin]]&lt;0.2, "Low", "OK"))</f>
        <v>OK</v>
      </c>
      <c r="O562" s="4" t="str" cm="1">
        <f t="array" ref="O562">_xlfn.IFS(Table1[[#This Row],[Revenue]]=0, "Check", Table1[[#This Row],[Revenue]]&gt;=1000, "Large", Table1[[#This Row],[Revenue]]&gt;=200, "Medium", TRUE, "Small")</f>
        <v>Small</v>
      </c>
      <c r="P562" s="4" t="str">
        <f>IF(AND(Table1[[#This Row],[Margin Flag]]="Low", Table1[[#This Row],[Revenue]]&gt;1000), "Review", "")</f>
        <v/>
      </c>
      <c r="Q562" s="4" t="str">
        <f>IF(OR(Table1[[#This Row],[Qty]]&gt;=5,Table1[[#This Row],[Order Size]] = "Large" ), "Bulk", "")</f>
        <v/>
      </c>
      <c r="R562" s="10">
        <f>_xlfn.XLOOKUP(G562, Lookup!$A$2:$A$7, Lookup!$B$2:$B$7, "")</f>
        <v>0.25</v>
      </c>
      <c r="S562" s="4" t="str">
        <f>IF(Table1[[#This Row],[Margin]]&lt;Table1[[#This Row],[Target Margin]], "Yes", "")</f>
        <v/>
      </c>
    </row>
    <row r="563" spans="1:19">
      <c r="A563" t="s">
        <v>608</v>
      </c>
      <c r="B563" s="2">
        <v>46287</v>
      </c>
      <c r="C563" t="s">
        <v>32</v>
      </c>
      <c r="D563" t="s">
        <v>58</v>
      </c>
      <c r="E563">
        <v>1</v>
      </c>
      <c r="F563" t="str">
        <f>_xlfn.XLOOKUP(D563, Products!$A$2:$A$21, Products!$B$2:$B$21, "Not Found")</f>
        <v>Mech Keyboard</v>
      </c>
      <c r="G563" t="str">
        <f>_xlfn.XLOOKUP(D563, Products!$A$2:$A$21, Products!$C$2:$C$21,"not found")</f>
        <v>Accessories</v>
      </c>
      <c r="H563" s="4">
        <f>_xlfn.XLOOKUP(D563, Products!$A$2:$A$21, Products!$E$2:$E$21, 0)</f>
        <v>149</v>
      </c>
      <c r="I563" s="4">
        <f>_xlfn.XLOOKUP(D563, Products!$A$2:$A$21, Products!$F$2:$F$21,0)</f>
        <v>72</v>
      </c>
      <c r="J563" t="str">
        <f>_xlfn.XLOOKUP(C563, Stores!$A$2:$A$7, Stores!$D$2:$D$7)</f>
        <v>Sydney South</v>
      </c>
      <c r="K563" s="4">
        <f t="shared" si="16"/>
        <v>149</v>
      </c>
      <c r="L563" s="4">
        <f t="shared" si="17"/>
        <v>77</v>
      </c>
      <c r="M563" s="10">
        <f>IF(Table1[[#This Row],[Revenue]]=0, "", Table1[[#This Row],[Profit]]/Table1[[#This Row],[Revenue]])</f>
        <v>0.51677852348993292</v>
      </c>
      <c r="N563" s="4" t="str">
        <f>IF(Table1[[#This Row],[Margin]]="", "check", IF(Table1[[#This Row],[Margin]]&lt;0.2, "Low", "OK"))</f>
        <v>OK</v>
      </c>
      <c r="O563" s="4" t="str" cm="1">
        <f t="array" ref="O563">_xlfn.IFS(Table1[[#This Row],[Revenue]]=0, "Check", Table1[[#This Row],[Revenue]]&gt;=1000, "Large", Table1[[#This Row],[Revenue]]&gt;=200, "Medium", TRUE, "Small")</f>
        <v>Small</v>
      </c>
      <c r="P563" s="4" t="str">
        <f>IF(AND(Table1[[#This Row],[Margin Flag]]="Low", Table1[[#This Row],[Revenue]]&gt;1000), "Review", "")</f>
        <v/>
      </c>
      <c r="Q563" s="4" t="str">
        <f>IF(OR(Table1[[#This Row],[Qty]]&gt;=5,Table1[[#This Row],[Order Size]] = "Large" ), "Bulk", "")</f>
        <v/>
      </c>
      <c r="R563" s="10">
        <f>_xlfn.XLOOKUP(G563, Lookup!$A$2:$A$7, Lookup!$B$2:$B$7, "")</f>
        <v>0.25</v>
      </c>
      <c r="S563" s="4" t="str">
        <f>IF(Table1[[#This Row],[Margin]]&lt;Table1[[#This Row],[Target Margin]], "Yes", "")</f>
        <v/>
      </c>
    </row>
    <row r="564" spans="1:19">
      <c r="A564" t="s">
        <v>609</v>
      </c>
      <c r="B564" s="2">
        <v>46287</v>
      </c>
      <c r="C564" t="s">
        <v>26</v>
      </c>
      <c r="D564" t="s">
        <v>35</v>
      </c>
      <c r="E564">
        <v>1</v>
      </c>
      <c r="F564" t="str">
        <f>_xlfn.XLOOKUP(D564, Products!$A$2:$A$21, Products!$B$2:$B$21, "Not Found")</f>
        <v>Phone Case</v>
      </c>
      <c r="G564" t="str">
        <f>_xlfn.XLOOKUP(D564, Products!$A$2:$A$21, Products!$C$2:$C$21,"not found")</f>
        <v>Accessories</v>
      </c>
      <c r="H564" s="4">
        <f>_xlfn.XLOOKUP(D564, Products!$A$2:$A$21, Products!$E$2:$E$21, 0)</f>
        <v>39</v>
      </c>
      <c r="I564" s="4">
        <f>_xlfn.XLOOKUP(D564, Products!$A$2:$A$21, Products!$F$2:$F$21,0)</f>
        <v>9</v>
      </c>
      <c r="J564" t="str">
        <f>_xlfn.XLOOKUP(C564, Stores!$A$2:$A$7, Stores!$D$2:$D$7)</f>
        <v>Sydney North</v>
      </c>
      <c r="K564" s="4">
        <f t="shared" si="16"/>
        <v>39</v>
      </c>
      <c r="L564" s="4">
        <f t="shared" si="17"/>
        <v>30</v>
      </c>
      <c r="M564" s="10">
        <f>IF(Table1[[#This Row],[Revenue]]=0, "", Table1[[#This Row],[Profit]]/Table1[[#This Row],[Revenue]])</f>
        <v>0.76923076923076927</v>
      </c>
      <c r="N564" s="4" t="str">
        <f>IF(Table1[[#This Row],[Margin]]="", "check", IF(Table1[[#This Row],[Margin]]&lt;0.2, "Low", "OK"))</f>
        <v>OK</v>
      </c>
      <c r="O564" s="4" t="str" cm="1">
        <f t="array" ref="O564">_xlfn.IFS(Table1[[#This Row],[Revenue]]=0, "Check", Table1[[#This Row],[Revenue]]&gt;=1000, "Large", Table1[[#This Row],[Revenue]]&gt;=200, "Medium", TRUE, "Small")</f>
        <v>Small</v>
      </c>
      <c r="P564" s="4" t="str">
        <f>IF(AND(Table1[[#This Row],[Margin Flag]]="Low", Table1[[#This Row],[Revenue]]&gt;1000), "Review", "")</f>
        <v/>
      </c>
      <c r="Q564" s="4" t="str">
        <f>IF(OR(Table1[[#This Row],[Qty]]&gt;=5,Table1[[#This Row],[Order Size]] = "Large" ), "Bulk", "")</f>
        <v/>
      </c>
      <c r="R564" s="10">
        <f>_xlfn.XLOOKUP(G564, Lookup!$A$2:$A$7, Lookup!$B$2:$B$7, "")</f>
        <v>0.25</v>
      </c>
      <c r="S564" s="4" t="str">
        <f>IF(Table1[[#This Row],[Margin]]&lt;Table1[[#This Row],[Target Margin]], "Yes", "")</f>
        <v/>
      </c>
    </row>
    <row r="565" spans="1:19">
      <c r="A565" t="s">
        <v>610</v>
      </c>
      <c r="B565" s="2">
        <v>46287</v>
      </c>
      <c r="C565" t="s">
        <v>26</v>
      </c>
      <c r="D565" t="s">
        <v>171</v>
      </c>
      <c r="E565">
        <v>1</v>
      </c>
      <c r="F565" t="str">
        <f>_xlfn.XLOOKUP(D565, Products!$A$2:$A$21, Products!$B$2:$B$21, "Not Found")</f>
        <v>Smartwatch</v>
      </c>
      <c r="G565" t="str">
        <f>_xlfn.XLOOKUP(D565, Products!$A$2:$A$21, Products!$C$2:$C$21,"not found")</f>
        <v>Phones</v>
      </c>
      <c r="H565" s="4">
        <f>_xlfn.XLOOKUP(D565, Products!$A$2:$A$21, Products!$E$2:$E$21, 0)</f>
        <v>649</v>
      </c>
      <c r="I565" s="4">
        <f>_xlfn.XLOOKUP(D565, Products!$A$2:$A$21, Products!$F$2:$F$21,0)</f>
        <v>480</v>
      </c>
      <c r="J565" t="str">
        <f>_xlfn.XLOOKUP(C565, Stores!$A$2:$A$7, Stores!$D$2:$D$7)</f>
        <v>Sydney North</v>
      </c>
      <c r="K565" s="4">
        <f t="shared" si="16"/>
        <v>649</v>
      </c>
      <c r="L565" s="4">
        <f t="shared" si="17"/>
        <v>169</v>
      </c>
      <c r="M565" s="10">
        <f>IF(Table1[[#This Row],[Revenue]]=0, "", Table1[[#This Row],[Profit]]/Table1[[#This Row],[Revenue]])</f>
        <v>0.26040061633281975</v>
      </c>
      <c r="N565" s="4" t="str">
        <f>IF(Table1[[#This Row],[Margin]]="", "check", IF(Table1[[#This Row],[Margin]]&lt;0.2, "Low", "OK"))</f>
        <v>OK</v>
      </c>
      <c r="O565" s="4" t="str" cm="1">
        <f t="array" ref="O565">_xlfn.IFS(Table1[[#This Row],[Revenue]]=0, "Check", Table1[[#This Row],[Revenue]]&gt;=1000, "Large", Table1[[#This Row],[Revenue]]&gt;=200, "Medium", TRUE, "Small")</f>
        <v>Medium</v>
      </c>
      <c r="P565" s="4" t="str">
        <f>IF(AND(Table1[[#This Row],[Margin Flag]]="Low", Table1[[#This Row],[Revenue]]&gt;1000), "Review", "")</f>
        <v/>
      </c>
      <c r="Q565" s="4" t="str">
        <f>IF(OR(Table1[[#This Row],[Qty]]&gt;=5,Table1[[#This Row],[Order Size]] = "Large" ), "Bulk", "")</f>
        <v/>
      </c>
      <c r="R565" s="10">
        <f>_xlfn.XLOOKUP(G565, Lookup!$A$2:$A$7, Lookup!$B$2:$B$7, "")</f>
        <v>0.25</v>
      </c>
      <c r="S565" s="4" t="str">
        <f>IF(Table1[[#This Row],[Margin]]&lt;Table1[[#This Row],[Target Margin]], "Yes", "")</f>
        <v/>
      </c>
    </row>
    <row r="566" spans="1:19">
      <c r="A566" t="s">
        <v>611</v>
      </c>
      <c r="B566" s="2">
        <v>46287</v>
      </c>
      <c r="C566" t="s">
        <v>20</v>
      </c>
      <c r="D566" t="s">
        <v>30</v>
      </c>
      <c r="E566">
        <v>2</v>
      </c>
      <c r="F566" t="str">
        <f>_xlfn.XLOOKUP(D566, Products!$A$2:$A$21, Products!$B$2:$B$21, "Not Found")</f>
        <v>Video Game</v>
      </c>
      <c r="G566" t="str">
        <f>_xlfn.XLOOKUP(D566, Products!$A$2:$A$21, Products!$C$2:$C$21,"not found")</f>
        <v>Gaming</v>
      </c>
      <c r="H566" s="4">
        <f>_xlfn.XLOOKUP(D566, Products!$A$2:$A$21, Products!$E$2:$E$21, 0)</f>
        <v>79</v>
      </c>
      <c r="I566" s="4">
        <f>_xlfn.XLOOKUP(D566, Products!$A$2:$A$21, Products!$F$2:$F$21,0)</f>
        <v>52</v>
      </c>
      <c r="J566" t="str">
        <f>_xlfn.XLOOKUP(C566, Stores!$A$2:$A$7, Stores!$D$2:$D$7)</f>
        <v>Sydney West</v>
      </c>
      <c r="K566" s="4">
        <f t="shared" si="16"/>
        <v>158</v>
      </c>
      <c r="L566" s="4">
        <f t="shared" si="17"/>
        <v>54</v>
      </c>
      <c r="M566" s="10">
        <f>IF(Table1[[#This Row],[Revenue]]=0, "", Table1[[#This Row],[Profit]]/Table1[[#This Row],[Revenue]])</f>
        <v>0.34177215189873417</v>
      </c>
      <c r="N566" s="4" t="str">
        <f>IF(Table1[[#This Row],[Margin]]="", "check", IF(Table1[[#This Row],[Margin]]&lt;0.2, "Low", "OK"))</f>
        <v>OK</v>
      </c>
      <c r="O566" s="4" t="str" cm="1">
        <f t="array" ref="O566">_xlfn.IFS(Table1[[#This Row],[Revenue]]=0, "Check", Table1[[#This Row],[Revenue]]&gt;=1000, "Large", Table1[[#This Row],[Revenue]]&gt;=200, "Medium", TRUE, "Small")</f>
        <v>Small</v>
      </c>
      <c r="P566" s="4" t="str">
        <f>IF(AND(Table1[[#This Row],[Margin Flag]]="Low", Table1[[#This Row],[Revenue]]&gt;1000), "Review", "")</f>
        <v/>
      </c>
      <c r="Q566" s="4" t="str">
        <f>IF(OR(Table1[[#This Row],[Qty]]&gt;=5,Table1[[#This Row],[Order Size]] = "Large" ), "Bulk", "")</f>
        <v/>
      </c>
      <c r="R566" s="10">
        <f>_xlfn.XLOOKUP(G566, Lookup!$A$2:$A$7, Lookup!$B$2:$B$7, "")</f>
        <v>0.08</v>
      </c>
      <c r="S566" s="4" t="str">
        <f>IF(Table1[[#This Row],[Margin]]&lt;Table1[[#This Row],[Target Margin]], "Yes", "")</f>
        <v/>
      </c>
    </row>
    <row r="567" spans="1:19">
      <c r="A567" t="s">
        <v>612</v>
      </c>
      <c r="B567" s="2">
        <v>46287</v>
      </c>
      <c r="C567" t="s">
        <v>32</v>
      </c>
      <c r="D567" t="s">
        <v>35</v>
      </c>
      <c r="E567">
        <v>3</v>
      </c>
      <c r="F567" t="str">
        <f>_xlfn.XLOOKUP(D567, Products!$A$2:$A$21, Products!$B$2:$B$21, "Not Found")</f>
        <v>Phone Case</v>
      </c>
      <c r="G567" t="str">
        <f>_xlfn.XLOOKUP(D567, Products!$A$2:$A$21, Products!$C$2:$C$21,"not found")</f>
        <v>Accessories</v>
      </c>
      <c r="H567" s="4">
        <f>_xlfn.XLOOKUP(D567, Products!$A$2:$A$21, Products!$E$2:$E$21, 0)</f>
        <v>39</v>
      </c>
      <c r="I567" s="4">
        <f>_xlfn.XLOOKUP(D567, Products!$A$2:$A$21, Products!$F$2:$F$21,0)</f>
        <v>9</v>
      </c>
      <c r="J567" t="str">
        <f>_xlfn.XLOOKUP(C567, Stores!$A$2:$A$7, Stores!$D$2:$D$7)</f>
        <v>Sydney South</v>
      </c>
      <c r="K567" s="4">
        <f t="shared" si="16"/>
        <v>117</v>
      </c>
      <c r="L567" s="4">
        <f t="shared" si="17"/>
        <v>90</v>
      </c>
      <c r="M567" s="10">
        <f>IF(Table1[[#This Row],[Revenue]]=0, "", Table1[[#This Row],[Profit]]/Table1[[#This Row],[Revenue]])</f>
        <v>0.76923076923076927</v>
      </c>
      <c r="N567" s="4" t="str">
        <f>IF(Table1[[#This Row],[Margin]]="", "check", IF(Table1[[#This Row],[Margin]]&lt;0.2, "Low", "OK"))</f>
        <v>OK</v>
      </c>
      <c r="O567" s="4" t="str" cm="1">
        <f t="array" ref="O567">_xlfn.IFS(Table1[[#This Row],[Revenue]]=0, "Check", Table1[[#This Row],[Revenue]]&gt;=1000, "Large", Table1[[#This Row],[Revenue]]&gt;=200, "Medium", TRUE, "Small")</f>
        <v>Small</v>
      </c>
      <c r="P567" s="4" t="str">
        <f>IF(AND(Table1[[#This Row],[Margin Flag]]="Low", Table1[[#This Row],[Revenue]]&gt;1000), "Review", "")</f>
        <v/>
      </c>
      <c r="Q567" s="4" t="str">
        <f>IF(OR(Table1[[#This Row],[Qty]]&gt;=5,Table1[[#This Row],[Order Size]] = "Large" ), "Bulk", "")</f>
        <v/>
      </c>
      <c r="R567" s="10">
        <f>_xlfn.XLOOKUP(G567, Lookup!$A$2:$A$7, Lookup!$B$2:$B$7, "")</f>
        <v>0.25</v>
      </c>
      <c r="S567" s="4" t="str">
        <f>IF(Table1[[#This Row],[Margin]]&lt;Table1[[#This Row],[Target Margin]], "Yes", "")</f>
        <v/>
      </c>
    </row>
    <row r="568" spans="1:19">
      <c r="A568" t="s">
        <v>613</v>
      </c>
      <c r="B568" s="2">
        <v>46288</v>
      </c>
      <c r="C568" t="s">
        <v>29</v>
      </c>
      <c r="D568" t="s">
        <v>50</v>
      </c>
      <c r="E568">
        <v>1</v>
      </c>
      <c r="F568" t="str">
        <f>_xlfn.XLOOKUP(D568, Products!$A$2:$A$21, Products!$B$2:$B$21, "Not Found")</f>
        <v>Smartphone 128GB</v>
      </c>
      <c r="G568" t="str">
        <f>_xlfn.XLOOKUP(D568, Products!$A$2:$A$21, Products!$C$2:$C$21,"not found")</f>
        <v>Phones</v>
      </c>
      <c r="H568" s="4">
        <f>_xlfn.XLOOKUP(D568, Products!$A$2:$A$21, Products!$E$2:$E$21, 0)</f>
        <v>1099</v>
      </c>
      <c r="I568" s="4">
        <f>_xlfn.XLOOKUP(D568, Products!$A$2:$A$21, Products!$F$2:$F$21,0)</f>
        <v>860</v>
      </c>
      <c r="J568" t="str">
        <f>_xlfn.XLOOKUP(C568, Stores!$A$2:$A$7, Stores!$D$2:$D$7)</f>
        <v>Sydney West</v>
      </c>
      <c r="K568" s="4">
        <f t="shared" si="16"/>
        <v>1099</v>
      </c>
      <c r="L568" s="4">
        <f t="shared" si="17"/>
        <v>239</v>
      </c>
      <c r="M568" s="10">
        <f>IF(Table1[[#This Row],[Revenue]]=0, "", Table1[[#This Row],[Profit]]/Table1[[#This Row],[Revenue]])</f>
        <v>0.21747042766151045</v>
      </c>
      <c r="N568" s="4" t="str">
        <f>IF(Table1[[#This Row],[Margin]]="", "check", IF(Table1[[#This Row],[Margin]]&lt;0.2, "Low", "OK"))</f>
        <v>OK</v>
      </c>
      <c r="O568" s="4" t="str" cm="1">
        <f t="array" ref="O568">_xlfn.IFS(Table1[[#This Row],[Revenue]]=0, "Check", Table1[[#This Row],[Revenue]]&gt;=1000, "Large", Table1[[#This Row],[Revenue]]&gt;=200, "Medium", TRUE, "Small")</f>
        <v>Large</v>
      </c>
      <c r="P568" s="4" t="str">
        <f>IF(AND(Table1[[#This Row],[Margin Flag]]="Low", Table1[[#This Row],[Revenue]]&gt;1000), "Review", "")</f>
        <v/>
      </c>
      <c r="Q568" s="4" t="str">
        <f>IF(OR(Table1[[#This Row],[Qty]]&gt;=5,Table1[[#This Row],[Order Size]] = "Large" ), "Bulk", "")</f>
        <v>Bulk</v>
      </c>
      <c r="R568" s="10">
        <f>_xlfn.XLOOKUP(G568, Lookup!$A$2:$A$7, Lookup!$B$2:$B$7, "")</f>
        <v>0.25</v>
      </c>
      <c r="S568" s="4" t="str">
        <f>IF(Table1[[#This Row],[Margin]]&lt;Table1[[#This Row],[Target Margin]], "Yes", "")</f>
        <v>Yes</v>
      </c>
    </row>
    <row r="569" spans="1:19">
      <c r="A569" t="s">
        <v>614</v>
      </c>
      <c r="B569" s="2">
        <v>46288</v>
      </c>
      <c r="C569" t="s">
        <v>23</v>
      </c>
      <c r="D569" t="s">
        <v>80</v>
      </c>
      <c r="E569">
        <v>1</v>
      </c>
      <c r="F569" t="str">
        <f>_xlfn.XLOOKUP(D569, Products!$A$2:$A$21, Products!$B$2:$B$21, "Not Found")</f>
        <v>Over-Ear Headphones</v>
      </c>
      <c r="G569" t="str">
        <f>_xlfn.XLOOKUP(D569, Products!$A$2:$A$21, Products!$C$2:$C$21,"not found")</f>
        <v>Audio</v>
      </c>
      <c r="H569" s="4">
        <f>_xlfn.XLOOKUP(D569, Products!$A$2:$A$21, Products!$E$2:$E$21, 0)</f>
        <v>499</v>
      </c>
      <c r="I569" s="4">
        <f>_xlfn.XLOOKUP(D569, Products!$A$2:$A$21, Products!$F$2:$F$21,0)</f>
        <v>310</v>
      </c>
      <c r="J569" t="str">
        <f>_xlfn.XLOOKUP(C569, Stores!$A$2:$A$7, Stores!$D$2:$D$7)</f>
        <v>Sydney East</v>
      </c>
      <c r="K569" s="4">
        <f t="shared" si="16"/>
        <v>499</v>
      </c>
      <c r="L569" s="4">
        <f t="shared" si="17"/>
        <v>189</v>
      </c>
      <c r="M569" s="10">
        <f>IF(Table1[[#This Row],[Revenue]]=0, "", Table1[[#This Row],[Profit]]/Table1[[#This Row],[Revenue]])</f>
        <v>0.37875751503006011</v>
      </c>
      <c r="N569" s="4" t="str">
        <f>IF(Table1[[#This Row],[Margin]]="", "check", IF(Table1[[#This Row],[Margin]]&lt;0.2, "Low", "OK"))</f>
        <v>OK</v>
      </c>
      <c r="O569" s="4" t="str" cm="1">
        <f t="array" ref="O569">_xlfn.IFS(Table1[[#This Row],[Revenue]]=0, "Check", Table1[[#This Row],[Revenue]]&gt;=1000, "Large", Table1[[#This Row],[Revenue]]&gt;=200, "Medium", TRUE, "Small")</f>
        <v>Medium</v>
      </c>
      <c r="P569" s="4" t="str">
        <f>IF(AND(Table1[[#This Row],[Margin Flag]]="Low", Table1[[#This Row],[Revenue]]&gt;1000), "Review", "")</f>
        <v/>
      </c>
      <c r="Q569" s="4" t="str">
        <f>IF(OR(Table1[[#This Row],[Qty]]&gt;=5,Table1[[#This Row],[Order Size]] = "Large" ), "Bulk", "")</f>
        <v/>
      </c>
      <c r="R569" s="10">
        <f>_xlfn.XLOOKUP(G569, Lookup!$A$2:$A$7, Lookup!$B$2:$B$7, "")</f>
        <v>0.25</v>
      </c>
      <c r="S569" s="4" t="str">
        <f>IF(Table1[[#This Row],[Margin]]&lt;Table1[[#This Row],[Target Margin]], "Yes", "")</f>
        <v/>
      </c>
    </row>
    <row r="570" spans="1:19">
      <c r="A570" t="s">
        <v>615</v>
      </c>
      <c r="B570" s="2">
        <v>46288</v>
      </c>
      <c r="C570" t="s">
        <v>20</v>
      </c>
      <c r="D570" t="s">
        <v>35</v>
      </c>
      <c r="E570">
        <v>1</v>
      </c>
      <c r="F570" t="str">
        <f>_xlfn.XLOOKUP(D570, Products!$A$2:$A$21, Products!$B$2:$B$21, "Not Found")</f>
        <v>Phone Case</v>
      </c>
      <c r="G570" t="str">
        <f>_xlfn.XLOOKUP(D570, Products!$A$2:$A$21, Products!$C$2:$C$21,"not found")</f>
        <v>Accessories</v>
      </c>
      <c r="H570" s="4">
        <f>_xlfn.XLOOKUP(D570, Products!$A$2:$A$21, Products!$E$2:$E$21, 0)</f>
        <v>39</v>
      </c>
      <c r="I570" s="4">
        <f>_xlfn.XLOOKUP(D570, Products!$A$2:$A$21, Products!$F$2:$F$21,0)</f>
        <v>9</v>
      </c>
      <c r="J570" t="str">
        <f>_xlfn.XLOOKUP(C570, Stores!$A$2:$A$7, Stores!$D$2:$D$7)</f>
        <v>Sydney West</v>
      </c>
      <c r="K570" s="4">
        <f t="shared" si="16"/>
        <v>39</v>
      </c>
      <c r="L570" s="4">
        <f t="shared" si="17"/>
        <v>30</v>
      </c>
      <c r="M570" s="10">
        <f>IF(Table1[[#This Row],[Revenue]]=0, "", Table1[[#This Row],[Profit]]/Table1[[#This Row],[Revenue]])</f>
        <v>0.76923076923076927</v>
      </c>
      <c r="N570" s="4" t="str">
        <f>IF(Table1[[#This Row],[Margin]]="", "check", IF(Table1[[#This Row],[Margin]]&lt;0.2, "Low", "OK"))</f>
        <v>OK</v>
      </c>
      <c r="O570" s="4" t="str" cm="1">
        <f t="array" ref="O570">_xlfn.IFS(Table1[[#This Row],[Revenue]]=0, "Check", Table1[[#This Row],[Revenue]]&gt;=1000, "Large", Table1[[#This Row],[Revenue]]&gt;=200, "Medium", TRUE, "Small")</f>
        <v>Small</v>
      </c>
      <c r="P570" s="4" t="str">
        <f>IF(AND(Table1[[#This Row],[Margin Flag]]="Low", Table1[[#This Row],[Revenue]]&gt;1000), "Review", "")</f>
        <v/>
      </c>
      <c r="Q570" s="4" t="str">
        <f>IF(OR(Table1[[#This Row],[Qty]]&gt;=5,Table1[[#This Row],[Order Size]] = "Large" ), "Bulk", "")</f>
        <v/>
      </c>
      <c r="R570" s="10">
        <f>_xlfn.XLOOKUP(G570, Lookup!$A$2:$A$7, Lookup!$B$2:$B$7, "")</f>
        <v>0.25</v>
      </c>
      <c r="S570" s="4" t="str">
        <f>IF(Table1[[#This Row],[Margin]]&lt;Table1[[#This Row],[Target Margin]], "Yes", "")</f>
        <v/>
      </c>
    </row>
    <row r="571" spans="1:19">
      <c r="A571" t="s">
        <v>616</v>
      </c>
      <c r="B571" s="2">
        <v>46289</v>
      </c>
      <c r="C571" t="s">
        <v>20</v>
      </c>
      <c r="D571" t="s">
        <v>54</v>
      </c>
      <c r="E571">
        <v>1</v>
      </c>
      <c r="F571" t="str">
        <f>_xlfn.XLOOKUP(D571, Products!$A$2:$A$21, Products!$B$2:$B$21, "Not Found")</f>
        <v>Tablet 11in</v>
      </c>
      <c r="G571" t="str">
        <f>_xlfn.XLOOKUP(D571, Products!$A$2:$A$21, Products!$C$2:$C$21,"not found")</f>
        <v>Computers</v>
      </c>
      <c r="H571" s="4">
        <f>_xlfn.XLOOKUP(D571, Products!$A$2:$A$21, Products!$E$2:$E$21, 0)</f>
        <v>899</v>
      </c>
      <c r="I571" s="4">
        <f>_xlfn.XLOOKUP(D571, Products!$A$2:$A$21, Products!$F$2:$F$21,0)</f>
        <v>690</v>
      </c>
      <c r="J571" t="str">
        <f>_xlfn.XLOOKUP(C571, Stores!$A$2:$A$7, Stores!$D$2:$D$7)</f>
        <v>Sydney West</v>
      </c>
      <c r="K571" s="4">
        <f t="shared" si="16"/>
        <v>899</v>
      </c>
      <c r="L571" s="4">
        <f t="shared" si="17"/>
        <v>209</v>
      </c>
      <c r="M571" s="10">
        <f>IF(Table1[[#This Row],[Revenue]]=0, "", Table1[[#This Row],[Profit]]/Table1[[#This Row],[Revenue]])</f>
        <v>0.2324805339265851</v>
      </c>
      <c r="N571" s="4" t="str">
        <f>IF(Table1[[#This Row],[Margin]]="", "check", IF(Table1[[#This Row],[Margin]]&lt;0.2, "Low", "OK"))</f>
        <v>OK</v>
      </c>
      <c r="O571" s="4" t="str" cm="1">
        <f t="array" ref="O571">_xlfn.IFS(Table1[[#This Row],[Revenue]]=0, "Check", Table1[[#This Row],[Revenue]]&gt;=1000, "Large", Table1[[#This Row],[Revenue]]&gt;=200, "Medium", TRUE, "Small")</f>
        <v>Medium</v>
      </c>
      <c r="P571" s="4" t="str">
        <f>IF(AND(Table1[[#This Row],[Margin Flag]]="Low", Table1[[#This Row],[Revenue]]&gt;1000), "Review", "")</f>
        <v/>
      </c>
      <c r="Q571" s="4" t="str">
        <f>IF(OR(Table1[[#This Row],[Qty]]&gt;=5,Table1[[#This Row],[Order Size]] = "Large" ), "Bulk", "")</f>
        <v/>
      </c>
      <c r="R571" s="10">
        <f>_xlfn.XLOOKUP(G571, Lookup!$A$2:$A$7, Lookup!$B$2:$B$7, "")</f>
        <v>0.25</v>
      </c>
      <c r="S571" s="4" t="str">
        <f>IF(Table1[[#This Row],[Margin]]&lt;Table1[[#This Row],[Target Margin]], "Yes", "")</f>
        <v>Yes</v>
      </c>
    </row>
    <row r="572" spans="1:19">
      <c r="A572" t="s">
        <v>617</v>
      </c>
      <c r="B572" s="2">
        <v>46289</v>
      </c>
      <c r="C572" t="s">
        <v>32</v>
      </c>
      <c r="D572" t="s">
        <v>152</v>
      </c>
      <c r="E572">
        <v>2</v>
      </c>
      <c r="F572" t="str">
        <f>_xlfn.XLOOKUP(D572, Products!$A$2:$A$21, Products!$B$2:$B$21, "Not Found")</f>
        <v>Game Console</v>
      </c>
      <c r="G572" t="str">
        <f>_xlfn.XLOOKUP(D572, Products!$A$2:$A$21, Products!$C$2:$C$21,"not found")</f>
        <v>Gaming</v>
      </c>
      <c r="H572" s="4">
        <f>_xlfn.XLOOKUP(D572, Products!$A$2:$A$21, Products!$E$2:$E$21, 0)</f>
        <v>499</v>
      </c>
      <c r="I572" s="4">
        <f>_xlfn.XLOOKUP(D572, Products!$A$2:$A$21, Products!$F$2:$F$21,0)</f>
        <v>420</v>
      </c>
      <c r="J572" t="str">
        <f>_xlfn.XLOOKUP(C572, Stores!$A$2:$A$7, Stores!$D$2:$D$7)</f>
        <v>Sydney South</v>
      </c>
      <c r="K572" s="4">
        <f t="shared" si="16"/>
        <v>998</v>
      </c>
      <c r="L572" s="4">
        <f t="shared" si="17"/>
        <v>158</v>
      </c>
      <c r="M572" s="10">
        <f>IF(Table1[[#This Row],[Revenue]]=0, "", Table1[[#This Row],[Profit]]/Table1[[#This Row],[Revenue]])</f>
        <v>0.15831663326653306</v>
      </c>
      <c r="N572" s="4" t="str">
        <f>IF(Table1[[#This Row],[Margin]]="", "check", IF(Table1[[#This Row],[Margin]]&lt;0.2, "Low", "OK"))</f>
        <v>Low</v>
      </c>
      <c r="O572" s="4" t="str" cm="1">
        <f t="array" ref="O572">_xlfn.IFS(Table1[[#This Row],[Revenue]]=0, "Check", Table1[[#This Row],[Revenue]]&gt;=1000, "Large", Table1[[#This Row],[Revenue]]&gt;=200, "Medium", TRUE, "Small")</f>
        <v>Medium</v>
      </c>
      <c r="P572" s="4" t="str">
        <f>IF(AND(Table1[[#This Row],[Margin Flag]]="Low", Table1[[#This Row],[Revenue]]&gt;1000), "Review", "")</f>
        <v/>
      </c>
      <c r="Q572" s="4" t="str">
        <f>IF(OR(Table1[[#This Row],[Qty]]&gt;=5,Table1[[#This Row],[Order Size]] = "Large" ), "Bulk", "")</f>
        <v/>
      </c>
      <c r="R572" s="10">
        <f>_xlfn.XLOOKUP(G572, Lookup!$A$2:$A$7, Lookup!$B$2:$B$7, "")</f>
        <v>0.08</v>
      </c>
      <c r="S572" s="4" t="str">
        <f>IF(Table1[[#This Row],[Margin]]&lt;Table1[[#This Row],[Target Margin]], "Yes", "")</f>
        <v/>
      </c>
    </row>
    <row r="573" spans="1:19">
      <c r="A573" t="s">
        <v>618</v>
      </c>
      <c r="B573" s="2">
        <v>46289</v>
      </c>
      <c r="C573" t="s">
        <v>23</v>
      </c>
      <c r="D573" t="s">
        <v>27</v>
      </c>
      <c r="E573">
        <v>1</v>
      </c>
      <c r="F573" t="str">
        <f>_xlfn.XLOOKUP(D573, Products!$A$2:$A$21, Products!$B$2:$B$21, "Not Found")</f>
        <v>Bluetooth Speaker</v>
      </c>
      <c r="G573" t="str">
        <f>_xlfn.XLOOKUP(D573, Products!$A$2:$A$21, Products!$C$2:$C$21,"not found")</f>
        <v>Audio</v>
      </c>
      <c r="H573" s="4">
        <f>_xlfn.XLOOKUP(D573, Products!$A$2:$A$21, Products!$E$2:$E$21, 0)</f>
        <v>179</v>
      </c>
      <c r="I573" s="4">
        <f>_xlfn.XLOOKUP(D573, Products!$A$2:$A$21, Products!$F$2:$F$21,0)</f>
        <v>95</v>
      </c>
      <c r="J573" t="str">
        <f>_xlfn.XLOOKUP(C573, Stores!$A$2:$A$7, Stores!$D$2:$D$7)</f>
        <v>Sydney East</v>
      </c>
      <c r="K573" s="4">
        <f t="shared" si="16"/>
        <v>179</v>
      </c>
      <c r="L573" s="4">
        <f t="shared" si="17"/>
        <v>84</v>
      </c>
      <c r="M573" s="10">
        <f>IF(Table1[[#This Row],[Revenue]]=0, "", Table1[[#This Row],[Profit]]/Table1[[#This Row],[Revenue]])</f>
        <v>0.46927374301675978</v>
      </c>
      <c r="N573" s="4" t="str">
        <f>IF(Table1[[#This Row],[Margin]]="", "check", IF(Table1[[#This Row],[Margin]]&lt;0.2, "Low", "OK"))</f>
        <v>OK</v>
      </c>
      <c r="O573" s="4" t="str" cm="1">
        <f t="array" ref="O573">_xlfn.IFS(Table1[[#This Row],[Revenue]]=0, "Check", Table1[[#This Row],[Revenue]]&gt;=1000, "Large", Table1[[#This Row],[Revenue]]&gt;=200, "Medium", TRUE, "Small")</f>
        <v>Small</v>
      </c>
      <c r="P573" s="4" t="str">
        <f>IF(AND(Table1[[#This Row],[Margin Flag]]="Low", Table1[[#This Row],[Revenue]]&gt;1000), "Review", "")</f>
        <v/>
      </c>
      <c r="Q573" s="4" t="str">
        <f>IF(OR(Table1[[#This Row],[Qty]]&gt;=5,Table1[[#This Row],[Order Size]] = "Large" ), "Bulk", "")</f>
        <v/>
      </c>
      <c r="R573" s="10">
        <f>_xlfn.XLOOKUP(G573, Lookup!$A$2:$A$7, Lookup!$B$2:$B$7, "")</f>
        <v>0.25</v>
      </c>
      <c r="S573" s="4" t="str">
        <f>IF(Table1[[#This Row],[Margin]]&lt;Table1[[#This Row],[Target Margin]], "Yes", "")</f>
        <v/>
      </c>
    </row>
    <row r="574" spans="1:19">
      <c r="A574" t="s">
        <v>619</v>
      </c>
      <c r="B574" s="2">
        <v>46289</v>
      </c>
      <c r="C574" t="s">
        <v>20</v>
      </c>
      <c r="D574" t="s">
        <v>21</v>
      </c>
      <c r="E574">
        <v>2</v>
      </c>
      <c r="F574" t="str">
        <f>_xlfn.XLOOKUP(D574, Products!$A$2:$A$21, Products!$B$2:$B$21, "Not Found")</f>
        <v>Gaming Mouse</v>
      </c>
      <c r="G574" t="str">
        <f>_xlfn.XLOOKUP(D574, Products!$A$2:$A$21, Products!$C$2:$C$21,"not found")</f>
        <v>Accessories</v>
      </c>
      <c r="H574" s="4">
        <f>_xlfn.XLOOKUP(D574, Products!$A$2:$A$21, Products!$E$2:$E$21, 0)</f>
        <v>89</v>
      </c>
      <c r="I574" s="4">
        <f>_xlfn.XLOOKUP(D574, Products!$A$2:$A$21, Products!$F$2:$F$21,0)</f>
        <v>41</v>
      </c>
      <c r="J574" t="str">
        <f>_xlfn.XLOOKUP(C574, Stores!$A$2:$A$7, Stores!$D$2:$D$7)</f>
        <v>Sydney West</v>
      </c>
      <c r="K574" s="4">
        <f t="shared" si="16"/>
        <v>178</v>
      </c>
      <c r="L574" s="4">
        <f t="shared" si="17"/>
        <v>96</v>
      </c>
      <c r="M574" s="10">
        <f>IF(Table1[[#This Row],[Revenue]]=0, "", Table1[[#This Row],[Profit]]/Table1[[#This Row],[Revenue]])</f>
        <v>0.5393258426966292</v>
      </c>
      <c r="N574" s="4" t="str">
        <f>IF(Table1[[#This Row],[Margin]]="", "check", IF(Table1[[#This Row],[Margin]]&lt;0.2, "Low", "OK"))</f>
        <v>OK</v>
      </c>
      <c r="O574" s="4" t="str" cm="1">
        <f t="array" ref="O574">_xlfn.IFS(Table1[[#This Row],[Revenue]]=0, "Check", Table1[[#This Row],[Revenue]]&gt;=1000, "Large", Table1[[#This Row],[Revenue]]&gt;=200, "Medium", TRUE, "Small")</f>
        <v>Small</v>
      </c>
      <c r="P574" s="4" t="str">
        <f>IF(AND(Table1[[#This Row],[Margin Flag]]="Low", Table1[[#This Row],[Revenue]]&gt;1000), "Review", "")</f>
        <v/>
      </c>
      <c r="Q574" s="4" t="str">
        <f>IF(OR(Table1[[#This Row],[Qty]]&gt;=5,Table1[[#This Row],[Order Size]] = "Large" ), "Bulk", "")</f>
        <v/>
      </c>
      <c r="R574" s="10">
        <f>_xlfn.XLOOKUP(G574, Lookup!$A$2:$A$7, Lookup!$B$2:$B$7, "")</f>
        <v>0.25</v>
      </c>
      <c r="S574" s="4" t="str">
        <f>IF(Table1[[#This Row],[Margin]]&lt;Table1[[#This Row],[Target Margin]], "Yes", "")</f>
        <v/>
      </c>
    </row>
    <row r="575" spans="1:19">
      <c r="A575" t="s">
        <v>620</v>
      </c>
      <c r="B575" s="2">
        <v>46290</v>
      </c>
      <c r="C575" t="s">
        <v>23</v>
      </c>
      <c r="D575" t="s">
        <v>35</v>
      </c>
      <c r="E575">
        <v>2</v>
      </c>
      <c r="F575" t="str">
        <f>_xlfn.XLOOKUP(D575, Products!$A$2:$A$21, Products!$B$2:$B$21, "Not Found")</f>
        <v>Phone Case</v>
      </c>
      <c r="G575" t="str">
        <f>_xlfn.XLOOKUP(D575, Products!$A$2:$A$21, Products!$C$2:$C$21,"not found")</f>
        <v>Accessories</v>
      </c>
      <c r="H575" s="4">
        <f>_xlfn.XLOOKUP(D575, Products!$A$2:$A$21, Products!$E$2:$E$21, 0)</f>
        <v>39</v>
      </c>
      <c r="I575" s="4">
        <f>_xlfn.XLOOKUP(D575, Products!$A$2:$A$21, Products!$F$2:$F$21,0)</f>
        <v>9</v>
      </c>
      <c r="J575" t="str">
        <f>_xlfn.XLOOKUP(C575, Stores!$A$2:$A$7, Stores!$D$2:$D$7)</f>
        <v>Sydney East</v>
      </c>
      <c r="K575" s="4">
        <f t="shared" si="16"/>
        <v>78</v>
      </c>
      <c r="L575" s="4">
        <f t="shared" si="17"/>
        <v>60</v>
      </c>
      <c r="M575" s="10">
        <f>IF(Table1[[#This Row],[Revenue]]=0, "", Table1[[#This Row],[Profit]]/Table1[[#This Row],[Revenue]])</f>
        <v>0.76923076923076927</v>
      </c>
      <c r="N575" s="4" t="str">
        <f>IF(Table1[[#This Row],[Margin]]="", "check", IF(Table1[[#This Row],[Margin]]&lt;0.2, "Low", "OK"))</f>
        <v>OK</v>
      </c>
      <c r="O575" s="4" t="str" cm="1">
        <f t="array" ref="O575">_xlfn.IFS(Table1[[#This Row],[Revenue]]=0, "Check", Table1[[#This Row],[Revenue]]&gt;=1000, "Large", Table1[[#This Row],[Revenue]]&gt;=200, "Medium", TRUE, "Small")</f>
        <v>Small</v>
      </c>
      <c r="P575" s="4" t="str">
        <f>IF(AND(Table1[[#This Row],[Margin Flag]]="Low", Table1[[#This Row],[Revenue]]&gt;1000), "Review", "")</f>
        <v/>
      </c>
      <c r="Q575" s="4" t="str">
        <f>IF(OR(Table1[[#This Row],[Qty]]&gt;=5,Table1[[#This Row],[Order Size]] = "Large" ), "Bulk", "")</f>
        <v/>
      </c>
      <c r="R575" s="10">
        <f>_xlfn.XLOOKUP(G575, Lookup!$A$2:$A$7, Lookup!$B$2:$B$7, "")</f>
        <v>0.25</v>
      </c>
      <c r="S575" s="4" t="str">
        <f>IF(Table1[[#This Row],[Margin]]&lt;Table1[[#This Row],[Target Margin]], "Yes", "")</f>
        <v/>
      </c>
    </row>
    <row r="576" spans="1:19">
      <c r="A576" t="s">
        <v>621</v>
      </c>
      <c r="B576" s="2">
        <v>46290</v>
      </c>
      <c r="C576" t="s">
        <v>29</v>
      </c>
      <c r="D576" t="s">
        <v>24</v>
      </c>
      <c r="E576">
        <v>1</v>
      </c>
      <c r="F576" t="str">
        <f>_xlfn.XLOOKUP(D576, Products!$A$2:$A$21, Products!$B$2:$B$21, "Not Found")</f>
        <v>Wireless Earbuds</v>
      </c>
      <c r="G576" t="str">
        <f>_xlfn.XLOOKUP(D576, Products!$A$2:$A$21, Products!$C$2:$C$21,"not found")</f>
        <v>Audio</v>
      </c>
      <c r="H576" s="4">
        <f>_xlfn.XLOOKUP(D576, Products!$A$2:$A$21, Products!$E$2:$E$21, 0)</f>
        <v>249</v>
      </c>
      <c r="I576" s="4">
        <f>_xlfn.XLOOKUP(D576, Products!$A$2:$A$21, Products!$F$2:$F$21,0)</f>
        <v>140</v>
      </c>
      <c r="J576" t="str">
        <f>_xlfn.XLOOKUP(C576, Stores!$A$2:$A$7, Stores!$D$2:$D$7)</f>
        <v>Sydney West</v>
      </c>
      <c r="K576" s="4">
        <f t="shared" si="16"/>
        <v>249</v>
      </c>
      <c r="L576" s="4">
        <f t="shared" si="17"/>
        <v>109</v>
      </c>
      <c r="M576" s="10">
        <f>IF(Table1[[#This Row],[Revenue]]=0, "", Table1[[#This Row],[Profit]]/Table1[[#This Row],[Revenue]])</f>
        <v>0.43775100401606426</v>
      </c>
      <c r="N576" s="4" t="str">
        <f>IF(Table1[[#This Row],[Margin]]="", "check", IF(Table1[[#This Row],[Margin]]&lt;0.2, "Low", "OK"))</f>
        <v>OK</v>
      </c>
      <c r="O576" s="4" t="str" cm="1">
        <f t="array" ref="O576">_xlfn.IFS(Table1[[#This Row],[Revenue]]=0, "Check", Table1[[#This Row],[Revenue]]&gt;=1000, "Large", Table1[[#This Row],[Revenue]]&gt;=200, "Medium", TRUE, "Small")</f>
        <v>Medium</v>
      </c>
      <c r="P576" s="4" t="str">
        <f>IF(AND(Table1[[#This Row],[Margin Flag]]="Low", Table1[[#This Row],[Revenue]]&gt;1000), "Review", "")</f>
        <v/>
      </c>
      <c r="Q576" s="4" t="str">
        <f>IF(OR(Table1[[#This Row],[Qty]]&gt;=5,Table1[[#This Row],[Order Size]] = "Large" ), "Bulk", "")</f>
        <v/>
      </c>
      <c r="R576" s="10">
        <f>_xlfn.XLOOKUP(G576, Lookup!$A$2:$A$7, Lookup!$B$2:$B$7, "")</f>
        <v>0.25</v>
      </c>
      <c r="S576" s="4" t="str">
        <f>IF(Table1[[#This Row],[Margin]]&lt;Table1[[#This Row],[Target Margin]], "Yes", "")</f>
        <v/>
      </c>
    </row>
    <row r="577" spans="1:19">
      <c r="A577" t="s">
        <v>622</v>
      </c>
      <c r="B577" s="2">
        <v>46290</v>
      </c>
      <c r="C577" t="s">
        <v>57</v>
      </c>
      <c r="D577" t="s">
        <v>38</v>
      </c>
      <c r="E577">
        <v>1</v>
      </c>
      <c r="F577" t="str">
        <f>_xlfn.XLOOKUP(D577, Products!$A$2:$A$21, Products!$B$2:$B$21, "Not Found")</f>
        <v>USB-C Charger</v>
      </c>
      <c r="G577" t="str">
        <f>_xlfn.XLOOKUP(D577, Products!$A$2:$A$21, Products!$C$2:$C$21,"not found")</f>
        <v>Accessories</v>
      </c>
      <c r="H577" s="4">
        <f>_xlfn.XLOOKUP(D577, Products!$A$2:$A$21, Products!$E$2:$E$21, 0)</f>
        <v>49</v>
      </c>
      <c r="I577" s="4">
        <f>_xlfn.XLOOKUP(D577, Products!$A$2:$A$21, Products!$F$2:$F$21,0)</f>
        <v>14</v>
      </c>
      <c r="J577" t="str">
        <f>_xlfn.XLOOKUP(C577, Stores!$A$2:$A$7, Stores!$D$2:$D$7)</f>
        <v>Sydney South</v>
      </c>
      <c r="K577" s="4">
        <f t="shared" si="16"/>
        <v>49</v>
      </c>
      <c r="L577" s="4">
        <f t="shared" si="17"/>
        <v>35</v>
      </c>
      <c r="M577" s="10">
        <f>IF(Table1[[#This Row],[Revenue]]=0, "", Table1[[#This Row],[Profit]]/Table1[[#This Row],[Revenue]])</f>
        <v>0.7142857142857143</v>
      </c>
      <c r="N577" s="4" t="str">
        <f>IF(Table1[[#This Row],[Margin]]="", "check", IF(Table1[[#This Row],[Margin]]&lt;0.2, "Low", "OK"))</f>
        <v>OK</v>
      </c>
      <c r="O577" s="4" t="str" cm="1">
        <f t="array" ref="O577">_xlfn.IFS(Table1[[#This Row],[Revenue]]=0, "Check", Table1[[#This Row],[Revenue]]&gt;=1000, "Large", Table1[[#This Row],[Revenue]]&gt;=200, "Medium", TRUE, "Small")</f>
        <v>Small</v>
      </c>
      <c r="P577" s="4" t="str">
        <f>IF(AND(Table1[[#This Row],[Margin Flag]]="Low", Table1[[#This Row],[Revenue]]&gt;1000), "Review", "")</f>
        <v/>
      </c>
      <c r="Q577" s="4" t="str">
        <f>IF(OR(Table1[[#This Row],[Qty]]&gt;=5,Table1[[#This Row],[Order Size]] = "Large" ), "Bulk", "")</f>
        <v/>
      </c>
      <c r="R577" s="10">
        <f>_xlfn.XLOOKUP(G577, Lookup!$A$2:$A$7, Lookup!$B$2:$B$7, "")</f>
        <v>0.25</v>
      </c>
      <c r="S577" s="4" t="str">
        <f>IF(Table1[[#This Row],[Margin]]&lt;Table1[[#This Row],[Target Margin]], "Yes", "")</f>
        <v/>
      </c>
    </row>
    <row r="578" spans="1:19">
      <c r="A578" t="s">
        <v>623</v>
      </c>
      <c r="B578" s="2">
        <v>46291</v>
      </c>
      <c r="C578" t="s">
        <v>57</v>
      </c>
      <c r="D578" t="s">
        <v>21</v>
      </c>
      <c r="E578">
        <v>1</v>
      </c>
      <c r="F578" t="str">
        <f>_xlfn.XLOOKUP(D578, Products!$A$2:$A$21, Products!$B$2:$B$21, "Not Found")</f>
        <v>Gaming Mouse</v>
      </c>
      <c r="G578" t="str">
        <f>_xlfn.XLOOKUP(D578, Products!$A$2:$A$21, Products!$C$2:$C$21,"not found")</f>
        <v>Accessories</v>
      </c>
      <c r="H578" s="4">
        <f>_xlfn.XLOOKUP(D578, Products!$A$2:$A$21, Products!$E$2:$E$21, 0)</f>
        <v>89</v>
      </c>
      <c r="I578" s="4">
        <f>_xlfn.XLOOKUP(D578, Products!$A$2:$A$21, Products!$F$2:$F$21,0)</f>
        <v>41</v>
      </c>
      <c r="J578" t="str">
        <f>_xlfn.XLOOKUP(C578, Stores!$A$2:$A$7, Stores!$D$2:$D$7)</f>
        <v>Sydney South</v>
      </c>
      <c r="K578" s="4">
        <f t="shared" si="16"/>
        <v>89</v>
      </c>
      <c r="L578" s="4">
        <f t="shared" si="17"/>
        <v>48</v>
      </c>
      <c r="M578" s="10">
        <f>IF(Table1[[#This Row],[Revenue]]=0, "", Table1[[#This Row],[Profit]]/Table1[[#This Row],[Revenue]])</f>
        <v>0.5393258426966292</v>
      </c>
      <c r="N578" s="4" t="str">
        <f>IF(Table1[[#This Row],[Margin]]="", "check", IF(Table1[[#This Row],[Margin]]&lt;0.2, "Low", "OK"))</f>
        <v>OK</v>
      </c>
      <c r="O578" s="4" t="str" cm="1">
        <f t="array" ref="O578">_xlfn.IFS(Table1[[#This Row],[Revenue]]=0, "Check", Table1[[#This Row],[Revenue]]&gt;=1000, "Large", Table1[[#This Row],[Revenue]]&gt;=200, "Medium", TRUE, "Small")</f>
        <v>Small</v>
      </c>
      <c r="P578" s="4" t="str">
        <f>IF(AND(Table1[[#This Row],[Margin Flag]]="Low", Table1[[#This Row],[Revenue]]&gt;1000), "Review", "")</f>
        <v/>
      </c>
      <c r="Q578" s="4" t="str">
        <f>IF(OR(Table1[[#This Row],[Qty]]&gt;=5,Table1[[#This Row],[Order Size]] = "Large" ), "Bulk", "")</f>
        <v/>
      </c>
      <c r="R578" s="10">
        <f>_xlfn.XLOOKUP(G578, Lookup!$A$2:$A$7, Lookup!$B$2:$B$7, "")</f>
        <v>0.25</v>
      </c>
      <c r="S578" s="4" t="str">
        <f>IF(Table1[[#This Row],[Margin]]&lt;Table1[[#This Row],[Target Margin]], "Yes", "")</f>
        <v/>
      </c>
    </row>
    <row r="579" spans="1:19">
      <c r="A579" t="s">
        <v>624</v>
      </c>
      <c r="B579" s="2">
        <v>46291</v>
      </c>
      <c r="C579" t="s">
        <v>57</v>
      </c>
      <c r="D579" t="s">
        <v>35</v>
      </c>
      <c r="E579">
        <v>1</v>
      </c>
      <c r="F579" t="str">
        <f>_xlfn.XLOOKUP(D579, Products!$A$2:$A$21, Products!$B$2:$B$21, "Not Found")</f>
        <v>Phone Case</v>
      </c>
      <c r="G579" t="str">
        <f>_xlfn.XLOOKUP(D579, Products!$A$2:$A$21, Products!$C$2:$C$21,"not found")</f>
        <v>Accessories</v>
      </c>
      <c r="H579" s="4">
        <f>_xlfn.XLOOKUP(D579, Products!$A$2:$A$21, Products!$E$2:$E$21, 0)</f>
        <v>39</v>
      </c>
      <c r="I579" s="4">
        <f>_xlfn.XLOOKUP(D579, Products!$A$2:$A$21, Products!$F$2:$F$21,0)</f>
        <v>9</v>
      </c>
      <c r="J579" t="str">
        <f>_xlfn.XLOOKUP(C579, Stores!$A$2:$A$7, Stores!$D$2:$D$7)</f>
        <v>Sydney South</v>
      </c>
      <c r="K579" s="4">
        <f t="shared" ref="K579:K601" si="18" xml:space="preserve"> E579*H579</f>
        <v>39</v>
      </c>
      <c r="L579" s="4">
        <f t="shared" ref="L579:L601" si="19" xml:space="preserve"> K579 - (E579 * I579)</f>
        <v>30</v>
      </c>
      <c r="M579" s="10">
        <f>IF(Table1[[#This Row],[Revenue]]=0, "", Table1[[#This Row],[Profit]]/Table1[[#This Row],[Revenue]])</f>
        <v>0.76923076923076927</v>
      </c>
      <c r="N579" s="4" t="str">
        <f>IF(Table1[[#This Row],[Margin]]="", "check", IF(Table1[[#This Row],[Margin]]&lt;0.2, "Low", "OK"))</f>
        <v>OK</v>
      </c>
      <c r="O579" s="4" t="str" cm="1">
        <f t="array" ref="O579">_xlfn.IFS(Table1[[#This Row],[Revenue]]=0, "Check", Table1[[#This Row],[Revenue]]&gt;=1000, "Large", Table1[[#This Row],[Revenue]]&gt;=200, "Medium", TRUE, "Small")</f>
        <v>Small</v>
      </c>
      <c r="P579" s="4" t="str">
        <f>IF(AND(Table1[[#This Row],[Margin Flag]]="Low", Table1[[#This Row],[Revenue]]&gt;1000), "Review", "")</f>
        <v/>
      </c>
      <c r="Q579" s="4" t="str">
        <f>IF(OR(Table1[[#This Row],[Qty]]&gt;=5,Table1[[#This Row],[Order Size]] = "Large" ), "Bulk", "")</f>
        <v/>
      </c>
      <c r="R579" s="10">
        <f>_xlfn.XLOOKUP(G579, Lookup!$A$2:$A$7, Lookup!$B$2:$B$7, "")</f>
        <v>0.25</v>
      </c>
      <c r="S579" s="4" t="str">
        <f>IF(Table1[[#This Row],[Margin]]&lt;Table1[[#This Row],[Target Margin]], "Yes", "")</f>
        <v/>
      </c>
    </row>
    <row r="580" spans="1:19">
      <c r="A580" t="s">
        <v>625</v>
      </c>
      <c r="B580" s="2">
        <v>46291</v>
      </c>
      <c r="C580" t="s">
        <v>26</v>
      </c>
      <c r="D580" t="s">
        <v>58</v>
      </c>
      <c r="E580">
        <v>3</v>
      </c>
      <c r="F580" t="str">
        <f>_xlfn.XLOOKUP(D580, Products!$A$2:$A$21, Products!$B$2:$B$21, "Not Found")</f>
        <v>Mech Keyboard</v>
      </c>
      <c r="G580" t="str">
        <f>_xlfn.XLOOKUP(D580, Products!$A$2:$A$21, Products!$C$2:$C$21,"not found")</f>
        <v>Accessories</v>
      </c>
      <c r="H580" s="4">
        <f>_xlfn.XLOOKUP(D580, Products!$A$2:$A$21, Products!$E$2:$E$21, 0)</f>
        <v>149</v>
      </c>
      <c r="I580" s="4">
        <f>_xlfn.XLOOKUP(D580, Products!$A$2:$A$21, Products!$F$2:$F$21,0)</f>
        <v>72</v>
      </c>
      <c r="J580" t="str">
        <f>_xlfn.XLOOKUP(C580, Stores!$A$2:$A$7, Stores!$D$2:$D$7)</f>
        <v>Sydney North</v>
      </c>
      <c r="K580" s="4">
        <f t="shared" si="18"/>
        <v>447</v>
      </c>
      <c r="L580" s="4">
        <f t="shared" si="19"/>
        <v>231</v>
      </c>
      <c r="M580" s="10">
        <f>IF(Table1[[#This Row],[Revenue]]=0, "", Table1[[#This Row],[Profit]]/Table1[[#This Row],[Revenue]])</f>
        <v>0.51677852348993292</v>
      </c>
      <c r="N580" s="4" t="str">
        <f>IF(Table1[[#This Row],[Margin]]="", "check", IF(Table1[[#This Row],[Margin]]&lt;0.2, "Low", "OK"))</f>
        <v>OK</v>
      </c>
      <c r="O580" s="4" t="str" cm="1">
        <f t="array" ref="O580">_xlfn.IFS(Table1[[#This Row],[Revenue]]=0, "Check", Table1[[#This Row],[Revenue]]&gt;=1000, "Large", Table1[[#This Row],[Revenue]]&gt;=200, "Medium", TRUE, "Small")</f>
        <v>Medium</v>
      </c>
      <c r="P580" s="4" t="str">
        <f>IF(AND(Table1[[#This Row],[Margin Flag]]="Low", Table1[[#This Row],[Revenue]]&gt;1000), "Review", "")</f>
        <v/>
      </c>
      <c r="Q580" s="4" t="str">
        <f>IF(OR(Table1[[#This Row],[Qty]]&gt;=5,Table1[[#This Row],[Order Size]] = "Large" ), "Bulk", "")</f>
        <v/>
      </c>
      <c r="R580" s="10">
        <f>_xlfn.XLOOKUP(G580, Lookup!$A$2:$A$7, Lookup!$B$2:$B$7, "")</f>
        <v>0.25</v>
      </c>
      <c r="S580" s="4" t="str">
        <f>IF(Table1[[#This Row],[Margin]]&lt;Table1[[#This Row],[Target Margin]], "Yes", "")</f>
        <v/>
      </c>
    </row>
    <row r="581" spans="1:19">
      <c r="A581" t="s">
        <v>626</v>
      </c>
      <c r="B581" s="2">
        <v>46291</v>
      </c>
      <c r="C581" t="s">
        <v>32</v>
      </c>
      <c r="D581" t="s">
        <v>58</v>
      </c>
      <c r="E581">
        <v>1</v>
      </c>
      <c r="F581" t="str">
        <f>_xlfn.XLOOKUP(D581, Products!$A$2:$A$21, Products!$B$2:$B$21, "Not Found")</f>
        <v>Mech Keyboard</v>
      </c>
      <c r="G581" t="str">
        <f>_xlfn.XLOOKUP(D581, Products!$A$2:$A$21, Products!$C$2:$C$21,"not found")</f>
        <v>Accessories</v>
      </c>
      <c r="H581" s="4">
        <f>_xlfn.XLOOKUP(D581, Products!$A$2:$A$21, Products!$E$2:$E$21, 0)</f>
        <v>149</v>
      </c>
      <c r="I581" s="4">
        <f>_xlfn.XLOOKUP(D581, Products!$A$2:$A$21, Products!$F$2:$F$21,0)</f>
        <v>72</v>
      </c>
      <c r="J581" t="str">
        <f>_xlfn.XLOOKUP(C581, Stores!$A$2:$A$7, Stores!$D$2:$D$7)</f>
        <v>Sydney South</v>
      </c>
      <c r="K581" s="4">
        <f t="shared" si="18"/>
        <v>149</v>
      </c>
      <c r="L581" s="4">
        <f t="shared" si="19"/>
        <v>77</v>
      </c>
      <c r="M581" s="10">
        <f>IF(Table1[[#This Row],[Revenue]]=0, "", Table1[[#This Row],[Profit]]/Table1[[#This Row],[Revenue]])</f>
        <v>0.51677852348993292</v>
      </c>
      <c r="N581" s="4" t="str">
        <f>IF(Table1[[#This Row],[Margin]]="", "check", IF(Table1[[#This Row],[Margin]]&lt;0.2, "Low", "OK"))</f>
        <v>OK</v>
      </c>
      <c r="O581" s="4" t="str" cm="1">
        <f t="array" ref="O581">_xlfn.IFS(Table1[[#This Row],[Revenue]]=0, "Check", Table1[[#This Row],[Revenue]]&gt;=1000, "Large", Table1[[#This Row],[Revenue]]&gt;=200, "Medium", TRUE, "Small")</f>
        <v>Small</v>
      </c>
      <c r="P581" s="4" t="str">
        <f>IF(AND(Table1[[#This Row],[Margin Flag]]="Low", Table1[[#This Row],[Revenue]]&gt;1000), "Review", "")</f>
        <v/>
      </c>
      <c r="Q581" s="4" t="str">
        <f>IF(OR(Table1[[#This Row],[Qty]]&gt;=5,Table1[[#This Row],[Order Size]] = "Large" ), "Bulk", "")</f>
        <v/>
      </c>
      <c r="R581" s="10">
        <f>_xlfn.XLOOKUP(G581, Lookup!$A$2:$A$7, Lookup!$B$2:$B$7, "")</f>
        <v>0.25</v>
      </c>
      <c r="S581" s="4" t="str">
        <f>IF(Table1[[#This Row],[Margin]]&lt;Table1[[#This Row],[Target Margin]], "Yes", "")</f>
        <v/>
      </c>
    </row>
    <row r="582" spans="1:19">
      <c r="A582" t="s">
        <v>627</v>
      </c>
      <c r="B582" s="2">
        <v>46291</v>
      </c>
      <c r="C582" t="s">
        <v>29</v>
      </c>
      <c r="D582" t="s">
        <v>87</v>
      </c>
      <c r="E582">
        <v>1</v>
      </c>
      <c r="F582" t="str">
        <f>_xlfn.XLOOKUP(D582, Products!$A$2:$A$21, Products!$B$2:$B$21, "Not Found")</f>
        <v>Laptop 16in</v>
      </c>
      <c r="G582" t="str">
        <f>_xlfn.XLOOKUP(D582, Products!$A$2:$A$21, Products!$C$2:$C$21,"not found")</f>
        <v>Computers</v>
      </c>
      <c r="H582" s="4">
        <f>_xlfn.XLOOKUP(D582, Products!$A$2:$A$21, Products!$E$2:$E$21, 0)</f>
        <v>1799</v>
      </c>
      <c r="I582" s="4">
        <f>_xlfn.XLOOKUP(D582, Products!$A$2:$A$21, Products!$F$2:$F$21,0)</f>
        <v>1390</v>
      </c>
      <c r="J582" t="str">
        <f>_xlfn.XLOOKUP(C582, Stores!$A$2:$A$7, Stores!$D$2:$D$7)</f>
        <v>Sydney West</v>
      </c>
      <c r="K582" s="4">
        <f t="shared" si="18"/>
        <v>1799</v>
      </c>
      <c r="L582" s="4">
        <f t="shared" si="19"/>
        <v>409</v>
      </c>
      <c r="M582" s="10">
        <f>IF(Table1[[#This Row],[Revenue]]=0, "", Table1[[#This Row],[Profit]]/Table1[[#This Row],[Revenue]])</f>
        <v>0.2273485269594219</v>
      </c>
      <c r="N582" s="4" t="str">
        <f>IF(Table1[[#This Row],[Margin]]="", "check", IF(Table1[[#This Row],[Margin]]&lt;0.2, "Low", "OK"))</f>
        <v>OK</v>
      </c>
      <c r="O582" s="4" t="str" cm="1">
        <f t="array" ref="O582">_xlfn.IFS(Table1[[#This Row],[Revenue]]=0, "Check", Table1[[#This Row],[Revenue]]&gt;=1000, "Large", Table1[[#This Row],[Revenue]]&gt;=200, "Medium", TRUE, "Small")</f>
        <v>Large</v>
      </c>
      <c r="P582" s="4" t="str">
        <f>IF(AND(Table1[[#This Row],[Margin Flag]]="Low", Table1[[#This Row],[Revenue]]&gt;1000), "Review", "")</f>
        <v/>
      </c>
      <c r="Q582" s="4" t="str">
        <f>IF(OR(Table1[[#This Row],[Qty]]&gt;=5,Table1[[#This Row],[Order Size]] = "Large" ), "Bulk", "")</f>
        <v>Bulk</v>
      </c>
      <c r="R582" s="10">
        <f>_xlfn.XLOOKUP(G582, Lookup!$A$2:$A$7, Lookup!$B$2:$B$7, "")</f>
        <v>0.25</v>
      </c>
      <c r="S582" s="4" t="str">
        <f>IF(Table1[[#This Row],[Margin]]&lt;Table1[[#This Row],[Target Margin]], "Yes", "")</f>
        <v>Yes</v>
      </c>
    </row>
    <row r="583" spans="1:19">
      <c r="A583" t="s">
        <v>628</v>
      </c>
      <c r="B583" s="2">
        <v>46291</v>
      </c>
      <c r="C583" t="s">
        <v>29</v>
      </c>
      <c r="D583" t="s">
        <v>106</v>
      </c>
      <c r="E583">
        <v>1</v>
      </c>
      <c r="F583" t="str">
        <f>_xlfn.XLOOKUP(D583, Products!$A$2:$A$21, Products!$B$2:$B$21, "Not Found")</f>
        <v>Laptop 14in</v>
      </c>
      <c r="G583" t="str">
        <f>_xlfn.XLOOKUP(D583, Products!$A$2:$A$21, Products!$C$2:$C$21,"not found")</f>
        <v>Computers</v>
      </c>
      <c r="H583" s="4">
        <f>_xlfn.XLOOKUP(D583, Products!$A$2:$A$21, Products!$E$2:$E$21, 0)</f>
        <v>1199</v>
      </c>
      <c r="I583" s="4">
        <f>_xlfn.XLOOKUP(D583, Products!$A$2:$A$21, Products!$F$2:$F$21,0)</f>
        <v>930</v>
      </c>
      <c r="J583" t="str">
        <f>_xlfn.XLOOKUP(C583, Stores!$A$2:$A$7, Stores!$D$2:$D$7)</f>
        <v>Sydney West</v>
      </c>
      <c r="K583" s="4">
        <f t="shared" si="18"/>
        <v>1199</v>
      </c>
      <c r="L583" s="4">
        <f t="shared" si="19"/>
        <v>269</v>
      </c>
      <c r="M583" s="10">
        <f>IF(Table1[[#This Row],[Revenue]]=0, "", Table1[[#This Row],[Profit]]/Table1[[#This Row],[Revenue]])</f>
        <v>0.22435362802335279</v>
      </c>
      <c r="N583" s="4" t="str">
        <f>IF(Table1[[#This Row],[Margin]]="", "check", IF(Table1[[#This Row],[Margin]]&lt;0.2, "Low", "OK"))</f>
        <v>OK</v>
      </c>
      <c r="O583" s="4" t="str" cm="1">
        <f t="array" ref="O583">_xlfn.IFS(Table1[[#This Row],[Revenue]]=0, "Check", Table1[[#This Row],[Revenue]]&gt;=1000, "Large", Table1[[#This Row],[Revenue]]&gt;=200, "Medium", TRUE, "Small")</f>
        <v>Large</v>
      </c>
      <c r="P583" s="4" t="str">
        <f>IF(AND(Table1[[#This Row],[Margin Flag]]="Low", Table1[[#This Row],[Revenue]]&gt;1000), "Review", "")</f>
        <v/>
      </c>
      <c r="Q583" s="4" t="str">
        <f>IF(OR(Table1[[#This Row],[Qty]]&gt;=5,Table1[[#This Row],[Order Size]] = "Large" ), "Bulk", "")</f>
        <v>Bulk</v>
      </c>
      <c r="R583" s="10">
        <f>_xlfn.XLOOKUP(G583, Lookup!$A$2:$A$7, Lookup!$B$2:$B$7, "")</f>
        <v>0.25</v>
      </c>
      <c r="S583" s="4" t="str">
        <f>IF(Table1[[#This Row],[Margin]]&lt;Table1[[#This Row],[Target Margin]], "Yes", "")</f>
        <v>Yes</v>
      </c>
    </row>
    <row r="584" spans="1:19">
      <c r="A584" t="s">
        <v>629</v>
      </c>
      <c r="B584" s="2">
        <v>46292</v>
      </c>
      <c r="C584" t="s">
        <v>23</v>
      </c>
      <c r="D584" t="s">
        <v>43</v>
      </c>
      <c r="E584">
        <v>1</v>
      </c>
      <c r="F584" t="str">
        <f>_xlfn.XLOOKUP(D584, Products!$A$2:$A$21, Products!$B$2:$B$21, "Not Found")</f>
        <v>Console Controller</v>
      </c>
      <c r="G584" t="str">
        <f>_xlfn.XLOOKUP(D584, Products!$A$2:$A$21, Products!$C$2:$C$21,"not found")</f>
        <v>Gaming</v>
      </c>
      <c r="H584" s="4">
        <f>_xlfn.XLOOKUP(D584, Products!$A$2:$A$21, Products!$E$2:$E$21, 0)</f>
        <v>99</v>
      </c>
      <c r="I584" s="4">
        <f>_xlfn.XLOOKUP(D584, Products!$A$2:$A$21, Products!$F$2:$F$21,0)</f>
        <v>58</v>
      </c>
      <c r="J584" t="str">
        <f>_xlfn.XLOOKUP(C584, Stores!$A$2:$A$7, Stores!$D$2:$D$7)</f>
        <v>Sydney East</v>
      </c>
      <c r="K584" s="4">
        <f t="shared" si="18"/>
        <v>99</v>
      </c>
      <c r="L584" s="4">
        <f t="shared" si="19"/>
        <v>41</v>
      </c>
      <c r="M584" s="10">
        <f>IF(Table1[[#This Row],[Revenue]]=0, "", Table1[[#This Row],[Profit]]/Table1[[#This Row],[Revenue]])</f>
        <v>0.41414141414141414</v>
      </c>
      <c r="N584" s="4" t="str">
        <f>IF(Table1[[#This Row],[Margin]]="", "check", IF(Table1[[#This Row],[Margin]]&lt;0.2, "Low", "OK"))</f>
        <v>OK</v>
      </c>
      <c r="O584" s="4" t="str" cm="1">
        <f t="array" ref="O584">_xlfn.IFS(Table1[[#This Row],[Revenue]]=0, "Check", Table1[[#This Row],[Revenue]]&gt;=1000, "Large", Table1[[#This Row],[Revenue]]&gt;=200, "Medium", TRUE, "Small")</f>
        <v>Small</v>
      </c>
      <c r="P584" s="4" t="str">
        <f>IF(AND(Table1[[#This Row],[Margin Flag]]="Low", Table1[[#This Row],[Revenue]]&gt;1000), "Review", "")</f>
        <v/>
      </c>
      <c r="Q584" s="4" t="str">
        <f>IF(OR(Table1[[#This Row],[Qty]]&gt;=5,Table1[[#This Row],[Order Size]] = "Large" ), "Bulk", "")</f>
        <v/>
      </c>
      <c r="R584" s="10">
        <f>_xlfn.XLOOKUP(G584, Lookup!$A$2:$A$7, Lookup!$B$2:$B$7, "")</f>
        <v>0.08</v>
      </c>
      <c r="S584" s="4" t="str">
        <f>IF(Table1[[#This Row],[Margin]]&lt;Table1[[#This Row],[Target Margin]], "Yes", "")</f>
        <v/>
      </c>
    </row>
    <row r="585" spans="1:19">
      <c r="A585" t="s">
        <v>630</v>
      </c>
      <c r="B585" s="2">
        <v>46292</v>
      </c>
      <c r="C585" t="s">
        <v>20</v>
      </c>
      <c r="D585" t="s">
        <v>24</v>
      </c>
      <c r="E585">
        <v>2</v>
      </c>
      <c r="F585" t="str">
        <f>_xlfn.XLOOKUP(D585, Products!$A$2:$A$21, Products!$B$2:$B$21, "Not Found")</f>
        <v>Wireless Earbuds</v>
      </c>
      <c r="G585" t="str">
        <f>_xlfn.XLOOKUP(D585, Products!$A$2:$A$21, Products!$C$2:$C$21,"not found")</f>
        <v>Audio</v>
      </c>
      <c r="H585" s="4">
        <f>_xlfn.XLOOKUP(D585, Products!$A$2:$A$21, Products!$E$2:$E$21, 0)</f>
        <v>249</v>
      </c>
      <c r="I585" s="4">
        <f>_xlfn.XLOOKUP(D585, Products!$A$2:$A$21, Products!$F$2:$F$21,0)</f>
        <v>140</v>
      </c>
      <c r="J585" t="str">
        <f>_xlfn.XLOOKUP(C585, Stores!$A$2:$A$7, Stores!$D$2:$D$7)</f>
        <v>Sydney West</v>
      </c>
      <c r="K585" s="4">
        <f t="shared" si="18"/>
        <v>498</v>
      </c>
      <c r="L585" s="4">
        <f t="shared" si="19"/>
        <v>218</v>
      </c>
      <c r="M585" s="10">
        <f>IF(Table1[[#This Row],[Revenue]]=0, "", Table1[[#This Row],[Profit]]/Table1[[#This Row],[Revenue]])</f>
        <v>0.43775100401606426</v>
      </c>
      <c r="N585" s="4" t="str">
        <f>IF(Table1[[#This Row],[Margin]]="", "check", IF(Table1[[#This Row],[Margin]]&lt;0.2, "Low", "OK"))</f>
        <v>OK</v>
      </c>
      <c r="O585" s="4" t="str" cm="1">
        <f t="array" ref="O585">_xlfn.IFS(Table1[[#This Row],[Revenue]]=0, "Check", Table1[[#This Row],[Revenue]]&gt;=1000, "Large", Table1[[#This Row],[Revenue]]&gt;=200, "Medium", TRUE, "Small")</f>
        <v>Medium</v>
      </c>
      <c r="P585" s="4" t="str">
        <f>IF(AND(Table1[[#This Row],[Margin Flag]]="Low", Table1[[#This Row],[Revenue]]&gt;1000), "Review", "")</f>
        <v/>
      </c>
      <c r="Q585" s="4" t="str">
        <f>IF(OR(Table1[[#This Row],[Qty]]&gt;=5,Table1[[#This Row],[Order Size]] = "Large" ), "Bulk", "")</f>
        <v/>
      </c>
      <c r="R585" s="10">
        <f>_xlfn.XLOOKUP(G585, Lookup!$A$2:$A$7, Lookup!$B$2:$B$7, "")</f>
        <v>0.25</v>
      </c>
      <c r="S585" s="4" t="str">
        <f>IF(Table1[[#This Row],[Margin]]&lt;Table1[[#This Row],[Target Margin]], "Yes", "")</f>
        <v/>
      </c>
    </row>
    <row r="586" spans="1:19">
      <c r="A586" t="s">
        <v>631</v>
      </c>
      <c r="B586" s="2">
        <v>46292</v>
      </c>
      <c r="C586" t="s">
        <v>20</v>
      </c>
      <c r="D586" t="s">
        <v>24</v>
      </c>
      <c r="E586">
        <v>2</v>
      </c>
      <c r="F586" t="str">
        <f>_xlfn.XLOOKUP(D586, Products!$A$2:$A$21, Products!$B$2:$B$21, "Not Found")</f>
        <v>Wireless Earbuds</v>
      </c>
      <c r="G586" t="str">
        <f>_xlfn.XLOOKUP(D586, Products!$A$2:$A$21, Products!$C$2:$C$21,"not found")</f>
        <v>Audio</v>
      </c>
      <c r="H586" s="4">
        <f>_xlfn.XLOOKUP(D586, Products!$A$2:$A$21, Products!$E$2:$E$21, 0)</f>
        <v>249</v>
      </c>
      <c r="I586" s="4">
        <f>_xlfn.XLOOKUP(D586, Products!$A$2:$A$21, Products!$F$2:$F$21,0)</f>
        <v>140</v>
      </c>
      <c r="J586" t="str">
        <f>_xlfn.XLOOKUP(C586, Stores!$A$2:$A$7, Stores!$D$2:$D$7)</f>
        <v>Sydney West</v>
      </c>
      <c r="K586" s="4">
        <f t="shared" si="18"/>
        <v>498</v>
      </c>
      <c r="L586" s="4">
        <f t="shared" si="19"/>
        <v>218</v>
      </c>
      <c r="M586" s="10">
        <f>IF(Table1[[#This Row],[Revenue]]=0, "", Table1[[#This Row],[Profit]]/Table1[[#This Row],[Revenue]])</f>
        <v>0.43775100401606426</v>
      </c>
      <c r="N586" s="4" t="str">
        <f>IF(Table1[[#This Row],[Margin]]="", "check", IF(Table1[[#This Row],[Margin]]&lt;0.2, "Low", "OK"))</f>
        <v>OK</v>
      </c>
      <c r="O586" s="4" t="str" cm="1">
        <f t="array" ref="O586">_xlfn.IFS(Table1[[#This Row],[Revenue]]=0, "Check", Table1[[#This Row],[Revenue]]&gt;=1000, "Large", Table1[[#This Row],[Revenue]]&gt;=200, "Medium", TRUE, "Small")</f>
        <v>Medium</v>
      </c>
      <c r="P586" s="4" t="str">
        <f>IF(AND(Table1[[#This Row],[Margin Flag]]="Low", Table1[[#This Row],[Revenue]]&gt;1000), "Review", "")</f>
        <v/>
      </c>
      <c r="Q586" s="4" t="str">
        <f>IF(OR(Table1[[#This Row],[Qty]]&gt;=5,Table1[[#This Row],[Order Size]] = "Large" ), "Bulk", "")</f>
        <v/>
      </c>
      <c r="R586" s="10">
        <f>_xlfn.XLOOKUP(G586, Lookup!$A$2:$A$7, Lookup!$B$2:$B$7, "")</f>
        <v>0.25</v>
      </c>
      <c r="S586" s="4" t="str">
        <f>IF(Table1[[#This Row],[Margin]]&lt;Table1[[#This Row],[Target Margin]], "Yes", "")</f>
        <v/>
      </c>
    </row>
    <row r="587" spans="1:19">
      <c r="A587" t="s">
        <v>632</v>
      </c>
      <c r="B587" s="2">
        <v>46292</v>
      </c>
      <c r="C587" t="s">
        <v>29</v>
      </c>
      <c r="D587" t="s">
        <v>99</v>
      </c>
      <c r="E587">
        <v>1</v>
      </c>
      <c r="F587" t="str">
        <f>_xlfn.XLOOKUP(D587, Products!$A$2:$A$21, Products!$B$2:$B$21, "Not Found")</f>
        <v>Smartphone 256GB</v>
      </c>
      <c r="G587" t="str">
        <f>_xlfn.XLOOKUP(D587, Products!$A$2:$A$21, Products!$C$2:$C$21,"not found")</f>
        <v>Phones</v>
      </c>
      <c r="H587" s="4">
        <f>_xlfn.XLOOKUP(D587, Products!$A$2:$A$21, Products!$E$2:$E$21, 0)</f>
        <v>1499</v>
      </c>
      <c r="I587" s="4">
        <f>_xlfn.XLOOKUP(D587, Products!$A$2:$A$21, Products!$F$2:$F$21,0)</f>
        <v>1180</v>
      </c>
      <c r="J587" t="str">
        <f>_xlfn.XLOOKUP(C587, Stores!$A$2:$A$7, Stores!$D$2:$D$7)</f>
        <v>Sydney West</v>
      </c>
      <c r="K587" s="4">
        <f t="shared" si="18"/>
        <v>1499</v>
      </c>
      <c r="L587" s="4">
        <f t="shared" si="19"/>
        <v>319</v>
      </c>
      <c r="M587" s="10">
        <f>IF(Table1[[#This Row],[Revenue]]=0, "", Table1[[#This Row],[Profit]]/Table1[[#This Row],[Revenue]])</f>
        <v>0.21280853902601735</v>
      </c>
      <c r="N587" s="4" t="str">
        <f>IF(Table1[[#This Row],[Margin]]="", "check", IF(Table1[[#This Row],[Margin]]&lt;0.2, "Low", "OK"))</f>
        <v>OK</v>
      </c>
      <c r="O587" s="4" t="str" cm="1">
        <f t="array" ref="O587">_xlfn.IFS(Table1[[#This Row],[Revenue]]=0, "Check", Table1[[#This Row],[Revenue]]&gt;=1000, "Large", Table1[[#This Row],[Revenue]]&gt;=200, "Medium", TRUE, "Small")</f>
        <v>Large</v>
      </c>
      <c r="P587" s="4" t="str">
        <f>IF(AND(Table1[[#This Row],[Margin Flag]]="Low", Table1[[#This Row],[Revenue]]&gt;1000), "Review", "")</f>
        <v/>
      </c>
      <c r="Q587" s="4" t="str">
        <f>IF(OR(Table1[[#This Row],[Qty]]&gt;=5,Table1[[#This Row],[Order Size]] = "Large" ), "Bulk", "")</f>
        <v>Bulk</v>
      </c>
      <c r="R587" s="10">
        <f>_xlfn.XLOOKUP(G587, Lookup!$A$2:$A$7, Lookup!$B$2:$B$7, "")</f>
        <v>0.25</v>
      </c>
      <c r="S587" s="4" t="str">
        <f>IF(Table1[[#This Row],[Margin]]&lt;Table1[[#This Row],[Target Margin]], "Yes", "")</f>
        <v>Yes</v>
      </c>
    </row>
    <row r="588" spans="1:19">
      <c r="A588" t="s">
        <v>633</v>
      </c>
      <c r="B588" s="2">
        <v>46293</v>
      </c>
      <c r="C588" t="s">
        <v>23</v>
      </c>
      <c r="D588" t="s">
        <v>35</v>
      </c>
      <c r="E588">
        <v>1</v>
      </c>
      <c r="F588" t="str">
        <f>_xlfn.XLOOKUP(D588, Products!$A$2:$A$21, Products!$B$2:$B$21, "Not Found")</f>
        <v>Phone Case</v>
      </c>
      <c r="G588" t="str">
        <f>_xlfn.XLOOKUP(D588, Products!$A$2:$A$21, Products!$C$2:$C$21,"not found")</f>
        <v>Accessories</v>
      </c>
      <c r="H588" s="4">
        <f>_xlfn.XLOOKUP(D588, Products!$A$2:$A$21, Products!$E$2:$E$21, 0)</f>
        <v>39</v>
      </c>
      <c r="I588" s="4">
        <f>_xlfn.XLOOKUP(D588, Products!$A$2:$A$21, Products!$F$2:$F$21,0)</f>
        <v>9</v>
      </c>
      <c r="J588" t="str">
        <f>_xlfn.XLOOKUP(C588, Stores!$A$2:$A$7, Stores!$D$2:$D$7)</f>
        <v>Sydney East</v>
      </c>
      <c r="K588" s="4">
        <f t="shared" si="18"/>
        <v>39</v>
      </c>
      <c r="L588" s="4">
        <f t="shared" si="19"/>
        <v>30</v>
      </c>
      <c r="M588" s="10">
        <f>IF(Table1[[#This Row],[Revenue]]=0, "", Table1[[#This Row],[Profit]]/Table1[[#This Row],[Revenue]])</f>
        <v>0.76923076923076927</v>
      </c>
      <c r="N588" s="4" t="str">
        <f>IF(Table1[[#This Row],[Margin]]="", "check", IF(Table1[[#This Row],[Margin]]&lt;0.2, "Low", "OK"))</f>
        <v>OK</v>
      </c>
      <c r="O588" s="4" t="str" cm="1">
        <f t="array" ref="O588">_xlfn.IFS(Table1[[#This Row],[Revenue]]=0, "Check", Table1[[#This Row],[Revenue]]&gt;=1000, "Large", Table1[[#This Row],[Revenue]]&gt;=200, "Medium", TRUE, "Small")</f>
        <v>Small</v>
      </c>
      <c r="P588" s="4" t="str">
        <f>IF(AND(Table1[[#This Row],[Margin Flag]]="Low", Table1[[#This Row],[Revenue]]&gt;1000), "Review", "")</f>
        <v/>
      </c>
      <c r="Q588" s="4" t="str">
        <f>IF(OR(Table1[[#This Row],[Qty]]&gt;=5,Table1[[#This Row],[Order Size]] = "Large" ), "Bulk", "")</f>
        <v/>
      </c>
      <c r="R588" s="10">
        <f>_xlfn.XLOOKUP(G588, Lookup!$A$2:$A$7, Lookup!$B$2:$B$7, "")</f>
        <v>0.25</v>
      </c>
      <c r="S588" s="4" t="str">
        <f>IF(Table1[[#This Row],[Margin]]&lt;Table1[[#This Row],[Target Margin]], "Yes", "")</f>
        <v/>
      </c>
    </row>
    <row r="589" spans="1:19">
      <c r="A589" t="s">
        <v>634</v>
      </c>
      <c r="B589" s="2">
        <v>46293</v>
      </c>
      <c r="C589" t="s">
        <v>20</v>
      </c>
      <c r="D589" t="s">
        <v>21</v>
      </c>
      <c r="E589">
        <v>1</v>
      </c>
      <c r="F589" t="str">
        <f>_xlfn.XLOOKUP(D589, Products!$A$2:$A$21, Products!$B$2:$B$21, "Not Found")</f>
        <v>Gaming Mouse</v>
      </c>
      <c r="G589" t="str">
        <f>_xlfn.XLOOKUP(D589, Products!$A$2:$A$21, Products!$C$2:$C$21,"not found")</f>
        <v>Accessories</v>
      </c>
      <c r="H589" s="4">
        <f>_xlfn.XLOOKUP(D589, Products!$A$2:$A$21, Products!$E$2:$E$21, 0)</f>
        <v>89</v>
      </c>
      <c r="I589" s="4">
        <f>_xlfn.XLOOKUP(D589, Products!$A$2:$A$21, Products!$F$2:$F$21,0)</f>
        <v>41</v>
      </c>
      <c r="J589" t="str">
        <f>_xlfn.XLOOKUP(C589, Stores!$A$2:$A$7, Stores!$D$2:$D$7)</f>
        <v>Sydney West</v>
      </c>
      <c r="K589" s="4">
        <f t="shared" si="18"/>
        <v>89</v>
      </c>
      <c r="L589" s="4">
        <f t="shared" si="19"/>
        <v>48</v>
      </c>
      <c r="M589" s="10">
        <f>IF(Table1[[#This Row],[Revenue]]=0, "", Table1[[#This Row],[Profit]]/Table1[[#This Row],[Revenue]])</f>
        <v>0.5393258426966292</v>
      </c>
      <c r="N589" s="4" t="str">
        <f>IF(Table1[[#This Row],[Margin]]="", "check", IF(Table1[[#This Row],[Margin]]&lt;0.2, "Low", "OK"))</f>
        <v>OK</v>
      </c>
      <c r="O589" s="4" t="str" cm="1">
        <f t="array" ref="O589">_xlfn.IFS(Table1[[#This Row],[Revenue]]=0, "Check", Table1[[#This Row],[Revenue]]&gt;=1000, "Large", Table1[[#This Row],[Revenue]]&gt;=200, "Medium", TRUE, "Small")</f>
        <v>Small</v>
      </c>
      <c r="P589" s="4" t="str">
        <f>IF(AND(Table1[[#This Row],[Margin Flag]]="Low", Table1[[#This Row],[Revenue]]&gt;1000), "Review", "")</f>
        <v/>
      </c>
      <c r="Q589" s="4" t="str">
        <f>IF(OR(Table1[[#This Row],[Qty]]&gt;=5,Table1[[#This Row],[Order Size]] = "Large" ), "Bulk", "")</f>
        <v/>
      </c>
      <c r="R589" s="10">
        <f>_xlfn.XLOOKUP(G589, Lookup!$A$2:$A$7, Lookup!$B$2:$B$7, "")</f>
        <v>0.25</v>
      </c>
      <c r="S589" s="4" t="str">
        <f>IF(Table1[[#This Row],[Margin]]&lt;Table1[[#This Row],[Target Margin]], "Yes", "")</f>
        <v/>
      </c>
    </row>
    <row r="590" spans="1:19">
      <c r="A590" t="s">
        <v>635</v>
      </c>
      <c r="B590" s="2">
        <v>46293</v>
      </c>
      <c r="C590" t="s">
        <v>23</v>
      </c>
      <c r="D590" t="s">
        <v>69</v>
      </c>
      <c r="E590">
        <v>1</v>
      </c>
      <c r="F590" t="str">
        <f>_xlfn.XLOOKUP(D590, Products!$A$2:$A$21, Products!$B$2:$B$21, "Not Found")</f>
        <v>27in Monitor</v>
      </c>
      <c r="G590" t="str">
        <f>_xlfn.XLOOKUP(D590, Products!$A$2:$A$21, Products!$C$2:$C$21,"not found")</f>
        <v>Computers</v>
      </c>
      <c r="H590" s="4">
        <f>_xlfn.XLOOKUP(D590, Products!$A$2:$A$21, Products!$E$2:$E$21, 0)</f>
        <v>399</v>
      </c>
      <c r="I590" s="4">
        <f>_xlfn.XLOOKUP(D590, Products!$A$2:$A$21, Products!$F$2:$F$21,0)</f>
        <v>290</v>
      </c>
      <c r="J590" t="str">
        <f>_xlfn.XLOOKUP(C590, Stores!$A$2:$A$7, Stores!$D$2:$D$7)</f>
        <v>Sydney East</v>
      </c>
      <c r="K590" s="4">
        <f t="shared" si="18"/>
        <v>399</v>
      </c>
      <c r="L590" s="4">
        <f t="shared" si="19"/>
        <v>109</v>
      </c>
      <c r="M590" s="10">
        <f>IF(Table1[[#This Row],[Revenue]]=0, "", Table1[[#This Row],[Profit]]/Table1[[#This Row],[Revenue]])</f>
        <v>0.27318295739348369</v>
      </c>
      <c r="N590" s="4" t="str">
        <f>IF(Table1[[#This Row],[Margin]]="", "check", IF(Table1[[#This Row],[Margin]]&lt;0.2, "Low", "OK"))</f>
        <v>OK</v>
      </c>
      <c r="O590" s="4" t="str" cm="1">
        <f t="array" ref="O590">_xlfn.IFS(Table1[[#This Row],[Revenue]]=0, "Check", Table1[[#This Row],[Revenue]]&gt;=1000, "Large", Table1[[#This Row],[Revenue]]&gt;=200, "Medium", TRUE, "Small")</f>
        <v>Medium</v>
      </c>
      <c r="P590" s="4" t="str">
        <f>IF(AND(Table1[[#This Row],[Margin Flag]]="Low", Table1[[#This Row],[Revenue]]&gt;1000), "Review", "")</f>
        <v/>
      </c>
      <c r="Q590" s="4" t="str">
        <f>IF(OR(Table1[[#This Row],[Qty]]&gt;=5,Table1[[#This Row],[Order Size]] = "Large" ), "Bulk", "")</f>
        <v/>
      </c>
      <c r="R590" s="10">
        <f>_xlfn.XLOOKUP(G590, Lookup!$A$2:$A$7, Lookup!$B$2:$B$7, "")</f>
        <v>0.25</v>
      </c>
      <c r="S590" s="4" t="str">
        <f>IF(Table1[[#This Row],[Margin]]&lt;Table1[[#This Row],[Target Margin]], "Yes", "")</f>
        <v/>
      </c>
    </row>
    <row r="591" spans="1:19">
      <c r="A591" t="s">
        <v>636</v>
      </c>
      <c r="B591" s="2">
        <v>46293</v>
      </c>
      <c r="C591" t="s">
        <v>26</v>
      </c>
      <c r="D591" t="s">
        <v>67</v>
      </c>
      <c r="E591">
        <v>1</v>
      </c>
      <c r="F591" t="str">
        <f>_xlfn.XLOOKUP(D591, Products!$A$2:$A$21, Products!$B$2:$B$21, "Not Found")</f>
        <v>Soundbar</v>
      </c>
      <c r="G591" t="str">
        <f>_xlfn.XLOOKUP(D591, Products!$A$2:$A$21, Products!$C$2:$C$21,"not found")</f>
        <v>Audio</v>
      </c>
      <c r="H591" s="4">
        <f>_xlfn.XLOOKUP(D591, Products!$A$2:$A$21, Products!$E$2:$E$21, 0)</f>
        <v>699</v>
      </c>
      <c r="I591" s="4">
        <f>_xlfn.XLOOKUP(D591, Products!$A$2:$A$21, Products!$F$2:$F$21,0)</f>
        <v>450</v>
      </c>
      <c r="J591" t="str">
        <f>_xlfn.XLOOKUP(C591, Stores!$A$2:$A$7, Stores!$D$2:$D$7)</f>
        <v>Sydney North</v>
      </c>
      <c r="K591" s="4">
        <f t="shared" si="18"/>
        <v>699</v>
      </c>
      <c r="L591" s="4">
        <f t="shared" si="19"/>
        <v>249</v>
      </c>
      <c r="M591" s="10">
        <f>IF(Table1[[#This Row],[Revenue]]=0, "", Table1[[#This Row],[Profit]]/Table1[[#This Row],[Revenue]])</f>
        <v>0.35622317596566522</v>
      </c>
      <c r="N591" s="4" t="str">
        <f>IF(Table1[[#This Row],[Margin]]="", "check", IF(Table1[[#This Row],[Margin]]&lt;0.2, "Low", "OK"))</f>
        <v>OK</v>
      </c>
      <c r="O591" s="4" t="str" cm="1">
        <f t="array" ref="O591">_xlfn.IFS(Table1[[#This Row],[Revenue]]=0, "Check", Table1[[#This Row],[Revenue]]&gt;=1000, "Large", Table1[[#This Row],[Revenue]]&gt;=200, "Medium", TRUE, "Small")</f>
        <v>Medium</v>
      </c>
      <c r="P591" s="4" t="str">
        <f>IF(AND(Table1[[#This Row],[Margin Flag]]="Low", Table1[[#This Row],[Revenue]]&gt;1000), "Review", "")</f>
        <v/>
      </c>
      <c r="Q591" s="4" t="str">
        <f>IF(OR(Table1[[#This Row],[Qty]]&gt;=5,Table1[[#This Row],[Order Size]] = "Large" ), "Bulk", "")</f>
        <v/>
      </c>
      <c r="R591" s="10">
        <f>_xlfn.XLOOKUP(G591, Lookup!$A$2:$A$7, Lookup!$B$2:$B$7, "")</f>
        <v>0.25</v>
      </c>
      <c r="S591" s="4" t="str">
        <f>IF(Table1[[#This Row],[Margin]]&lt;Table1[[#This Row],[Target Margin]], "Yes", "")</f>
        <v/>
      </c>
    </row>
    <row r="592" spans="1:19">
      <c r="A592" t="s">
        <v>637</v>
      </c>
      <c r="B592" s="2">
        <v>46294</v>
      </c>
      <c r="C592" t="s">
        <v>26</v>
      </c>
      <c r="D592" t="s">
        <v>21</v>
      </c>
      <c r="E592">
        <v>1</v>
      </c>
      <c r="F592" t="str">
        <f>_xlfn.XLOOKUP(D592, Products!$A$2:$A$21, Products!$B$2:$B$21, "Not Found")</f>
        <v>Gaming Mouse</v>
      </c>
      <c r="G592" t="str">
        <f>_xlfn.XLOOKUP(D592, Products!$A$2:$A$21, Products!$C$2:$C$21,"not found")</f>
        <v>Accessories</v>
      </c>
      <c r="H592" s="4">
        <f>_xlfn.XLOOKUP(D592, Products!$A$2:$A$21, Products!$E$2:$E$21, 0)</f>
        <v>89</v>
      </c>
      <c r="I592" s="4">
        <f>_xlfn.XLOOKUP(D592, Products!$A$2:$A$21, Products!$F$2:$F$21,0)</f>
        <v>41</v>
      </c>
      <c r="J592" t="str">
        <f>_xlfn.XLOOKUP(C592, Stores!$A$2:$A$7, Stores!$D$2:$D$7)</f>
        <v>Sydney North</v>
      </c>
      <c r="K592" s="4">
        <f t="shared" si="18"/>
        <v>89</v>
      </c>
      <c r="L592" s="4">
        <f t="shared" si="19"/>
        <v>48</v>
      </c>
      <c r="M592" s="10">
        <f>IF(Table1[[#This Row],[Revenue]]=0, "", Table1[[#This Row],[Profit]]/Table1[[#This Row],[Revenue]])</f>
        <v>0.5393258426966292</v>
      </c>
      <c r="N592" s="4" t="str">
        <f>IF(Table1[[#This Row],[Margin]]="", "check", IF(Table1[[#This Row],[Margin]]&lt;0.2, "Low", "OK"))</f>
        <v>OK</v>
      </c>
      <c r="O592" s="4" t="str" cm="1">
        <f t="array" ref="O592">_xlfn.IFS(Table1[[#This Row],[Revenue]]=0, "Check", Table1[[#This Row],[Revenue]]&gt;=1000, "Large", Table1[[#This Row],[Revenue]]&gt;=200, "Medium", TRUE, "Small")</f>
        <v>Small</v>
      </c>
      <c r="P592" s="4" t="str">
        <f>IF(AND(Table1[[#This Row],[Margin Flag]]="Low", Table1[[#This Row],[Revenue]]&gt;1000), "Review", "")</f>
        <v/>
      </c>
      <c r="Q592" s="4" t="str">
        <f>IF(OR(Table1[[#This Row],[Qty]]&gt;=5,Table1[[#This Row],[Order Size]] = "Large" ), "Bulk", "")</f>
        <v/>
      </c>
      <c r="R592" s="10">
        <f>_xlfn.XLOOKUP(G592, Lookup!$A$2:$A$7, Lookup!$B$2:$B$7, "")</f>
        <v>0.25</v>
      </c>
      <c r="S592" s="4" t="str">
        <f>IF(Table1[[#This Row],[Margin]]&lt;Table1[[#This Row],[Target Margin]], "Yes", "")</f>
        <v/>
      </c>
    </row>
    <row r="593" spans="1:19" hidden="1">
      <c r="A593" t="s">
        <v>638</v>
      </c>
      <c r="B593" s="2">
        <v>46294</v>
      </c>
      <c r="C593" t="s">
        <v>57</v>
      </c>
      <c r="D593" t="s">
        <v>230</v>
      </c>
      <c r="E593">
        <v>1</v>
      </c>
      <c r="F593" t="str">
        <f>_xlfn.XLOOKUP(D593, Products!$A$2:$A$21, Products!$B$2:$B$21, "Not Found")</f>
        <v>Not Found</v>
      </c>
      <c r="G593" t="str">
        <f>_xlfn.XLOOKUP(D593, Products!$A$2:$A$21, Products!$C$2:$C$21,"not found")</f>
        <v>not found</v>
      </c>
      <c r="H593" s="4">
        <f>_xlfn.XLOOKUP(D593, Products!$A$2:$A$21, Products!$E$2:$E$21, 0)</f>
        <v>0</v>
      </c>
      <c r="I593" s="4">
        <f>_xlfn.XLOOKUP(D593, Products!$A$2:$A$21, Products!$F$2:$F$21,0)</f>
        <v>0</v>
      </c>
      <c r="J593" t="str">
        <f>_xlfn.XLOOKUP(C593, Stores!$A$2:$A$7, Stores!$D$2:$D$7)</f>
        <v>Sydney South</v>
      </c>
      <c r="K593" s="4">
        <f t="shared" si="18"/>
        <v>0</v>
      </c>
      <c r="L593" s="4">
        <f t="shared" si="19"/>
        <v>0</v>
      </c>
      <c r="M593" t="str">
        <f>IF(Table1[[#This Row],[Revenue]]=0, "", Table1[[#This Row],[Profit]]/Table1[[#This Row],[Revenue]])</f>
        <v/>
      </c>
      <c r="N593" s="4" t="str">
        <f>IF(Table1[[#This Row],[Margin]]="", "check", IF(Table1[[#This Row],[Margin]]&lt;0.2, "Low", "OK"))</f>
        <v>check</v>
      </c>
      <c r="O593" s="4" t="str" cm="1">
        <f t="array" ref="O593">_xlfn.IFS(Table1[[#This Row],[Revenue]]=0, "Check", Table1[[#This Row],[Revenue]]&gt;=1000, "Large", Table1[[#This Row],[Revenue]]&gt;=200, "Medium", TRUE, "Small")</f>
        <v>Check</v>
      </c>
      <c r="P593" s="4" t="str">
        <f>IF(AND(Table1[[#This Row],[Margin Flag]]="Low", Table1[[#This Row],[Revenue]]&gt;1000), "Review", "")</f>
        <v/>
      </c>
      <c r="Q593" s="4" t="str">
        <f>IF(OR(Table1[[#This Row],[Qty]]&gt;=5,Table1[[#This Row],[Order Size]] = "Large" ), "Bulk", "")</f>
        <v/>
      </c>
      <c r="R593" s="4" t="str">
        <f>_xlfn.XLOOKUP(G593, Lookup!$A$2:$A$7, Lookup!$B$2:$B$7, "")</f>
        <v/>
      </c>
      <c r="S593" s="4" t="str">
        <f>IF(Table1[[#This Row],[Margin]]&lt;Table1[[#This Row],[Target Margin]], "Yes", "")</f>
        <v/>
      </c>
    </row>
    <row r="594" spans="1:19">
      <c r="A594" t="s">
        <v>639</v>
      </c>
      <c r="B594" s="2">
        <v>46294</v>
      </c>
      <c r="C594" t="s">
        <v>57</v>
      </c>
      <c r="D594" t="s">
        <v>21</v>
      </c>
      <c r="E594">
        <v>4</v>
      </c>
      <c r="F594" t="str">
        <f>_xlfn.XLOOKUP(D594, Products!$A$2:$A$21, Products!$B$2:$B$21, "Not Found")</f>
        <v>Gaming Mouse</v>
      </c>
      <c r="G594" t="str">
        <f>_xlfn.XLOOKUP(D594, Products!$A$2:$A$21, Products!$C$2:$C$21,"not found")</f>
        <v>Accessories</v>
      </c>
      <c r="H594" s="4">
        <f>_xlfn.XLOOKUP(D594, Products!$A$2:$A$21, Products!$E$2:$E$21, 0)</f>
        <v>89</v>
      </c>
      <c r="I594" s="4">
        <f>_xlfn.XLOOKUP(D594, Products!$A$2:$A$21, Products!$F$2:$F$21,0)</f>
        <v>41</v>
      </c>
      <c r="J594" t="str">
        <f>_xlfn.XLOOKUP(C594, Stores!$A$2:$A$7, Stores!$D$2:$D$7)</f>
        <v>Sydney South</v>
      </c>
      <c r="K594" s="4">
        <f t="shared" si="18"/>
        <v>356</v>
      </c>
      <c r="L594" s="4">
        <f t="shared" si="19"/>
        <v>192</v>
      </c>
      <c r="M594" s="10">
        <f>IF(Table1[[#This Row],[Revenue]]=0, "", Table1[[#This Row],[Profit]]/Table1[[#This Row],[Revenue]])</f>
        <v>0.5393258426966292</v>
      </c>
      <c r="N594" s="4" t="str">
        <f>IF(Table1[[#This Row],[Margin]]="", "check", IF(Table1[[#This Row],[Margin]]&lt;0.2, "Low", "OK"))</f>
        <v>OK</v>
      </c>
      <c r="O594" s="4" t="str" cm="1">
        <f t="array" ref="O594">_xlfn.IFS(Table1[[#This Row],[Revenue]]=0, "Check", Table1[[#This Row],[Revenue]]&gt;=1000, "Large", Table1[[#This Row],[Revenue]]&gt;=200, "Medium", TRUE, "Small")</f>
        <v>Medium</v>
      </c>
      <c r="P594" s="4" t="str">
        <f>IF(AND(Table1[[#This Row],[Margin Flag]]="Low", Table1[[#This Row],[Revenue]]&gt;1000), "Review", "")</f>
        <v/>
      </c>
      <c r="Q594" s="4" t="str">
        <f>IF(OR(Table1[[#This Row],[Qty]]&gt;=5,Table1[[#This Row],[Order Size]] = "Large" ), "Bulk", "")</f>
        <v/>
      </c>
      <c r="R594" s="10">
        <f>_xlfn.XLOOKUP(G594, Lookup!$A$2:$A$7, Lookup!$B$2:$B$7, "")</f>
        <v>0.25</v>
      </c>
      <c r="S594" s="4" t="str">
        <f>IF(Table1[[#This Row],[Margin]]&lt;Table1[[#This Row],[Target Margin]], "Yes", "")</f>
        <v/>
      </c>
    </row>
    <row r="595" spans="1:19">
      <c r="A595" t="s">
        <v>640</v>
      </c>
      <c r="B595" s="2">
        <v>46294</v>
      </c>
      <c r="C595" t="s">
        <v>26</v>
      </c>
      <c r="D595" t="s">
        <v>21</v>
      </c>
      <c r="E595">
        <v>1</v>
      </c>
      <c r="F595" t="str">
        <f>_xlfn.XLOOKUP(D595, Products!$A$2:$A$21, Products!$B$2:$B$21, "Not Found")</f>
        <v>Gaming Mouse</v>
      </c>
      <c r="G595" t="str">
        <f>_xlfn.XLOOKUP(D595, Products!$A$2:$A$21, Products!$C$2:$C$21,"not found")</f>
        <v>Accessories</v>
      </c>
      <c r="H595" s="4">
        <f>_xlfn.XLOOKUP(D595, Products!$A$2:$A$21, Products!$E$2:$E$21, 0)</f>
        <v>89</v>
      </c>
      <c r="I595" s="4">
        <f>_xlfn.XLOOKUP(D595, Products!$A$2:$A$21, Products!$F$2:$F$21,0)</f>
        <v>41</v>
      </c>
      <c r="J595" t="str">
        <f>_xlfn.XLOOKUP(C595, Stores!$A$2:$A$7, Stores!$D$2:$D$7)</f>
        <v>Sydney North</v>
      </c>
      <c r="K595" s="4">
        <f t="shared" si="18"/>
        <v>89</v>
      </c>
      <c r="L595" s="4">
        <f t="shared" si="19"/>
        <v>48</v>
      </c>
      <c r="M595" s="10">
        <f>IF(Table1[[#This Row],[Revenue]]=0, "", Table1[[#This Row],[Profit]]/Table1[[#This Row],[Revenue]])</f>
        <v>0.5393258426966292</v>
      </c>
      <c r="N595" s="4" t="str">
        <f>IF(Table1[[#This Row],[Margin]]="", "check", IF(Table1[[#This Row],[Margin]]&lt;0.2, "Low", "OK"))</f>
        <v>OK</v>
      </c>
      <c r="O595" s="4" t="str" cm="1">
        <f t="array" ref="O595">_xlfn.IFS(Table1[[#This Row],[Revenue]]=0, "Check", Table1[[#This Row],[Revenue]]&gt;=1000, "Large", Table1[[#This Row],[Revenue]]&gt;=200, "Medium", TRUE, "Small")</f>
        <v>Small</v>
      </c>
      <c r="P595" s="4" t="str">
        <f>IF(AND(Table1[[#This Row],[Margin Flag]]="Low", Table1[[#This Row],[Revenue]]&gt;1000), "Review", "")</f>
        <v/>
      </c>
      <c r="Q595" s="4" t="str">
        <f>IF(OR(Table1[[#This Row],[Qty]]&gt;=5,Table1[[#This Row],[Order Size]] = "Large" ), "Bulk", "")</f>
        <v/>
      </c>
      <c r="R595" s="10">
        <f>_xlfn.XLOOKUP(G595, Lookup!$A$2:$A$7, Lookup!$B$2:$B$7, "")</f>
        <v>0.25</v>
      </c>
      <c r="S595" s="4" t="str">
        <f>IF(Table1[[#This Row],[Margin]]&lt;Table1[[#This Row],[Target Margin]], "Yes", "")</f>
        <v/>
      </c>
    </row>
    <row r="596" spans="1:19">
      <c r="A596" t="s">
        <v>641</v>
      </c>
      <c r="B596" s="2">
        <v>46294</v>
      </c>
      <c r="C596" t="s">
        <v>32</v>
      </c>
      <c r="D596" t="s">
        <v>43</v>
      </c>
      <c r="E596">
        <v>3</v>
      </c>
      <c r="F596" t="str">
        <f>_xlfn.XLOOKUP(D596, Products!$A$2:$A$21, Products!$B$2:$B$21, "Not Found")</f>
        <v>Console Controller</v>
      </c>
      <c r="G596" t="str">
        <f>_xlfn.XLOOKUP(D596, Products!$A$2:$A$21, Products!$C$2:$C$21,"not found")</f>
        <v>Gaming</v>
      </c>
      <c r="H596" s="4">
        <f>_xlfn.XLOOKUP(D596, Products!$A$2:$A$21, Products!$E$2:$E$21, 0)</f>
        <v>99</v>
      </c>
      <c r="I596" s="4">
        <f>_xlfn.XLOOKUP(D596, Products!$A$2:$A$21, Products!$F$2:$F$21,0)</f>
        <v>58</v>
      </c>
      <c r="J596" t="str">
        <f>_xlfn.XLOOKUP(C596, Stores!$A$2:$A$7, Stores!$D$2:$D$7)</f>
        <v>Sydney South</v>
      </c>
      <c r="K596" s="4">
        <f t="shared" si="18"/>
        <v>297</v>
      </c>
      <c r="L596" s="4">
        <f t="shared" si="19"/>
        <v>123</v>
      </c>
      <c r="M596" s="10">
        <f>IF(Table1[[#This Row],[Revenue]]=0, "", Table1[[#This Row],[Profit]]/Table1[[#This Row],[Revenue]])</f>
        <v>0.41414141414141414</v>
      </c>
      <c r="N596" s="4" t="str">
        <f>IF(Table1[[#This Row],[Margin]]="", "check", IF(Table1[[#This Row],[Margin]]&lt;0.2, "Low", "OK"))</f>
        <v>OK</v>
      </c>
      <c r="O596" s="4" t="str" cm="1">
        <f t="array" ref="O596">_xlfn.IFS(Table1[[#This Row],[Revenue]]=0, "Check", Table1[[#This Row],[Revenue]]&gt;=1000, "Large", Table1[[#This Row],[Revenue]]&gt;=200, "Medium", TRUE, "Small")</f>
        <v>Medium</v>
      </c>
      <c r="P596" s="4" t="str">
        <f>IF(AND(Table1[[#This Row],[Margin Flag]]="Low", Table1[[#This Row],[Revenue]]&gt;1000), "Review", "")</f>
        <v/>
      </c>
      <c r="Q596" s="4" t="str">
        <f>IF(OR(Table1[[#This Row],[Qty]]&gt;=5,Table1[[#This Row],[Order Size]] = "Large" ), "Bulk", "")</f>
        <v/>
      </c>
      <c r="R596" s="10">
        <f>_xlfn.XLOOKUP(G596, Lookup!$A$2:$A$7, Lookup!$B$2:$B$7, "")</f>
        <v>0.08</v>
      </c>
      <c r="S596" s="4" t="str">
        <f>IF(Table1[[#This Row],[Margin]]&lt;Table1[[#This Row],[Target Margin]], "Yes", "")</f>
        <v/>
      </c>
    </row>
    <row r="597" spans="1:19">
      <c r="A597" t="s">
        <v>642</v>
      </c>
      <c r="B597" s="2">
        <v>46295</v>
      </c>
      <c r="C597" t="s">
        <v>29</v>
      </c>
      <c r="D597" t="s">
        <v>38</v>
      </c>
      <c r="E597">
        <v>1</v>
      </c>
      <c r="F597" t="str">
        <f>_xlfn.XLOOKUP(D597, Products!$A$2:$A$21, Products!$B$2:$B$21, "Not Found")</f>
        <v>USB-C Charger</v>
      </c>
      <c r="G597" t="str">
        <f>_xlfn.XLOOKUP(D597, Products!$A$2:$A$21, Products!$C$2:$C$21,"not found")</f>
        <v>Accessories</v>
      </c>
      <c r="H597" s="4">
        <f>_xlfn.XLOOKUP(D597, Products!$A$2:$A$21, Products!$E$2:$E$21, 0)</f>
        <v>49</v>
      </c>
      <c r="I597" s="4">
        <f>_xlfn.XLOOKUP(D597, Products!$A$2:$A$21, Products!$F$2:$F$21,0)</f>
        <v>14</v>
      </c>
      <c r="J597" t="str">
        <f>_xlfn.XLOOKUP(C597, Stores!$A$2:$A$7, Stores!$D$2:$D$7)</f>
        <v>Sydney West</v>
      </c>
      <c r="K597" s="4">
        <f t="shared" si="18"/>
        <v>49</v>
      </c>
      <c r="L597" s="4">
        <f t="shared" si="19"/>
        <v>35</v>
      </c>
      <c r="M597" s="10">
        <f>IF(Table1[[#This Row],[Revenue]]=0, "", Table1[[#This Row],[Profit]]/Table1[[#This Row],[Revenue]])</f>
        <v>0.7142857142857143</v>
      </c>
      <c r="N597" s="4" t="str">
        <f>IF(Table1[[#This Row],[Margin]]="", "check", IF(Table1[[#This Row],[Margin]]&lt;0.2, "Low", "OK"))</f>
        <v>OK</v>
      </c>
      <c r="O597" s="4" t="str" cm="1">
        <f t="array" ref="O597">_xlfn.IFS(Table1[[#This Row],[Revenue]]=0, "Check", Table1[[#This Row],[Revenue]]&gt;=1000, "Large", Table1[[#This Row],[Revenue]]&gt;=200, "Medium", TRUE, "Small")</f>
        <v>Small</v>
      </c>
      <c r="P597" s="4" t="str">
        <f>IF(AND(Table1[[#This Row],[Margin Flag]]="Low", Table1[[#This Row],[Revenue]]&gt;1000), "Review", "")</f>
        <v/>
      </c>
      <c r="Q597" s="4" t="str">
        <f>IF(OR(Table1[[#This Row],[Qty]]&gt;=5,Table1[[#This Row],[Order Size]] = "Large" ), "Bulk", "")</f>
        <v/>
      </c>
      <c r="R597" s="10">
        <f>_xlfn.XLOOKUP(G597, Lookup!$A$2:$A$7, Lookup!$B$2:$B$7, "")</f>
        <v>0.25</v>
      </c>
      <c r="S597" s="4" t="str">
        <f>IF(Table1[[#This Row],[Margin]]&lt;Table1[[#This Row],[Target Margin]], "Yes", "")</f>
        <v/>
      </c>
    </row>
    <row r="598" spans="1:19">
      <c r="A598" t="s">
        <v>643</v>
      </c>
      <c r="B598" s="2">
        <v>46295</v>
      </c>
      <c r="C598" t="s">
        <v>26</v>
      </c>
      <c r="D598" t="s">
        <v>27</v>
      </c>
      <c r="E598">
        <v>1</v>
      </c>
      <c r="F598" t="str">
        <f>_xlfn.XLOOKUP(D598, Products!$A$2:$A$21, Products!$B$2:$B$21, "Not Found")</f>
        <v>Bluetooth Speaker</v>
      </c>
      <c r="G598" t="str">
        <f>_xlfn.XLOOKUP(D598, Products!$A$2:$A$21, Products!$C$2:$C$21,"not found")</f>
        <v>Audio</v>
      </c>
      <c r="H598" s="4">
        <f>_xlfn.XLOOKUP(D598, Products!$A$2:$A$21, Products!$E$2:$E$21, 0)</f>
        <v>179</v>
      </c>
      <c r="I598" s="4">
        <f>_xlfn.XLOOKUP(D598, Products!$A$2:$A$21, Products!$F$2:$F$21,0)</f>
        <v>95</v>
      </c>
      <c r="J598" t="str">
        <f>_xlfn.XLOOKUP(C598, Stores!$A$2:$A$7, Stores!$D$2:$D$7)</f>
        <v>Sydney North</v>
      </c>
      <c r="K598" s="4">
        <f t="shared" si="18"/>
        <v>179</v>
      </c>
      <c r="L598" s="4">
        <f t="shared" si="19"/>
        <v>84</v>
      </c>
      <c r="M598" s="10">
        <f>IF(Table1[[#This Row],[Revenue]]=0, "", Table1[[#This Row],[Profit]]/Table1[[#This Row],[Revenue]])</f>
        <v>0.46927374301675978</v>
      </c>
      <c r="N598" s="4" t="str">
        <f>IF(Table1[[#This Row],[Margin]]="", "check", IF(Table1[[#This Row],[Margin]]&lt;0.2, "Low", "OK"))</f>
        <v>OK</v>
      </c>
      <c r="O598" s="4" t="str" cm="1">
        <f t="array" ref="O598">_xlfn.IFS(Table1[[#This Row],[Revenue]]=0, "Check", Table1[[#This Row],[Revenue]]&gt;=1000, "Large", Table1[[#This Row],[Revenue]]&gt;=200, "Medium", TRUE, "Small")</f>
        <v>Small</v>
      </c>
      <c r="P598" s="4" t="str">
        <f>IF(AND(Table1[[#This Row],[Margin Flag]]="Low", Table1[[#This Row],[Revenue]]&gt;1000), "Review", "")</f>
        <v/>
      </c>
      <c r="Q598" s="4" t="str">
        <f>IF(OR(Table1[[#This Row],[Qty]]&gt;=5,Table1[[#This Row],[Order Size]] = "Large" ), "Bulk", "")</f>
        <v/>
      </c>
      <c r="R598" s="10">
        <f>_xlfn.XLOOKUP(G598, Lookup!$A$2:$A$7, Lookup!$B$2:$B$7, "")</f>
        <v>0.25</v>
      </c>
      <c r="S598" s="4" t="str">
        <f>IF(Table1[[#This Row],[Margin]]&lt;Table1[[#This Row],[Target Margin]], "Yes", "")</f>
        <v/>
      </c>
    </row>
    <row r="599" spans="1:19">
      <c r="A599" t="s">
        <v>644</v>
      </c>
      <c r="B599" s="2">
        <v>46295</v>
      </c>
      <c r="C599" t="s">
        <v>23</v>
      </c>
      <c r="D599" t="s">
        <v>21</v>
      </c>
      <c r="E599">
        <v>1</v>
      </c>
      <c r="F599" t="str">
        <f>_xlfn.XLOOKUP(D599, Products!$A$2:$A$21, Products!$B$2:$B$21, "Not Found")</f>
        <v>Gaming Mouse</v>
      </c>
      <c r="G599" t="str">
        <f>_xlfn.XLOOKUP(D599, Products!$A$2:$A$21, Products!$C$2:$C$21,"not found")</f>
        <v>Accessories</v>
      </c>
      <c r="H599" s="4">
        <f>_xlfn.XLOOKUP(D599, Products!$A$2:$A$21, Products!$E$2:$E$21, 0)</f>
        <v>89</v>
      </c>
      <c r="I599" s="4">
        <f>_xlfn.XLOOKUP(D599, Products!$A$2:$A$21, Products!$F$2:$F$21,0)</f>
        <v>41</v>
      </c>
      <c r="J599" t="str">
        <f>_xlfn.XLOOKUP(C599, Stores!$A$2:$A$7, Stores!$D$2:$D$7)</f>
        <v>Sydney East</v>
      </c>
      <c r="K599" s="4">
        <f t="shared" si="18"/>
        <v>89</v>
      </c>
      <c r="L599" s="4">
        <f t="shared" si="19"/>
        <v>48</v>
      </c>
      <c r="M599" s="10">
        <f>IF(Table1[[#This Row],[Revenue]]=0, "", Table1[[#This Row],[Profit]]/Table1[[#This Row],[Revenue]])</f>
        <v>0.5393258426966292</v>
      </c>
      <c r="N599" s="4" t="str">
        <f>IF(Table1[[#This Row],[Margin]]="", "check", IF(Table1[[#This Row],[Margin]]&lt;0.2, "Low", "OK"))</f>
        <v>OK</v>
      </c>
      <c r="O599" s="4" t="str" cm="1">
        <f t="array" ref="O599">_xlfn.IFS(Table1[[#This Row],[Revenue]]=0, "Check", Table1[[#This Row],[Revenue]]&gt;=1000, "Large", Table1[[#This Row],[Revenue]]&gt;=200, "Medium", TRUE, "Small")</f>
        <v>Small</v>
      </c>
      <c r="P599" s="4" t="str">
        <f>IF(AND(Table1[[#This Row],[Margin Flag]]="Low", Table1[[#This Row],[Revenue]]&gt;1000), "Review", "")</f>
        <v/>
      </c>
      <c r="Q599" s="4" t="str">
        <f>IF(OR(Table1[[#This Row],[Qty]]&gt;=5,Table1[[#This Row],[Order Size]] = "Large" ), "Bulk", "")</f>
        <v/>
      </c>
      <c r="R599" s="10">
        <f>_xlfn.XLOOKUP(G599, Lookup!$A$2:$A$7, Lookup!$B$2:$B$7, "")</f>
        <v>0.25</v>
      </c>
      <c r="S599" s="4" t="str">
        <f>IF(Table1[[#This Row],[Margin]]&lt;Table1[[#This Row],[Target Margin]], "Yes", "")</f>
        <v/>
      </c>
    </row>
    <row r="600" spans="1:19">
      <c r="A600" t="s">
        <v>645</v>
      </c>
      <c r="B600" s="2">
        <v>46295</v>
      </c>
      <c r="C600" t="s">
        <v>26</v>
      </c>
      <c r="D600" t="s">
        <v>21</v>
      </c>
      <c r="E600">
        <v>2</v>
      </c>
      <c r="F600" t="str">
        <f>_xlfn.XLOOKUP(D600, Products!$A$2:$A$21, Products!$B$2:$B$21, "Not Found")</f>
        <v>Gaming Mouse</v>
      </c>
      <c r="G600" t="str">
        <f>_xlfn.XLOOKUP(D600, Products!$A$2:$A$21, Products!$C$2:$C$21,"not found")</f>
        <v>Accessories</v>
      </c>
      <c r="H600" s="4">
        <f>_xlfn.XLOOKUP(D600, Products!$A$2:$A$21, Products!$E$2:$E$21, 0)</f>
        <v>89</v>
      </c>
      <c r="I600" s="4">
        <f>_xlfn.XLOOKUP(D600, Products!$A$2:$A$21, Products!$F$2:$F$21,0)</f>
        <v>41</v>
      </c>
      <c r="J600" t="str">
        <f>_xlfn.XLOOKUP(C600, Stores!$A$2:$A$7, Stores!$D$2:$D$7)</f>
        <v>Sydney North</v>
      </c>
      <c r="K600" s="4">
        <f t="shared" si="18"/>
        <v>178</v>
      </c>
      <c r="L600" s="4">
        <f t="shared" si="19"/>
        <v>96</v>
      </c>
      <c r="M600" s="10">
        <f>IF(Table1[[#This Row],[Revenue]]=0, "", Table1[[#This Row],[Profit]]/Table1[[#This Row],[Revenue]])</f>
        <v>0.5393258426966292</v>
      </c>
      <c r="N600" s="4" t="str">
        <f>IF(Table1[[#This Row],[Margin]]="", "check", IF(Table1[[#This Row],[Margin]]&lt;0.2, "Low", "OK"))</f>
        <v>OK</v>
      </c>
      <c r="O600" s="4" t="str" cm="1">
        <f t="array" ref="O600">_xlfn.IFS(Table1[[#This Row],[Revenue]]=0, "Check", Table1[[#This Row],[Revenue]]&gt;=1000, "Large", Table1[[#This Row],[Revenue]]&gt;=200, "Medium", TRUE, "Small")</f>
        <v>Small</v>
      </c>
      <c r="P600" s="4" t="str">
        <f>IF(AND(Table1[[#This Row],[Margin Flag]]="Low", Table1[[#This Row],[Revenue]]&gt;1000), "Review", "")</f>
        <v/>
      </c>
      <c r="Q600" s="4" t="str">
        <f>IF(OR(Table1[[#This Row],[Qty]]&gt;=5,Table1[[#This Row],[Order Size]] = "Large" ), "Bulk", "")</f>
        <v/>
      </c>
      <c r="R600" s="10">
        <f>_xlfn.XLOOKUP(G600, Lookup!$A$2:$A$7, Lookup!$B$2:$B$7, "")</f>
        <v>0.25</v>
      </c>
      <c r="S600" s="4" t="str">
        <f>IF(Table1[[#This Row],[Margin]]&lt;Table1[[#This Row],[Target Margin]], "Yes", "")</f>
        <v/>
      </c>
    </row>
    <row r="601" spans="1:19">
      <c r="A601" t="s">
        <v>646</v>
      </c>
      <c r="B601" s="2">
        <v>46295</v>
      </c>
      <c r="C601" t="s">
        <v>20</v>
      </c>
      <c r="D601" t="s">
        <v>21</v>
      </c>
      <c r="E601">
        <v>2</v>
      </c>
      <c r="F601" t="str">
        <f>_xlfn.XLOOKUP(D601, Products!$A$2:$A$21, Products!$B$2:$B$21, "Not Found")</f>
        <v>Gaming Mouse</v>
      </c>
      <c r="G601" t="str">
        <f>_xlfn.XLOOKUP(D601, Products!$A$2:$A$21, Products!$C$2:$C$21,"not found")</f>
        <v>Accessories</v>
      </c>
      <c r="H601" s="4">
        <f>_xlfn.XLOOKUP(D601, Products!$A$2:$A$21, Products!$E$2:$E$21, 0)</f>
        <v>89</v>
      </c>
      <c r="I601" s="4">
        <f>_xlfn.XLOOKUP(D601, Products!$A$2:$A$21, Products!$F$2:$F$21,0)</f>
        <v>41</v>
      </c>
      <c r="J601" t="str">
        <f>_xlfn.XLOOKUP(C601, Stores!$A$2:$A$7, Stores!$D$2:$D$7)</f>
        <v>Sydney West</v>
      </c>
      <c r="K601" s="4">
        <f t="shared" si="18"/>
        <v>178</v>
      </c>
      <c r="L601" s="4">
        <f t="shared" si="19"/>
        <v>96</v>
      </c>
      <c r="M601" s="10">
        <f>IF(Table1[[#This Row],[Revenue]]=0, "", Table1[[#This Row],[Profit]]/Table1[[#This Row],[Revenue]])</f>
        <v>0.5393258426966292</v>
      </c>
      <c r="N601" s="4" t="str">
        <f>IF(Table1[[#This Row],[Margin]]="", "check", IF(Table1[[#This Row],[Margin]]&lt;0.2, "Low", "OK"))</f>
        <v>OK</v>
      </c>
      <c r="O601" s="4" t="str" cm="1">
        <f t="array" ref="O601">_xlfn.IFS(Table1[[#This Row],[Revenue]]=0, "Check", Table1[[#This Row],[Revenue]]&gt;=1000, "Large", Table1[[#This Row],[Revenue]]&gt;=200, "Medium", TRUE, "Small")</f>
        <v>Small</v>
      </c>
      <c r="P601" s="4" t="str">
        <f>IF(AND(Table1[[#This Row],[Margin Flag]]="Low", Table1[[#This Row],[Revenue]]&gt;1000), "Review", "")</f>
        <v/>
      </c>
      <c r="Q601" s="4" t="str">
        <f>IF(OR(Table1[[#This Row],[Qty]]&gt;=5,Table1[[#This Row],[Order Size]] = "Large" ), "Bulk", "")</f>
        <v/>
      </c>
      <c r="R601" s="10">
        <f>_xlfn.XLOOKUP(G601, Lookup!$A$2:$A$7, Lookup!$B$2:$B$7, "")</f>
        <v>0.25</v>
      </c>
      <c r="S601" s="4" t="str">
        <f>IF(Table1[[#This Row],[Margin]]&lt;Table1[[#This Row],[Target Margin]], "Yes", "")</f>
        <v/>
      </c>
    </row>
    <row r="602" spans="1:19">
      <c r="J602" s="8"/>
      <c r="N602" s="7"/>
      <c r="O602" s="4"/>
      <c r="P602" s="4"/>
      <c r="Q602" s="4"/>
    </row>
    <row r="610" spans="10:16">
      <c r="J610" s="5" t="s">
        <v>647</v>
      </c>
      <c r="K610" s="4">
        <f>SUM(K2:K601)</f>
        <v>317546</v>
      </c>
      <c r="L610" s="6">
        <f>SUM(L2:L601)</f>
        <v>92222</v>
      </c>
    </row>
    <row r="618" spans="10:16">
      <c r="N618" t="s">
        <v>648</v>
      </c>
      <c r="O618">
        <f>COUNTIF(N2:N601,"low")</f>
        <v>11</v>
      </c>
    </row>
    <row r="619" spans="10:16">
      <c r="N619" t="s">
        <v>649</v>
      </c>
      <c r="O619">
        <f ca="1">COUNTIF(O:O, "Check")</f>
        <v>4</v>
      </c>
    </row>
    <row r="620" spans="10:16">
      <c r="N620" t="s">
        <v>650</v>
      </c>
      <c r="O620">
        <f ca="1">COUNTIF(O:O, "Small")</f>
        <v>321</v>
      </c>
    </row>
    <row r="621" spans="10:16">
      <c r="N621" t="s">
        <v>651</v>
      </c>
      <c r="O621">
        <f ca="1">COUNTIF(O:O, "Medium")</f>
        <v>156</v>
      </c>
    </row>
    <row r="622" spans="10:16">
      <c r="N622" t="s">
        <v>652</v>
      </c>
      <c r="O622">
        <f ca="1">COUNTIF(O:O, "Large")</f>
        <v>119</v>
      </c>
    </row>
    <row r="623" spans="10:16">
      <c r="N623" t="s">
        <v>653</v>
      </c>
      <c r="O623">
        <f>SUMIF(Table1[Order Size], "Check", Table1[Revenue])</f>
        <v>0</v>
      </c>
      <c r="P623">
        <f>0</f>
        <v>0</v>
      </c>
    </row>
    <row r="624" spans="10:16">
      <c r="N624" t="s">
        <v>654</v>
      </c>
      <c r="O624">
        <f>SUMIF(Table1[Order Size], "Small", Table1[Revenue])</f>
        <v>32300</v>
      </c>
      <c r="P624">
        <f>(O624/K610)*100</f>
        <v>10.171754643421741</v>
      </c>
    </row>
    <row r="625" spans="14:16">
      <c r="N625" t="s">
        <v>655</v>
      </c>
      <c r="O625">
        <f>SUMIF(Table1[Order Size], "Medium", Table1[Revenue])</f>
        <v>75829</v>
      </c>
      <c r="P625">
        <f>(O625/K610)*100</f>
        <v>23.879689871703626</v>
      </c>
    </row>
    <row r="626" spans="14:16">
      <c r="N626" t="s">
        <v>656</v>
      </c>
      <c r="O626">
        <f>SUMIF(Table1[Order Size], "Large", Table1[Revenue])</f>
        <v>209417</v>
      </c>
      <c r="P626">
        <f>(O626/K610)*100</f>
        <v>65.948555484874632</v>
      </c>
    </row>
    <row r="627" spans="14:16">
      <c r="N627" t="s">
        <v>657</v>
      </c>
      <c r="O627">
        <f ca="1">O620/6</f>
        <v>53.5</v>
      </c>
    </row>
    <row r="628" spans="14:16">
      <c r="N628" t="s">
        <v>658</v>
      </c>
      <c r="O628">
        <f ca="1">O621/6</f>
        <v>26</v>
      </c>
    </row>
    <row r="629" spans="14:16">
      <c r="N629" t="s">
        <v>659</v>
      </c>
      <c r="O629">
        <f ca="1">O622/6</f>
        <v>19.833333333333332</v>
      </c>
    </row>
    <row r="630" spans="14:16">
      <c r="N630" t="s">
        <v>660</v>
      </c>
      <c r="O630">
        <f ca="1">O619/6</f>
        <v>0.66666666666666663</v>
      </c>
    </row>
    <row r="631" spans="14:16">
      <c r="N631" t="s">
        <v>661</v>
      </c>
      <c r="O631">
        <f>COUNTIF(Table1[Review], "Review")</f>
        <v>2</v>
      </c>
    </row>
    <row r="632" spans="14:16">
      <c r="N632" t="s">
        <v>662</v>
      </c>
      <c r="O632">
        <f>COUNTIF(Table1[Bulk], "Bulk")</f>
        <v>119</v>
      </c>
    </row>
    <row r="633" spans="14:16">
      <c r="N633" t="s">
        <v>663</v>
      </c>
      <c r="O633">
        <f>COUNTIF(Table1[Below Target], "Yes")</f>
        <v>117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912D-9356-4FC6-9E45-561EFEB4C52D}">
  <dimension ref="A1:B7"/>
  <sheetViews>
    <sheetView workbookViewId="0">
      <selection activeCell="C1" sqref="C1"/>
    </sheetView>
  </sheetViews>
  <sheetFormatPr defaultRowHeight="15"/>
  <cols>
    <col min="1" max="1" width="13.85546875" customWidth="1"/>
    <col min="2" max="2" width="16.140625" customWidth="1"/>
  </cols>
  <sheetData>
    <row r="1" spans="1:2">
      <c r="A1" t="s">
        <v>664</v>
      </c>
      <c r="B1" t="s">
        <v>17</v>
      </c>
    </row>
    <row r="2" spans="1:2">
      <c r="A2" t="s">
        <v>665</v>
      </c>
      <c r="B2" s="9">
        <v>0.25</v>
      </c>
    </row>
    <row r="3" spans="1:2">
      <c r="A3" t="s">
        <v>666</v>
      </c>
      <c r="B3" s="9">
        <v>0.25</v>
      </c>
    </row>
    <row r="4" spans="1:2">
      <c r="A4" t="s">
        <v>667</v>
      </c>
      <c r="B4" s="9">
        <v>0.08</v>
      </c>
    </row>
    <row r="5" spans="1:2">
      <c r="A5" t="s">
        <v>668</v>
      </c>
      <c r="B5" s="9">
        <v>0.25</v>
      </c>
    </row>
    <row r="6" spans="1:2">
      <c r="A6" t="s">
        <v>669</v>
      </c>
      <c r="B6" s="9">
        <v>0.25</v>
      </c>
    </row>
    <row r="7" spans="1:2">
      <c r="A7" t="s">
        <v>670</v>
      </c>
      <c r="B7" s="9"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1" topLeftCell="A2" activePane="bottomLeft" state="frozen"/>
      <selection pane="bottomLeft" activeCell="F3" sqref="F3"/>
    </sheetView>
  </sheetViews>
  <sheetFormatPr defaultRowHeight="15"/>
  <cols>
    <col min="1" max="1" width="11" customWidth="1"/>
    <col min="2" max="2" width="20" customWidth="1"/>
    <col min="3" max="3" width="13" customWidth="1"/>
    <col min="4" max="6" width="10" customWidth="1"/>
  </cols>
  <sheetData>
    <row r="1" spans="1:6">
      <c r="A1" s="1" t="s">
        <v>3</v>
      </c>
      <c r="B1" s="1" t="s">
        <v>5</v>
      </c>
      <c r="C1" s="1" t="s">
        <v>6</v>
      </c>
      <c r="D1" s="1" t="s">
        <v>671</v>
      </c>
      <c r="E1" s="1" t="s">
        <v>7</v>
      </c>
      <c r="F1" s="1" t="s">
        <v>8</v>
      </c>
    </row>
    <row r="2" spans="1:6">
      <c r="A2" t="s">
        <v>106</v>
      </c>
      <c r="B2" t="s">
        <v>672</v>
      </c>
      <c r="C2" t="s">
        <v>669</v>
      </c>
      <c r="D2" t="s">
        <v>673</v>
      </c>
      <c r="E2">
        <v>1199</v>
      </c>
      <c r="F2">
        <v>930</v>
      </c>
    </row>
    <row r="3" spans="1:6">
      <c r="A3" t="s">
        <v>87</v>
      </c>
      <c r="B3" t="s">
        <v>674</v>
      </c>
      <c r="C3" t="s">
        <v>669</v>
      </c>
      <c r="D3" t="s">
        <v>675</v>
      </c>
      <c r="E3">
        <v>1799</v>
      </c>
      <c r="F3">
        <v>1390</v>
      </c>
    </row>
    <row r="4" spans="1:6">
      <c r="A4" t="s">
        <v>21</v>
      </c>
      <c r="B4" t="s">
        <v>676</v>
      </c>
      <c r="C4" t="s">
        <v>665</v>
      </c>
      <c r="D4" t="s">
        <v>677</v>
      </c>
      <c r="E4">
        <v>89</v>
      </c>
      <c r="F4">
        <v>41</v>
      </c>
    </row>
    <row r="5" spans="1:6">
      <c r="A5" t="s">
        <v>58</v>
      </c>
      <c r="B5" t="s">
        <v>678</v>
      </c>
      <c r="C5" t="s">
        <v>665</v>
      </c>
      <c r="D5" t="s">
        <v>677</v>
      </c>
      <c r="E5">
        <v>149</v>
      </c>
      <c r="F5">
        <v>72</v>
      </c>
    </row>
    <row r="6" spans="1:6">
      <c r="A6" t="s">
        <v>69</v>
      </c>
      <c r="B6" t="s">
        <v>679</v>
      </c>
      <c r="C6" t="s">
        <v>669</v>
      </c>
      <c r="D6" t="s">
        <v>680</v>
      </c>
      <c r="E6">
        <v>399</v>
      </c>
      <c r="F6">
        <v>290</v>
      </c>
    </row>
    <row r="7" spans="1:6">
      <c r="A7" t="s">
        <v>50</v>
      </c>
      <c r="B7" t="s">
        <v>681</v>
      </c>
      <c r="C7" t="s">
        <v>668</v>
      </c>
      <c r="D7" t="s">
        <v>680</v>
      </c>
      <c r="E7">
        <v>1099</v>
      </c>
      <c r="F7">
        <v>860</v>
      </c>
    </row>
    <row r="8" spans="1:6">
      <c r="A8" t="s">
        <v>99</v>
      </c>
      <c r="B8" t="s">
        <v>682</v>
      </c>
      <c r="C8" t="s">
        <v>668</v>
      </c>
      <c r="D8" t="s">
        <v>683</v>
      </c>
      <c r="E8">
        <v>1499</v>
      </c>
      <c r="F8">
        <v>1180</v>
      </c>
    </row>
    <row r="9" spans="1:6">
      <c r="A9" t="s">
        <v>24</v>
      </c>
      <c r="B9" t="s">
        <v>684</v>
      </c>
      <c r="C9" t="s">
        <v>666</v>
      </c>
      <c r="D9" t="s">
        <v>685</v>
      </c>
      <c r="E9">
        <v>249</v>
      </c>
      <c r="F9">
        <v>140</v>
      </c>
    </row>
    <row r="10" spans="1:6">
      <c r="A10" t="s">
        <v>80</v>
      </c>
      <c r="B10" t="s">
        <v>686</v>
      </c>
      <c r="C10" t="s">
        <v>666</v>
      </c>
      <c r="D10" t="s">
        <v>685</v>
      </c>
      <c r="E10">
        <v>499</v>
      </c>
      <c r="F10">
        <v>310</v>
      </c>
    </row>
    <row r="11" spans="1:6">
      <c r="A11" t="s">
        <v>27</v>
      </c>
      <c r="B11" t="s">
        <v>687</v>
      </c>
      <c r="C11" t="s">
        <v>666</v>
      </c>
      <c r="D11" t="s">
        <v>688</v>
      </c>
      <c r="E11">
        <v>179</v>
      </c>
      <c r="F11">
        <v>95</v>
      </c>
    </row>
    <row r="12" spans="1:6">
      <c r="A12" t="s">
        <v>60</v>
      </c>
      <c r="B12" t="s">
        <v>689</v>
      </c>
      <c r="C12" t="s">
        <v>670</v>
      </c>
      <c r="D12" t="s">
        <v>690</v>
      </c>
      <c r="E12">
        <v>1299</v>
      </c>
      <c r="F12">
        <v>980</v>
      </c>
    </row>
    <row r="13" spans="1:6">
      <c r="A13" t="s">
        <v>130</v>
      </c>
      <c r="B13" t="s">
        <v>691</v>
      </c>
      <c r="C13" t="s">
        <v>670</v>
      </c>
      <c r="D13" t="s">
        <v>680</v>
      </c>
      <c r="E13">
        <v>1999</v>
      </c>
      <c r="F13">
        <v>1520</v>
      </c>
    </row>
    <row r="14" spans="1:6">
      <c r="A14" t="s">
        <v>67</v>
      </c>
      <c r="B14" t="s">
        <v>692</v>
      </c>
      <c r="C14" t="s">
        <v>666</v>
      </c>
      <c r="D14" t="s">
        <v>685</v>
      </c>
      <c r="E14">
        <v>699</v>
      </c>
      <c r="F14">
        <v>450</v>
      </c>
    </row>
    <row r="15" spans="1:6">
      <c r="A15" t="s">
        <v>152</v>
      </c>
      <c r="B15" t="s">
        <v>693</v>
      </c>
      <c r="C15" t="s">
        <v>667</v>
      </c>
      <c r="D15" t="s">
        <v>694</v>
      </c>
      <c r="E15">
        <v>499</v>
      </c>
      <c r="F15">
        <v>420</v>
      </c>
    </row>
    <row r="16" spans="1:6">
      <c r="A16" t="s">
        <v>43</v>
      </c>
      <c r="B16" t="s">
        <v>695</v>
      </c>
      <c r="C16" t="s">
        <v>667</v>
      </c>
      <c r="D16" t="s">
        <v>694</v>
      </c>
      <c r="E16">
        <v>99</v>
      </c>
      <c r="F16">
        <v>58</v>
      </c>
    </row>
    <row r="17" spans="1:6">
      <c r="A17" t="s">
        <v>35</v>
      </c>
      <c r="B17" t="s">
        <v>696</v>
      </c>
      <c r="C17" t="s">
        <v>665</v>
      </c>
      <c r="D17" t="s">
        <v>697</v>
      </c>
      <c r="E17">
        <v>39</v>
      </c>
      <c r="F17">
        <v>9</v>
      </c>
    </row>
    <row r="18" spans="1:6">
      <c r="A18" t="s">
        <v>38</v>
      </c>
      <c r="B18" t="s">
        <v>698</v>
      </c>
      <c r="C18" t="s">
        <v>665</v>
      </c>
      <c r="D18" t="s">
        <v>697</v>
      </c>
      <c r="E18">
        <v>49</v>
      </c>
      <c r="F18">
        <v>14</v>
      </c>
    </row>
    <row r="19" spans="1:6">
      <c r="A19" t="s">
        <v>54</v>
      </c>
      <c r="B19" t="s">
        <v>699</v>
      </c>
      <c r="C19" t="s">
        <v>669</v>
      </c>
      <c r="D19" t="s">
        <v>683</v>
      </c>
      <c r="E19">
        <v>899</v>
      </c>
      <c r="F19">
        <v>690</v>
      </c>
    </row>
    <row r="20" spans="1:6">
      <c r="A20" t="s">
        <v>171</v>
      </c>
      <c r="B20" t="s">
        <v>700</v>
      </c>
      <c r="C20" t="s">
        <v>668</v>
      </c>
      <c r="D20" t="s">
        <v>683</v>
      </c>
      <c r="E20">
        <v>649</v>
      </c>
      <c r="F20">
        <v>480</v>
      </c>
    </row>
    <row r="21" spans="1:6">
      <c r="A21" t="s">
        <v>30</v>
      </c>
      <c r="B21" t="s">
        <v>701</v>
      </c>
      <c r="C21" t="s">
        <v>667</v>
      </c>
      <c r="D21" t="s">
        <v>702</v>
      </c>
      <c r="E21">
        <v>79</v>
      </c>
      <c r="F21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16" customWidth="1"/>
    <col min="3" max="3" width="7" customWidth="1"/>
    <col min="4" max="4" width="14" customWidth="1"/>
  </cols>
  <sheetData>
    <row r="1" spans="1:4">
      <c r="A1" s="1" t="s">
        <v>2</v>
      </c>
      <c r="B1" s="1" t="s">
        <v>703</v>
      </c>
      <c r="C1" s="1" t="s">
        <v>704</v>
      </c>
      <c r="D1" s="1" t="s">
        <v>9</v>
      </c>
    </row>
    <row r="2" spans="1:4">
      <c r="A2" t="s">
        <v>32</v>
      </c>
      <c r="B2" t="s">
        <v>705</v>
      </c>
      <c r="C2" t="s">
        <v>706</v>
      </c>
      <c r="D2" t="s">
        <v>707</v>
      </c>
    </row>
    <row r="3" spans="1:4">
      <c r="A3" t="s">
        <v>20</v>
      </c>
      <c r="B3" t="s">
        <v>708</v>
      </c>
      <c r="C3" t="s">
        <v>706</v>
      </c>
      <c r="D3" t="s">
        <v>709</v>
      </c>
    </row>
    <row r="4" spans="1:4">
      <c r="A4" t="s">
        <v>23</v>
      </c>
      <c r="B4" t="s">
        <v>710</v>
      </c>
      <c r="C4" t="s">
        <v>706</v>
      </c>
      <c r="D4" t="s">
        <v>711</v>
      </c>
    </row>
    <row r="5" spans="1:4">
      <c r="A5" t="s">
        <v>26</v>
      </c>
      <c r="B5" t="s">
        <v>712</v>
      </c>
      <c r="C5" t="s">
        <v>706</v>
      </c>
      <c r="D5" t="s">
        <v>713</v>
      </c>
    </row>
    <row r="6" spans="1:4">
      <c r="A6" t="s">
        <v>57</v>
      </c>
      <c r="B6" t="s">
        <v>714</v>
      </c>
      <c r="C6" t="s">
        <v>706</v>
      </c>
      <c r="D6" t="s">
        <v>707</v>
      </c>
    </row>
    <row r="7" spans="1:4">
      <c r="A7" t="s">
        <v>29</v>
      </c>
      <c r="B7" t="s">
        <v>715</v>
      </c>
      <c r="C7" t="s">
        <v>706</v>
      </c>
      <c r="D7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2026-10-16T13:25:05Z</dcterms:created>
  <dcterms:modified xsi:type="dcterms:W3CDTF">2026-10-20T06:50:37Z</dcterms:modified>
  <cp:category/>
  <cp:contentStatus/>
</cp:coreProperties>
</file>