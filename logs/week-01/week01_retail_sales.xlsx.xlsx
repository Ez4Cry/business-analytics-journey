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6D87821D-DB47-4F87-9760-7C90AB7045B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" sheetId="1" r:id="rId1"/>
    <sheet name="Products" sheetId="2" r:id="rId2"/>
    <sheet name="St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02" i="1" l="1"/>
  <c r="O60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I2" i="1"/>
  <c r="H2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2" i="1"/>
  <c r="L2" i="1" s="1"/>
  <c r="O7" i="1"/>
  <c r="G2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2" i="1"/>
  <c r="G2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</calcChain>
</file>

<file path=xl/sharedStrings.xml><?xml version="1.0" encoding="utf-8"?>
<sst xmlns="http://schemas.openxmlformats.org/spreadsheetml/2006/main" count="1928" uniqueCount="693">
  <si>
    <t>OrderID</t>
  </si>
  <si>
    <t>OrderDate</t>
  </si>
  <si>
    <t>StoreID</t>
  </si>
  <si>
    <t>ProductID</t>
  </si>
  <si>
    <t>Qty</t>
  </si>
  <si>
    <t>ProductName</t>
  </si>
  <si>
    <t>Category</t>
  </si>
  <si>
    <t>UnitPrice</t>
  </si>
  <si>
    <t>UnitCost</t>
  </si>
  <si>
    <t>Region</t>
  </si>
  <si>
    <t>Revenue</t>
  </si>
  <si>
    <t>Profit</t>
  </si>
  <si>
    <t>ORD10197</t>
  </si>
  <si>
    <t>S02</t>
  </si>
  <si>
    <t>P103</t>
  </si>
  <si>
    <t>ORD10210</t>
  </si>
  <si>
    <t>S03</t>
  </si>
  <si>
    <t>P108</t>
  </si>
  <si>
    <t>ORD10254</t>
  </si>
  <si>
    <t>S04</t>
  </si>
  <si>
    <t>P110</t>
  </si>
  <si>
    <t>ORD10317</t>
  </si>
  <si>
    <t>S06</t>
  </si>
  <si>
    <t>P120</t>
  </si>
  <si>
    <t>ORD10330</t>
  </si>
  <si>
    <t>S01</t>
  </si>
  <si>
    <t>ORD10350</t>
  </si>
  <si>
    <t>Not Founds</t>
  </si>
  <si>
    <t>ORD10372</t>
  </si>
  <si>
    <t>P116</t>
  </si>
  <si>
    <t>ORD10461</t>
  </si>
  <si>
    <t>ORD10497</t>
  </si>
  <si>
    <t>P117</t>
  </si>
  <si>
    <t>ORD10529</t>
  </si>
  <si>
    <t>ORD10566</t>
  </si>
  <si>
    <t>ORD10166</t>
  </si>
  <si>
    <t>ORD10263</t>
  </si>
  <si>
    <t>P115</t>
  </si>
  <si>
    <t>ORD10324</t>
  </si>
  <si>
    <t>ORD10485</t>
  </si>
  <si>
    <t>ORD10494</t>
  </si>
  <si>
    <t>ORD10596</t>
  </si>
  <si>
    <t>ORD10113</t>
  </si>
  <si>
    <t>ORD10185</t>
  </si>
  <si>
    <t>P106</t>
  </si>
  <si>
    <t>ORD10191</t>
  </si>
  <si>
    <t>ORD10206</t>
  </si>
  <si>
    <t>ORD10480</t>
  </si>
  <si>
    <t>P118</t>
  </si>
  <si>
    <t>ORD10582</t>
  </si>
  <si>
    <t>ORD10049</t>
  </si>
  <si>
    <t>S05</t>
  </si>
  <si>
    <t>P104</t>
  </si>
  <si>
    <t>ORD10055</t>
  </si>
  <si>
    <t>P111</t>
  </si>
  <si>
    <t>ORD10205</t>
  </si>
  <si>
    <t>ORD10355</t>
  </si>
  <si>
    <t>ORD10367</t>
  </si>
  <si>
    <t>ORD10527</t>
  </si>
  <si>
    <t>ORD10003</t>
  </si>
  <si>
    <t>ORD10353</t>
  </si>
  <si>
    <t>P113</t>
  </si>
  <si>
    <t>ORD10395</t>
  </si>
  <si>
    <t>P105</t>
  </si>
  <si>
    <t>ORD10467</t>
  </si>
  <si>
    <t>ORD10514</t>
  </si>
  <si>
    <t>ORD10518</t>
  </si>
  <si>
    <t>ORD10595</t>
  </si>
  <si>
    <t>ORD10229</t>
  </si>
  <si>
    <t>ORD10320</t>
  </si>
  <si>
    <t>ORD10356</t>
  </si>
  <si>
    <t>ORD10459</t>
  </si>
  <si>
    <t>ORD10593</t>
  </si>
  <si>
    <t>ORD10119</t>
  </si>
  <si>
    <t>P109</t>
  </si>
  <si>
    <t>ORD10217</t>
  </si>
  <si>
    <t>ORD10269</t>
  </si>
  <si>
    <t>ORD10315</t>
  </si>
  <si>
    <t>ORD10319</t>
  </si>
  <si>
    <t>ORD10365</t>
  </si>
  <si>
    <t>ORD10584</t>
  </si>
  <si>
    <t>P102</t>
  </si>
  <si>
    <t>ORD10006</t>
  </si>
  <si>
    <t>ORD10078</t>
  </si>
  <si>
    <t>ORD10187</t>
  </si>
  <si>
    <t>ORD10215</t>
  </si>
  <si>
    <t>ORD10230</t>
  </si>
  <si>
    <t>ORD10327</t>
  </si>
  <si>
    <t>ORD10416</t>
  </si>
  <si>
    <t>ORD10503</t>
  </si>
  <si>
    <t>P121</t>
  </si>
  <si>
    <t>ORD10540</t>
  </si>
  <si>
    <t>ORD10550</t>
  </si>
  <si>
    <t>P107</t>
  </si>
  <si>
    <t>ORD10561</t>
  </si>
  <si>
    <t>ORD10569</t>
  </si>
  <si>
    <t>ORD10598</t>
  </si>
  <si>
    <t>ORD10011</t>
  </si>
  <si>
    <t>ORD10039</t>
  </si>
  <si>
    <t>ORD10082</t>
  </si>
  <si>
    <t>P101</t>
  </si>
  <si>
    <t>ORD10098</t>
  </si>
  <si>
    <t>ORD10294</t>
  </si>
  <si>
    <t>ORD10299</t>
  </si>
  <si>
    <t>ORD10302</t>
  </si>
  <si>
    <t>ORD10325</t>
  </si>
  <si>
    <t>ORD10421</t>
  </si>
  <si>
    <t>ORD10474</t>
  </si>
  <si>
    <t>ORD10506</t>
  </si>
  <si>
    <t>ORD10521</t>
  </si>
  <si>
    <t>ORD10042</t>
  </si>
  <si>
    <t>ORD10104</t>
  </si>
  <si>
    <t>ORD10433</t>
  </si>
  <si>
    <t>ORD10535</t>
  </si>
  <si>
    <t>ORD10130</t>
  </si>
  <si>
    <t>ORD10139</t>
  </si>
  <si>
    <t>ORD10244</t>
  </si>
  <si>
    <t>ORD10314</t>
  </si>
  <si>
    <t>ORD10465</t>
  </si>
  <si>
    <t>ORD10519</t>
  </si>
  <si>
    <t>ORD10004</t>
  </si>
  <si>
    <t>ORD10050</t>
  </si>
  <si>
    <t>ORD10183</t>
  </si>
  <si>
    <t>ORD10267</t>
  </si>
  <si>
    <t>P112</t>
  </si>
  <si>
    <t>ORD10479</t>
  </si>
  <si>
    <t>ORD10092</t>
  </si>
  <si>
    <t>ORD10253</t>
  </si>
  <si>
    <t>ORD10368</t>
  </si>
  <si>
    <t>ORD10449</t>
  </si>
  <si>
    <t>ORD10549</t>
  </si>
  <si>
    <t>ORD10574</t>
  </si>
  <si>
    <t>ORD10038</t>
  </si>
  <si>
    <t>ORD10099</t>
  </si>
  <si>
    <t>ORD10140</t>
  </si>
  <si>
    <t>ORD10194</t>
  </si>
  <si>
    <t>ORD10222</t>
  </si>
  <si>
    <t>ORD10311</t>
  </si>
  <si>
    <t>ORD10332</t>
  </si>
  <si>
    <t>ORD10391</t>
  </si>
  <si>
    <t>ORD10394</t>
  </si>
  <si>
    <t>ORD10418</t>
  </si>
  <si>
    <t>ORD10476</t>
  </si>
  <si>
    <t>ORD10544</t>
  </si>
  <si>
    <t>ORD10589</t>
  </si>
  <si>
    <t>ORD10044</t>
  </si>
  <si>
    <t>P114</t>
  </si>
  <si>
    <t>ORD10109</t>
  </si>
  <si>
    <t>ORD10200</t>
  </si>
  <si>
    <t>ORD10273</t>
  </si>
  <si>
    <t>ORD10360</t>
  </si>
  <si>
    <t>ORD10440</t>
  </si>
  <si>
    <t>ORD10597</t>
  </si>
  <si>
    <t>ORD10005</t>
  </si>
  <si>
    <t>ORD10256</t>
  </si>
  <si>
    <t>ORD10288</t>
  </si>
  <si>
    <t>ORD10457</t>
  </si>
  <si>
    <t>ORD10547</t>
  </si>
  <si>
    <t>ORD10579</t>
  </si>
  <si>
    <t>ORD10035</t>
  </si>
  <si>
    <t>ORD10072</t>
  </si>
  <si>
    <t>ORD10108</t>
  </si>
  <si>
    <t>ORD10176</t>
  </si>
  <si>
    <t>ORD10188</t>
  </si>
  <si>
    <t>ORD10237</t>
  </si>
  <si>
    <t>P119</t>
  </si>
  <si>
    <t>ORD10451</t>
  </si>
  <si>
    <t>ORD10458</t>
  </si>
  <si>
    <t>ORD10441</t>
  </si>
  <si>
    <t>ORD10536</t>
  </si>
  <si>
    <t>ORD10077</t>
  </si>
  <si>
    <t>ORD10134</t>
  </si>
  <si>
    <t>ORD10261</t>
  </si>
  <si>
    <t>ORD10275</t>
  </si>
  <si>
    <t>ORD10304</t>
  </si>
  <si>
    <t>ORD10450</t>
  </si>
  <si>
    <t>ORD10489</t>
  </si>
  <si>
    <t>ORD10533</t>
  </si>
  <si>
    <t>ORD10541</t>
  </si>
  <si>
    <t>ORD10600</t>
  </si>
  <si>
    <t>ORD10090</t>
  </si>
  <si>
    <t>ORD10131</t>
  </si>
  <si>
    <t>ORD10384</t>
  </si>
  <si>
    <t>ORD10477</t>
  </si>
  <si>
    <t>ORD10545</t>
  </si>
  <si>
    <t>ORD10047</t>
  </si>
  <si>
    <t>ORD10064</t>
  </si>
  <si>
    <t>ORD10123</t>
  </si>
  <si>
    <t>ORD10180</t>
  </si>
  <si>
    <t>ORD10241</t>
  </si>
  <si>
    <t>ORD10282</t>
  </si>
  <si>
    <t>ORD10307</t>
  </si>
  <si>
    <t>ORD10346</t>
  </si>
  <si>
    <t>ORD10354</t>
  </si>
  <si>
    <t>ORD10390</t>
  </si>
  <si>
    <t>ORD10409</t>
  </si>
  <si>
    <t>ORD10444</t>
  </si>
  <si>
    <t>ORD10565</t>
  </si>
  <si>
    <t>ORD10051</t>
  </si>
  <si>
    <t>ORD10219</t>
  </si>
  <si>
    <t>ORD10277</t>
  </si>
  <si>
    <t>ORD10278</t>
  </si>
  <si>
    <t>ORD10301</t>
  </si>
  <si>
    <t>ORD10385</t>
  </si>
  <si>
    <t>ORD10443</t>
  </si>
  <si>
    <t>ORD10062</t>
  </si>
  <si>
    <t>ORD10258</t>
  </si>
  <si>
    <t>ORD10014</t>
  </si>
  <si>
    <t>ORD10100</t>
  </si>
  <si>
    <t>ORD10214</t>
  </si>
  <si>
    <t>ORD10250</t>
  </si>
  <si>
    <t>ORD10284</t>
  </si>
  <si>
    <t>ORD10331</t>
  </si>
  <si>
    <t>ORD10373</t>
  </si>
  <si>
    <t>ORD10402</t>
  </si>
  <si>
    <t>ORD10407</t>
  </si>
  <si>
    <t>ORD10470</t>
  </si>
  <si>
    <t>ORD10481</t>
  </si>
  <si>
    <t>ORD10555</t>
  </si>
  <si>
    <t>ORD10564</t>
  </si>
  <si>
    <t>ORD10053</t>
  </si>
  <si>
    <t>ORD10056</t>
  </si>
  <si>
    <t>ORD10080</t>
  </si>
  <si>
    <t>ORD10212</t>
  </si>
  <si>
    <t>P130</t>
  </si>
  <si>
    <t>ORD10300</t>
  </si>
  <si>
    <t>ORD10534</t>
  </si>
  <si>
    <t>ORD10559</t>
  </si>
  <si>
    <t>ORD10127</t>
  </si>
  <si>
    <t>ORD10279</t>
  </si>
  <si>
    <t>ORD10333</t>
  </si>
  <si>
    <t>ORD10371</t>
  </si>
  <si>
    <t>ORD10508</t>
  </si>
  <si>
    <t>ORD10556</t>
  </si>
  <si>
    <t>ORD10590</t>
  </si>
  <si>
    <t>ORD10157</t>
  </si>
  <si>
    <t>ORD10211</t>
  </si>
  <si>
    <t>ORD10272</t>
  </si>
  <si>
    <t>ORD10305</t>
  </si>
  <si>
    <t>ORD10453</t>
  </si>
  <si>
    <t>ORD10558</t>
  </si>
  <si>
    <t>ORD10089</t>
  </si>
  <si>
    <t>ORD10152</t>
  </si>
  <si>
    <t>ORD10189</t>
  </si>
  <si>
    <t>ORD10216</t>
  </si>
  <si>
    <t>ORD10344</t>
  </si>
  <si>
    <t>ORD10375</t>
  </si>
  <si>
    <t>ORD10007</t>
  </si>
  <si>
    <t>ORD10422</t>
  </si>
  <si>
    <t>ORD10572</t>
  </si>
  <si>
    <t>ORD10032</t>
  </si>
  <si>
    <t>ORD10054</t>
  </si>
  <si>
    <t>ORD10117</t>
  </si>
  <si>
    <t>ORD10235</t>
  </si>
  <si>
    <t>ORD10425</t>
  </si>
  <si>
    <t>ORD10145</t>
  </si>
  <si>
    <t>ORD10184</t>
  </si>
  <si>
    <t>ORD10525</t>
  </si>
  <si>
    <t>ORD10085</t>
  </si>
  <si>
    <t>ORD10122</t>
  </si>
  <si>
    <t>ORD10204</t>
  </si>
  <si>
    <t>ORD10252</t>
  </si>
  <si>
    <t>ORD10286</t>
  </si>
  <si>
    <t>ORD10290</t>
  </si>
  <si>
    <t>ORD10389</t>
  </si>
  <si>
    <t>ORD10404</t>
  </si>
  <si>
    <t>ORD10588</t>
  </si>
  <si>
    <t>ORD10043</t>
  </si>
  <si>
    <t>ORD10070</t>
  </si>
  <si>
    <t>ORD10091</t>
  </si>
  <si>
    <t>ORD10120</t>
  </si>
  <si>
    <t>ORD10199</t>
  </si>
  <si>
    <t>ORD10249</t>
  </si>
  <si>
    <t>ORD10405</t>
  </si>
  <si>
    <t>ORD10484</t>
  </si>
  <si>
    <t>ORD10504</t>
  </si>
  <si>
    <t>ORD10526</t>
  </si>
  <si>
    <t>ORD10573</t>
  </si>
  <si>
    <t>ORD10086</t>
  </si>
  <si>
    <t>ORD10105</t>
  </si>
  <si>
    <t>ORD10106</t>
  </si>
  <si>
    <t>ORD10128</t>
  </si>
  <si>
    <t>ORD10178</t>
  </si>
  <si>
    <t>ORD10340</t>
  </si>
  <si>
    <t>ORD10345</t>
  </si>
  <si>
    <t>ORD10364</t>
  </si>
  <si>
    <t>ORD10380</t>
  </si>
  <si>
    <t>ORD10403</t>
  </si>
  <si>
    <t>ORD10507</t>
  </si>
  <si>
    <t>ORD10326</t>
  </si>
  <si>
    <t>ORD10599</t>
  </si>
  <si>
    <t>ORD10029</t>
  </si>
  <si>
    <t>ORD10030</t>
  </si>
  <si>
    <t>ORD10103</t>
  </si>
  <si>
    <t>ORD10169</t>
  </si>
  <si>
    <t>ORD10427</t>
  </si>
  <si>
    <t>ORD10516</t>
  </si>
  <si>
    <t>ORD10027</t>
  </si>
  <si>
    <t>ORD10153</t>
  </si>
  <si>
    <t>ORD10175</t>
  </si>
  <si>
    <t>ORD10362</t>
  </si>
  <si>
    <t>ORD10111</t>
  </si>
  <si>
    <t>ORD10213</t>
  </si>
  <si>
    <t>ORD10248</t>
  </si>
  <si>
    <t>ORD10492</t>
  </si>
  <si>
    <t>ORD10543</t>
  </si>
  <si>
    <t>ORD10015</t>
  </si>
  <si>
    <t>ORD10177</t>
  </si>
  <si>
    <t>ORD10238</t>
  </si>
  <si>
    <t>ORD10321</t>
  </si>
  <si>
    <t>ORD10393</t>
  </si>
  <si>
    <t>ORD10110</t>
  </si>
  <si>
    <t>ORD10125</t>
  </si>
  <si>
    <t>ORD10469</t>
  </si>
  <si>
    <t>ORD10088</t>
  </si>
  <si>
    <t>ORD10095</t>
  </si>
  <si>
    <t>ORD10233</t>
  </si>
  <si>
    <t>ORD10306</t>
  </si>
  <si>
    <t>ORD10239</t>
  </si>
  <si>
    <t>ORD10303</t>
  </si>
  <si>
    <t>ORD10431</t>
  </si>
  <si>
    <t>ORD10531</t>
  </si>
  <si>
    <t>ORD10568</t>
  </si>
  <si>
    <t>ORD10586</t>
  </si>
  <si>
    <t>ORD10097</t>
  </si>
  <si>
    <t>ORD10124</t>
  </si>
  <si>
    <t>ORD10149</t>
  </si>
  <si>
    <t>ORD10164</t>
  </si>
  <si>
    <t>ORD10585</t>
  </si>
  <si>
    <t>ORD10020</t>
  </si>
  <si>
    <t>ORD10046</t>
  </si>
  <si>
    <t>ORD10452</t>
  </si>
  <si>
    <t>ORD10538</t>
  </si>
  <si>
    <t>ORD10025</t>
  </si>
  <si>
    <t>ORD10057</t>
  </si>
  <si>
    <t>ORD10112</t>
  </si>
  <si>
    <t>ORD10513</t>
  </si>
  <si>
    <t>ORD10002</t>
  </si>
  <si>
    <t>ORD10160</t>
  </si>
  <si>
    <t>ORD10168</t>
  </si>
  <si>
    <t>ORD10227</t>
  </si>
  <si>
    <t>ORD10271</t>
  </si>
  <si>
    <t>ORD10323</t>
  </si>
  <si>
    <t>ORD10208</t>
  </si>
  <si>
    <t>ORD10226</t>
  </si>
  <si>
    <t>ORD10313</t>
  </si>
  <si>
    <t>ORD10031</t>
  </si>
  <si>
    <t>ORD10121</t>
  </si>
  <si>
    <t>ORD10126</t>
  </si>
  <si>
    <t>ORD10221</t>
  </si>
  <si>
    <t>ORD10224</t>
  </si>
  <si>
    <t>ORD10298</t>
  </si>
  <si>
    <t>ORD10308</t>
  </si>
  <si>
    <t>ORD10381</t>
  </si>
  <si>
    <t>ORD10502</t>
  </si>
  <si>
    <t>ORD10061</t>
  </si>
  <si>
    <t>ORD10236</t>
  </si>
  <si>
    <t>ORD10281</t>
  </si>
  <si>
    <t>ORD10347</t>
  </si>
  <si>
    <t>ORD10392</t>
  </si>
  <si>
    <t>ORD10430</t>
  </si>
  <si>
    <t>ORD10486</t>
  </si>
  <si>
    <t>ORD10537</t>
  </si>
  <si>
    <t>ORD10063</t>
  </si>
  <si>
    <t>ORD10116</t>
  </si>
  <si>
    <t>ORD10129</t>
  </si>
  <si>
    <t>ORD10161</t>
  </si>
  <si>
    <t>ORD10165</t>
  </si>
  <si>
    <t>ORD10167</t>
  </si>
  <si>
    <t>ORD10266</t>
  </si>
  <si>
    <t>ORD10312</t>
  </si>
  <si>
    <t>ORD10524</t>
  </si>
  <si>
    <t>ORD10190</t>
  </si>
  <si>
    <t>ORD10283</t>
  </si>
  <si>
    <t>ORD10378</t>
  </si>
  <si>
    <t>ORD10398</t>
  </si>
  <si>
    <t>ORD10436</t>
  </si>
  <si>
    <t>ORD10510</t>
  </si>
  <si>
    <t>ORD10174</t>
  </si>
  <si>
    <t>ORD10228</t>
  </si>
  <si>
    <t>ORD10268</t>
  </si>
  <si>
    <t>ORD10322</t>
  </si>
  <si>
    <t>ORD10406</t>
  </si>
  <si>
    <t>ORD10423</t>
  </si>
  <si>
    <t>ORD10542</t>
  </si>
  <si>
    <t>ORD10554</t>
  </si>
  <si>
    <t>ORD10008</t>
  </si>
  <si>
    <t>ORD10034</t>
  </si>
  <si>
    <t>ORD10074</t>
  </si>
  <si>
    <t>ORD10163</t>
  </si>
  <si>
    <t>ORD10207</t>
  </si>
  <si>
    <t>ORD10223</t>
  </si>
  <si>
    <t>ORD10270</t>
  </si>
  <si>
    <t>ORD10400</t>
  </si>
  <si>
    <t>ORD10446</t>
  </si>
  <si>
    <t>ORD10473</t>
  </si>
  <si>
    <t>ORD10591</t>
  </si>
  <si>
    <t>ORD10172</t>
  </si>
  <si>
    <t>ORD10243</t>
  </si>
  <si>
    <t>ORD10379</t>
  </si>
  <si>
    <t>ORD10426</t>
  </si>
  <si>
    <t>ORD10495</t>
  </si>
  <si>
    <t>ORD10069</t>
  </si>
  <si>
    <t>ORD10225</t>
  </si>
  <si>
    <t>ORD10338</t>
  </si>
  <si>
    <t>ORD10399</t>
  </si>
  <si>
    <t>ORD10548</t>
  </si>
  <si>
    <t>ORD10295</t>
  </si>
  <si>
    <t>ORD10016</t>
  </si>
  <si>
    <t>ORD10024</t>
  </si>
  <si>
    <t>ORD10081</t>
  </si>
  <si>
    <t>ORD10087</t>
  </si>
  <si>
    <t>ORD10182</t>
  </si>
  <si>
    <t>ORD10255</t>
  </si>
  <si>
    <t>ORD10310</t>
  </si>
  <si>
    <t>ORD10435</t>
  </si>
  <si>
    <t>ORD10491</t>
  </si>
  <si>
    <t>ORD10021</t>
  </si>
  <si>
    <t>ORD10073</t>
  </si>
  <si>
    <t>ORD10203</t>
  </si>
  <si>
    <t>ORD10246</t>
  </si>
  <si>
    <t>ORD10274</t>
  </si>
  <si>
    <t>ORD10293</t>
  </si>
  <si>
    <t>ORD10413</t>
  </si>
  <si>
    <t>ORD10505</t>
  </si>
  <si>
    <t>ORD10397</t>
  </si>
  <si>
    <t>ORD10420</t>
  </si>
  <si>
    <t>ORD10442</t>
  </si>
  <si>
    <t>ORD10512</t>
  </si>
  <si>
    <t>ORD10022</t>
  </si>
  <si>
    <t>ORD10058</t>
  </si>
  <si>
    <t>ORD10144</t>
  </si>
  <si>
    <t>ORD10155</t>
  </si>
  <si>
    <t>ORD10192</t>
  </si>
  <si>
    <t>ORD10045</t>
  </si>
  <si>
    <t>ORD10079</t>
  </si>
  <si>
    <t>ORD10147</t>
  </si>
  <si>
    <t>ORD10242</t>
  </si>
  <si>
    <t>ORD10280</t>
  </si>
  <si>
    <t>ORD10337</t>
  </si>
  <si>
    <t>ORD10428</t>
  </si>
  <si>
    <t>ORD10532</t>
  </si>
  <si>
    <t>ORD10563</t>
  </si>
  <si>
    <t>ORD10018</t>
  </si>
  <si>
    <t>ORD10142</t>
  </si>
  <si>
    <t>ORD10151</t>
  </si>
  <si>
    <t>ORD10292</t>
  </si>
  <si>
    <t>ORD10408</t>
  </si>
  <si>
    <t>ORD10487</t>
  </si>
  <si>
    <t>ORD10515</t>
  </si>
  <si>
    <t>ORD10028</t>
  </si>
  <si>
    <t>ORD10133</t>
  </si>
  <si>
    <t>ORD10181</t>
  </si>
  <si>
    <t>ORD10265</t>
  </si>
  <si>
    <t>ORD10455</t>
  </si>
  <si>
    <t>ORD10472</t>
  </si>
  <si>
    <t>ORD10511</t>
  </si>
  <si>
    <t>ORD10570</t>
  </si>
  <si>
    <t>ORD10578</t>
  </si>
  <si>
    <t>ORD10052</t>
  </si>
  <si>
    <t>ORD10136</t>
  </si>
  <si>
    <t>ORD10143</t>
  </si>
  <si>
    <t>ORD10156</t>
  </si>
  <si>
    <t>ORD10291</t>
  </si>
  <si>
    <t>ORD10456</t>
  </si>
  <si>
    <t>ORD10017</t>
  </si>
  <si>
    <t>ORD10075</t>
  </si>
  <si>
    <t>ORD10084</t>
  </si>
  <si>
    <t>ORD10094</t>
  </si>
  <si>
    <t>ORD10102</t>
  </si>
  <si>
    <t>ORD10114</t>
  </si>
  <si>
    <t>ORD10135</t>
  </si>
  <si>
    <t>ORD10171</t>
  </si>
  <si>
    <t>ORD10297</t>
  </si>
  <si>
    <t>ORD10374</t>
  </si>
  <si>
    <t>ORD10414</t>
  </si>
  <si>
    <t>ORD10552</t>
  </si>
  <si>
    <t>ORD10285</t>
  </si>
  <si>
    <t>ORD10329</t>
  </si>
  <si>
    <t>ORD10343</t>
  </si>
  <si>
    <t>ORD10410</t>
  </si>
  <si>
    <t>ORD10567</t>
  </si>
  <si>
    <t>ORD10587</t>
  </si>
  <si>
    <t>ORD10048</t>
  </si>
  <si>
    <t>ORD10158</t>
  </si>
  <si>
    <t>ORD10186</t>
  </si>
  <si>
    <t>ORD10193</t>
  </si>
  <si>
    <t>ORD10220</t>
  </si>
  <si>
    <t>ORD10309</t>
  </si>
  <si>
    <t>ORD10419</t>
  </si>
  <si>
    <t>ORD10439</t>
  </si>
  <si>
    <t>ORD10553</t>
  </si>
  <si>
    <t>ORD10041</t>
  </si>
  <si>
    <t>ORD10247</t>
  </si>
  <si>
    <t>ORD10349</t>
  </si>
  <si>
    <t>ORD10358</t>
  </si>
  <si>
    <t>ORD10382</t>
  </si>
  <si>
    <t>ORD10501</t>
  </si>
  <si>
    <t>ORD10571</t>
  </si>
  <si>
    <t>ORD10411</t>
  </si>
  <si>
    <t>ORD10460</t>
  </si>
  <si>
    <t>ORD10463</t>
  </si>
  <si>
    <t>ORD10067</t>
  </si>
  <si>
    <t>ORD10096</t>
  </si>
  <si>
    <t>ORD10107</t>
  </si>
  <si>
    <t>ORD10154</t>
  </si>
  <si>
    <t>ORD10173</t>
  </si>
  <si>
    <t>ORD10342</t>
  </si>
  <si>
    <t>ORD10454</t>
  </si>
  <si>
    <t>ORD10500</t>
  </si>
  <si>
    <t>ORD10009</t>
  </si>
  <si>
    <t>ORD10019</t>
  </si>
  <si>
    <t>ORD10179</t>
  </si>
  <si>
    <t>ORD10287</t>
  </si>
  <si>
    <t>ORD10377</t>
  </si>
  <si>
    <t>ORD10137</t>
  </si>
  <si>
    <t>ORD10369</t>
  </si>
  <si>
    <t>ORD10471</t>
  </si>
  <si>
    <t>ORD10276</t>
  </si>
  <si>
    <t>ORD10351</t>
  </si>
  <si>
    <t>ORD10370</t>
  </si>
  <si>
    <t>ORD10488</t>
  </si>
  <si>
    <t>ORD10499</t>
  </si>
  <si>
    <t>ORD10581</t>
  </si>
  <si>
    <t>ORD10013</t>
  </si>
  <si>
    <t>ORD10201</t>
  </si>
  <si>
    <t>ORD10251</t>
  </si>
  <si>
    <t>ORD10257</t>
  </si>
  <si>
    <t>ORD10352</t>
  </si>
  <si>
    <t>ORD10386</t>
  </si>
  <si>
    <t>ORD10432</t>
  </si>
  <si>
    <t>ORD10434</t>
  </si>
  <si>
    <t>ORD10033</t>
  </si>
  <si>
    <t>ORD10065</t>
  </si>
  <si>
    <t>ORD10071</t>
  </si>
  <si>
    <t>ORD10357</t>
  </si>
  <si>
    <t>ORD10498</t>
  </si>
  <si>
    <t>ORD10517</t>
  </si>
  <si>
    <t>ORD10530</t>
  </si>
  <si>
    <t>ORD10580</t>
  </si>
  <si>
    <t>ORD10040</t>
  </si>
  <si>
    <t>ORD10066</t>
  </si>
  <si>
    <t>ORD10132</t>
  </si>
  <si>
    <t>ORD10202</t>
  </si>
  <si>
    <t>ORD10234</t>
  </si>
  <si>
    <t>ORD10240</t>
  </si>
  <si>
    <t>ORD10262</t>
  </si>
  <si>
    <t>ORD10328</t>
  </si>
  <si>
    <t>ORD10575</t>
  </si>
  <si>
    <t>ORD10076</t>
  </si>
  <si>
    <t>ORD10083</t>
  </si>
  <si>
    <t>ORD10231</t>
  </si>
  <si>
    <t>ORD10366</t>
  </si>
  <si>
    <t>ORD10437</t>
  </si>
  <si>
    <t>ORD10462</t>
  </si>
  <si>
    <t>ORD10496</t>
  </si>
  <si>
    <t>ORD10557</t>
  </si>
  <si>
    <t>ORD10583</t>
  </si>
  <si>
    <t>ORD10026</t>
  </si>
  <si>
    <t>ORD10059</t>
  </si>
  <si>
    <t>ORD10232</t>
  </si>
  <si>
    <t>ORD10318</t>
  </si>
  <si>
    <t>ORD10335</t>
  </si>
  <si>
    <t>ORD10150</t>
  </si>
  <si>
    <t>ORD10260</t>
  </si>
  <si>
    <t>ORD10264</t>
  </si>
  <si>
    <t>ORD10141</t>
  </si>
  <si>
    <t>ORD10148</t>
  </si>
  <si>
    <t>ORD10159</t>
  </si>
  <si>
    <t>ORD10289</t>
  </si>
  <si>
    <t>ORD10336</t>
  </si>
  <si>
    <t>ORD10348</t>
  </si>
  <si>
    <t>ORD10417</t>
  </si>
  <si>
    <t>ORD10466</t>
  </si>
  <si>
    <t>ORD10483</t>
  </si>
  <si>
    <t>ORD10490</t>
  </si>
  <si>
    <t>ORD10539</t>
  </si>
  <si>
    <t>ORD10010</t>
  </si>
  <si>
    <t>ORD10118</t>
  </si>
  <si>
    <t>ORD10170</t>
  </si>
  <si>
    <t>ORD10296</t>
  </si>
  <si>
    <t>ORD10316</t>
  </si>
  <si>
    <t>ORD10361</t>
  </si>
  <si>
    <t>ORD10376</t>
  </si>
  <si>
    <t>ORD10412</t>
  </si>
  <si>
    <t>ORD10415</t>
  </si>
  <si>
    <t>ORD10438</t>
  </si>
  <si>
    <t>ORD10447</t>
  </si>
  <si>
    <t>ORD10551</t>
  </si>
  <si>
    <t>ORD10562</t>
  </si>
  <si>
    <t>ORD10592</t>
  </si>
  <si>
    <t>ORD10060</t>
  </si>
  <si>
    <t>ORD10196</t>
  </si>
  <si>
    <t>ORD10198</t>
  </si>
  <si>
    <t>ORD10334</t>
  </si>
  <si>
    <t>ORD10363</t>
  </si>
  <si>
    <t>ORD10383</t>
  </si>
  <si>
    <t>ORD10401</t>
  </si>
  <si>
    <t>ORD10523</t>
  </si>
  <si>
    <t>ORD10528</t>
  </si>
  <si>
    <t>ORD10001</t>
  </si>
  <si>
    <t>ORD10036</t>
  </si>
  <si>
    <t>ORD10068</t>
  </si>
  <si>
    <t>ORD10146</t>
  </si>
  <si>
    <t>ORD10339</t>
  </si>
  <si>
    <t>ORD10424</t>
  </si>
  <si>
    <t>ORD10468</t>
  </si>
  <si>
    <t>ORD10115</t>
  </si>
  <si>
    <t>ORD10429</t>
  </si>
  <si>
    <t>ORD10475</t>
  </si>
  <si>
    <t>ORD10093</t>
  </si>
  <si>
    <t>ORD10259</t>
  </si>
  <si>
    <t>ORD10445</t>
  </si>
  <si>
    <t>ORD10546</t>
  </si>
  <si>
    <t>ORD10101</t>
  </si>
  <si>
    <t>ORD10464</t>
  </si>
  <si>
    <t>ORD10594</t>
  </si>
  <si>
    <t>ORD10012</t>
  </si>
  <si>
    <t>ORD10037</t>
  </si>
  <si>
    <t>ORD10162</t>
  </si>
  <si>
    <t>ORD10195</t>
  </si>
  <si>
    <t>ORD10448</t>
  </si>
  <si>
    <t>ORD10478</t>
  </si>
  <si>
    <t>ORD10341</t>
  </si>
  <si>
    <t>ORD10396</t>
  </si>
  <si>
    <t>ORD10482</t>
  </si>
  <si>
    <t>ORD10560</t>
  </si>
  <si>
    <t>ORD10023</t>
  </si>
  <si>
    <t>ORD10387</t>
  </si>
  <si>
    <t>ORD10509</t>
  </si>
  <si>
    <t>ORD10576</t>
  </si>
  <si>
    <t>ORD10245</t>
  </si>
  <si>
    <t>ORD10388</t>
  </si>
  <si>
    <t>ORD10493</t>
  </si>
  <si>
    <t>ORD10520</t>
  </si>
  <si>
    <t>ORD10522</t>
  </si>
  <si>
    <t>ORD10138</t>
  </si>
  <si>
    <t>ORD10209</t>
  </si>
  <si>
    <t>ORD10218</t>
  </si>
  <si>
    <t>ORD10359</t>
  </si>
  <si>
    <t>ORD10577</t>
  </si>
  <si>
    <t>Total</t>
  </si>
  <si>
    <t>Brand</t>
  </si>
  <si>
    <t>Laptop 14in</t>
  </si>
  <si>
    <t>Computers</t>
  </si>
  <si>
    <t>Lenova</t>
  </si>
  <si>
    <t>Laptop 16in</t>
  </si>
  <si>
    <t>Azus</t>
  </si>
  <si>
    <t>Gaming Mouse</t>
  </si>
  <si>
    <t>Accessories</t>
  </si>
  <si>
    <t>Logitek</t>
  </si>
  <si>
    <t>Mech Keyboard</t>
  </si>
  <si>
    <t>27in Monitor</t>
  </si>
  <si>
    <t>Samsong</t>
  </si>
  <si>
    <t>Smartphone 128GB</t>
  </si>
  <si>
    <t>Phones</t>
  </si>
  <si>
    <t>Smartphone 256GB</t>
  </si>
  <si>
    <t>Appel</t>
  </si>
  <si>
    <t>Wireless Earbuds</t>
  </si>
  <si>
    <t>Audio</t>
  </si>
  <si>
    <t>Sonee</t>
  </si>
  <si>
    <t>Over-Ear Headphones</t>
  </si>
  <si>
    <t>Bluetooth Speaker</t>
  </si>
  <si>
    <t>JBN</t>
  </si>
  <si>
    <t>55in TV</t>
  </si>
  <si>
    <t>TV</t>
  </si>
  <si>
    <t>LGG</t>
  </si>
  <si>
    <t>65in TV</t>
  </si>
  <si>
    <t>Soundbar</t>
  </si>
  <si>
    <t>Game Console</t>
  </si>
  <si>
    <t>Gaming</t>
  </si>
  <si>
    <t>Ninendo</t>
  </si>
  <si>
    <t>Console Controller</t>
  </si>
  <si>
    <t>Phone Case</t>
  </si>
  <si>
    <t>Generic</t>
  </si>
  <si>
    <t>USB-C Charger</t>
  </si>
  <si>
    <t>Tablet 11in</t>
  </si>
  <si>
    <t>Smartwatch</t>
  </si>
  <si>
    <t>Video Game</t>
  </si>
  <si>
    <t>Various</t>
  </si>
  <si>
    <t>StoreName</t>
  </si>
  <si>
    <t>State</t>
  </si>
  <si>
    <t>Rockdale</t>
  </si>
  <si>
    <t>NSW</t>
  </si>
  <si>
    <t>Sydney South</t>
  </si>
  <si>
    <t>Parramatta</t>
  </si>
  <si>
    <t>Sydney West</t>
  </si>
  <si>
    <t>Bondi Junction</t>
  </si>
  <si>
    <t>Sydney East</t>
  </si>
  <si>
    <t>Chatswood</t>
  </si>
  <si>
    <t>Sydney North</t>
  </si>
  <si>
    <t>Hurstville</t>
  </si>
  <si>
    <t>Penrith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</si>
</sst>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2"/>
  <sheetViews>
    <sheetView tabSelected="1" workbookViewId="0">
      <pane ySplit="1" topLeftCell="H581" activePane="bottomLeft" state="frozen"/>
      <selection pane="bottomLeft" activeCell="J602" sqref="J602"/>
    </sheetView>
  </sheetViews>
  <sheetFormatPr defaultRowHeight="15"/>
  <cols>
    <col min="1" max="2" width="12" customWidth="1"/>
    <col min="3" max="3" width="10" customWidth="1"/>
    <col min="4" max="4" width="11" customWidth="1"/>
    <col min="5" max="5" width="6" customWidth="1"/>
    <col min="6" max="6" width="20.140625" customWidth="1"/>
    <col min="7" max="7" width="22.85546875" customWidth="1"/>
    <col min="10" max="10" width="12.5703125" customWidth="1"/>
    <col min="14" max="14" width="14.28515625" customWidth="1"/>
    <col min="15" max="15" width="9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5">
      <c r="A2" t="s">
        <v>12</v>
      </c>
      <c r="B2" s="2">
        <v>46204</v>
      </c>
      <c r="C2" t="s">
        <v>13</v>
      </c>
      <c r="D2" t="s">
        <v>14</v>
      </c>
      <c r="E2">
        <v>2</v>
      </c>
      <c r="F2" t="str">
        <f>_xlfn.XLOOKUP(D2, Products!$A$2:$A$21, Products!$B$2:$B$21, "Not Found")</f>
        <v>Gaming Mouse</v>
      </c>
      <c r="G2" t="str">
        <f>_xlfn.XLOOKUP(D2, Products!$A$2:$A$21, Products!$C$2:$C$21)</f>
        <v>Accessories</v>
      </c>
      <c r="H2">
        <f>_xlfn.XLOOKUP(D2, Products!$A$2:$A$21, Products!$E$2:$E$21, 0)</f>
        <v>89</v>
      </c>
      <c r="I2">
        <f>_xlfn.XLOOKUP(D2, Products!$A$2:$A$21, Products!$F$2:$F$21,0)</f>
        <v>41</v>
      </c>
      <c r="J2" t="str">
        <f>_xlfn.XLOOKUP(C2, Stores!$A$2:$A$7, Stores!$D$2:$D$7)</f>
        <v>Sydney West</v>
      </c>
      <c r="K2">
        <f xml:space="preserve"> E2*H2</f>
        <v>178</v>
      </c>
      <c r="L2">
        <f xml:space="preserve"> K2 - (E2 * I2)</f>
        <v>96</v>
      </c>
    </row>
    <row r="3" spans="1:15">
      <c r="A3" t="s">
        <v>15</v>
      </c>
      <c r="B3" s="2">
        <v>46204</v>
      </c>
      <c r="C3" t="s">
        <v>16</v>
      </c>
      <c r="D3" t="s">
        <v>17</v>
      </c>
      <c r="E3">
        <v>1</v>
      </c>
      <c r="F3" t="str">
        <f>_xlfn.XLOOKUP(D3, Products!$A$2:$A$21, Products!$B$2:$B$21, "Not Found")</f>
        <v>Wireless Earbuds</v>
      </c>
      <c r="G3" t="str">
        <f>_xlfn.XLOOKUP(D3, Products!$A$2:$A$21, Products!$C$2:$C$21)</f>
        <v>Audio</v>
      </c>
      <c r="H3">
        <f>_xlfn.XLOOKUP(D3, Products!$A$2:$A$21, Products!$E$2:$E$21, 0)</f>
        <v>249</v>
      </c>
      <c r="I3">
        <f>_xlfn.XLOOKUP(D3, Products!$A$2:$A$21, Products!$F$2:$F$21,0)</f>
        <v>140</v>
      </c>
      <c r="J3" t="str">
        <f>_xlfn.XLOOKUP(C3, Stores!$A$2:$A$7, Stores!$D$2:$D$7)</f>
        <v>Sydney East</v>
      </c>
      <c r="K3">
        <f t="shared" ref="K3:K66" si="0" xml:space="preserve"> E3*H3</f>
        <v>249</v>
      </c>
      <c r="L3">
        <f t="shared" ref="L3:L66" si="1" xml:space="preserve"> K3 - (E3 * I3)</f>
        <v>109</v>
      </c>
    </row>
    <row r="4" spans="1:15">
      <c r="A4" t="s">
        <v>18</v>
      </c>
      <c r="B4" s="2">
        <v>46204</v>
      </c>
      <c r="C4" t="s">
        <v>19</v>
      </c>
      <c r="D4" t="s">
        <v>20</v>
      </c>
      <c r="E4">
        <v>1</v>
      </c>
      <c r="F4" t="str">
        <f>_xlfn.XLOOKUP(D4, Products!$A$2:$A$21, Products!$B$2:$B$21, "Not Found")</f>
        <v>Bluetooth Speaker</v>
      </c>
      <c r="G4" t="str">
        <f>_xlfn.XLOOKUP(D4, Products!$A$2:$A$21, Products!$C$2:$C$21)</f>
        <v>Audio</v>
      </c>
      <c r="H4">
        <f>_xlfn.XLOOKUP(D4, Products!$A$2:$A$21, Products!$E$2:$E$21, 0)</f>
        <v>179</v>
      </c>
      <c r="I4">
        <f>_xlfn.XLOOKUP(D4, Products!$A$2:$A$21, Products!$F$2:$F$21,0)</f>
        <v>95</v>
      </c>
      <c r="J4" t="str">
        <f>_xlfn.XLOOKUP(C4, Stores!$A$2:$A$7, Stores!$D$2:$D$7)</f>
        <v>Sydney North</v>
      </c>
      <c r="K4">
        <f t="shared" si="0"/>
        <v>179</v>
      </c>
      <c r="L4">
        <f t="shared" si="1"/>
        <v>84</v>
      </c>
    </row>
    <row r="5" spans="1:15">
      <c r="A5" t="s">
        <v>21</v>
      </c>
      <c r="B5" s="2">
        <v>46204</v>
      </c>
      <c r="C5" t="s">
        <v>22</v>
      </c>
      <c r="D5" t="s">
        <v>23</v>
      </c>
      <c r="E5">
        <v>2</v>
      </c>
      <c r="F5" t="str">
        <f>_xlfn.XLOOKUP(D5, Products!$A$2:$A$21, Products!$B$2:$B$21, "Not Found")</f>
        <v>Video Game</v>
      </c>
      <c r="G5" t="str">
        <f>_xlfn.XLOOKUP(D5, Products!$A$2:$A$21, Products!$C$2:$C$21)</f>
        <v>Gaming</v>
      </c>
      <c r="H5">
        <f>_xlfn.XLOOKUP(D5, Products!$A$2:$A$21, Products!$E$2:$E$21, 0)</f>
        <v>79</v>
      </c>
      <c r="I5">
        <f>_xlfn.XLOOKUP(D5, Products!$A$2:$A$21, Products!$F$2:$F$21,0)</f>
        <v>52</v>
      </c>
      <c r="J5" t="str">
        <f>_xlfn.XLOOKUP(C5, Stores!$A$2:$A$7, Stores!$D$2:$D$7)</f>
        <v>Sydney West</v>
      </c>
      <c r="K5">
        <f t="shared" si="0"/>
        <v>158</v>
      </c>
      <c r="L5">
        <f t="shared" si="1"/>
        <v>54</v>
      </c>
    </row>
    <row r="6" spans="1:15">
      <c r="A6" t="s">
        <v>24</v>
      </c>
      <c r="B6" s="2">
        <v>46204</v>
      </c>
      <c r="C6" t="s">
        <v>25</v>
      </c>
      <c r="D6" t="s">
        <v>20</v>
      </c>
      <c r="E6">
        <v>1</v>
      </c>
      <c r="F6" t="str">
        <f>_xlfn.XLOOKUP(D6, Products!$A$2:$A$21, Products!$B$2:$B$21, "Not Found")</f>
        <v>Bluetooth Speaker</v>
      </c>
      <c r="G6" t="str">
        <f>_xlfn.XLOOKUP(D6, Products!$A$2:$A$21, Products!$C$2:$C$21)</f>
        <v>Audio</v>
      </c>
      <c r="H6">
        <f>_xlfn.XLOOKUP(D6, Products!$A$2:$A$21, Products!$E$2:$E$21, 0)</f>
        <v>179</v>
      </c>
      <c r="I6">
        <f>_xlfn.XLOOKUP(D6, Products!$A$2:$A$21, Products!$F$2:$F$21,0)</f>
        <v>95</v>
      </c>
      <c r="J6" t="str">
        <f>_xlfn.XLOOKUP(C6, Stores!$A$2:$A$7, Stores!$D$2:$D$7)</f>
        <v>Sydney South</v>
      </c>
      <c r="K6">
        <f t="shared" si="0"/>
        <v>179</v>
      </c>
      <c r="L6">
        <f t="shared" si="1"/>
        <v>84</v>
      </c>
    </row>
    <row r="7" spans="1:15">
      <c r="A7" t="s">
        <v>26</v>
      </c>
      <c r="B7" s="2">
        <v>46204</v>
      </c>
      <c r="C7" t="s">
        <v>25</v>
      </c>
      <c r="D7" t="s">
        <v>20</v>
      </c>
      <c r="E7">
        <v>1</v>
      </c>
      <c r="F7" t="str">
        <f>_xlfn.XLOOKUP(D7, Products!$A$2:$A$21, Products!$B$2:$B$21, "Not Found")</f>
        <v>Bluetooth Speaker</v>
      </c>
      <c r="G7" t="str">
        <f>_xlfn.XLOOKUP(D7, Products!$A$2:$A$21, Products!$C$2:$C$21)</f>
        <v>Audio</v>
      </c>
      <c r="H7">
        <f>_xlfn.XLOOKUP(D7, Products!$A$2:$A$21, Products!$E$2:$E$21, 0)</f>
        <v>179</v>
      </c>
      <c r="I7">
        <f>_xlfn.XLOOKUP(D7, Products!$A$2:$A$21, Products!$F$2:$F$21,0)</f>
        <v>95</v>
      </c>
      <c r="J7" t="str">
        <f>_xlfn.XLOOKUP(C7, Stores!$A$2:$A$7, Stores!$D$2:$D$7)</f>
        <v>Sydney South</v>
      </c>
      <c r="K7">
        <f t="shared" si="0"/>
        <v>179</v>
      </c>
      <c r="L7">
        <f t="shared" si="1"/>
        <v>84</v>
      </c>
      <c r="N7" t="s">
        <v>27</v>
      </c>
      <c r="O7">
        <f>COUNTIF(F2:F601, "Not found")</f>
        <v>4</v>
      </c>
    </row>
    <row r="8" spans="1:15">
      <c r="A8" t="s">
        <v>28</v>
      </c>
      <c r="B8" s="2">
        <v>46204</v>
      </c>
      <c r="C8" t="s">
        <v>16</v>
      </c>
      <c r="D8" t="s">
        <v>29</v>
      </c>
      <c r="E8">
        <v>4</v>
      </c>
      <c r="F8" t="str">
        <f>_xlfn.XLOOKUP(D8, Products!$A$2:$A$21, Products!$B$2:$B$21, "Not Found")</f>
        <v>Phone Case</v>
      </c>
      <c r="G8" t="str">
        <f>_xlfn.XLOOKUP(D8, Products!$A$2:$A$21, Products!$C$2:$C$21)</f>
        <v>Accessories</v>
      </c>
      <c r="H8">
        <f>_xlfn.XLOOKUP(D8, Products!$A$2:$A$21, Products!$E$2:$E$21, 0)</f>
        <v>39</v>
      </c>
      <c r="I8">
        <f>_xlfn.XLOOKUP(D8, Products!$A$2:$A$21, Products!$F$2:$F$21,0)</f>
        <v>9</v>
      </c>
      <c r="J8" t="str">
        <f>_xlfn.XLOOKUP(C8, Stores!$A$2:$A$7, Stores!$D$2:$D$7)</f>
        <v>Sydney East</v>
      </c>
      <c r="K8">
        <f t="shared" si="0"/>
        <v>156</v>
      </c>
      <c r="L8">
        <f t="shared" si="1"/>
        <v>120</v>
      </c>
    </row>
    <row r="9" spans="1:15">
      <c r="A9" t="s">
        <v>30</v>
      </c>
      <c r="B9" s="2">
        <v>46204</v>
      </c>
      <c r="C9" t="s">
        <v>25</v>
      </c>
      <c r="D9" t="s">
        <v>14</v>
      </c>
      <c r="E9">
        <v>1</v>
      </c>
      <c r="F9" t="str">
        <f>_xlfn.XLOOKUP(D9, Products!$A$2:$A$21, Products!$B$2:$B$21, "Not Found")</f>
        <v>Gaming Mouse</v>
      </c>
      <c r="G9" t="str">
        <f>_xlfn.XLOOKUP(D9, Products!$A$2:$A$21, Products!$C$2:$C$21)</f>
        <v>Accessories</v>
      </c>
      <c r="H9">
        <f>_xlfn.XLOOKUP(D9, Products!$A$2:$A$21, Products!$E$2:$E$21, 0)</f>
        <v>89</v>
      </c>
      <c r="I9">
        <f>_xlfn.XLOOKUP(D9, Products!$A$2:$A$21, Products!$F$2:$F$21,0)</f>
        <v>41</v>
      </c>
      <c r="J9" t="str">
        <f>_xlfn.XLOOKUP(C9, Stores!$A$2:$A$7, Stores!$D$2:$D$7)</f>
        <v>Sydney South</v>
      </c>
      <c r="K9">
        <f t="shared" si="0"/>
        <v>89</v>
      </c>
      <c r="L9">
        <f t="shared" si="1"/>
        <v>48</v>
      </c>
    </row>
    <row r="10" spans="1:15">
      <c r="A10" t="s">
        <v>31</v>
      </c>
      <c r="B10" s="2">
        <v>46204</v>
      </c>
      <c r="C10" t="s">
        <v>16</v>
      </c>
      <c r="D10" t="s">
        <v>32</v>
      </c>
      <c r="E10">
        <v>1</v>
      </c>
      <c r="F10" t="str">
        <f>_xlfn.XLOOKUP(D10, Products!$A$2:$A$21, Products!$B$2:$B$21, "Not Found")</f>
        <v>USB-C Charger</v>
      </c>
      <c r="G10" t="str">
        <f>_xlfn.XLOOKUP(D10, Products!$A$2:$A$21, Products!$C$2:$C$21)</f>
        <v>Accessories</v>
      </c>
      <c r="H10">
        <f>_xlfn.XLOOKUP(D10, Products!$A$2:$A$21, Products!$E$2:$E$21, 0)</f>
        <v>49</v>
      </c>
      <c r="I10">
        <f>_xlfn.XLOOKUP(D10, Products!$A$2:$A$21, Products!$F$2:$F$21,0)</f>
        <v>14</v>
      </c>
      <c r="J10" t="str">
        <f>_xlfn.XLOOKUP(C10, Stores!$A$2:$A$7, Stores!$D$2:$D$7)</f>
        <v>Sydney East</v>
      </c>
      <c r="K10">
        <f t="shared" si="0"/>
        <v>49</v>
      </c>
      <c r="L10">
        <f t="shared" si="1"/>
        <v>35</v>
      </c>
    </row>
    <row r="11" spans="1:15">
      <c r="A11" t="s">
        <v>33</v>
      </c>
      <c r="B11" s="2">
        <v>46204</v>
      </c>
      <c r="C11" t="s">
        <v>13</v>
      </c>
      <c r="D11" t="s">
        <v>14</v>
      </c>
      <c r="E11">
        <v>1</v>
      </c>
      <c r="F11" t="str">
        <f>_xlfn.XLOOKUP(D11, Products!$A$2:$A$21, Products!$B$2:$B$21, "Not Found")</f>
        <v>Gaming Mouse</v>
      </c>
      <c r="G11" t="str">
        <f>_xlfn.XLOOKUP(D11, Products!$A$2:$A$21, Products!$C$2:$C$21)</f>
        <v>Accessories</v>
      </c>
      <c r="H11">
        <f>_xlfn.XLOOKUP(D11, Products!$A$2:$A$21, Products!$E$2:$E$21, 0)</f>
        <v>89</v>
      </c>
      <c r="I11">
        <f>_xlfn.XLOOKUP(D11, Products!$A$2:$A$21, Products!$F$2:$F$21,0)</f>
        <v>41</v>
      </c>
      <c r="J11" t="str">
        <f>_xlfn.XLOOKUP(C11, Stores!$A$2:$A$7, Stores!$D$2:$D$7)</f>
        <v>Sydney West</v>
      </c>
      <c r="K11">
        <f t="shared" si="0"/>
        <v>89</v>
      </c>
      <c r="L11">
        <f t="shared" si="1"/>
        <v>48</v>
      </c>
    </row>
    <row r="12" spans="1:15">
      <c r="A12" t="s">
        <v>34</v>
      </c>
      <c r="B12" s="2">
        <v>46204</v>
      </c>
      <c r="C12" t="s">
        <v>16</v>
      </c>
      <c r="D12" t="s">
        <v>17</v>
      </c>
      <c r="E12">
        <v>1</v>
      </c>
      <c r="F12" t="str">
        <f>_xlfn.XLOOKUP(D12, Products!$A$2:$A$21, Products!$B$2:$B$21, "Not Found")</f>
        <v>Wireless Earbuds</v>
      </c>
      <c r="G12" t="str">
        <f>_xlfn.XLOOKUP(D12, Products!$A$2:$A$21, Products!$C$2:$C$21)</f>
        <v>Audio</v>
      </c>
      <c r="H12">
        <f>_xlfn.XLOOKUP(D12, Products!$A$2:$A$21, Products!$E$2:$E$21, 0)</f>
        <v>249</v>
      </c>
      <c r="I12">
        <f>_xlfn.XLOOKUP(D12, Products!$A$2:$A$21, Products!$F$2:$F$21,0)</f>
        <v>140</v>
      </c>
      <c r="J12" t="str">
        <f>_xlfn.XLOOKUP(C12, Stores!$A$2:$A$7, Stores!$D$2:$D$7)</f>
        <v>Sydney East</v>
      </c>
      <c r="K12">
        <f t="shared" si="0"/>
        <v>249</v>
      </c>
      <c r="L12">
        <f t="shared" si="1"/>
        <v>109</v>
      </c>
    </row>
    <row r="13" spans="1:15">
      <c r="A13" t="s">
        <v>35</v>
      </c>
      <c r="B13" s="2">
        <v>46205</v>
      </c>
      <c r="C13" t="s">
        <v>22</v>
      </c>
      <c r="D13" t="s">
        <v>23</v>
      </c>
      <c r="E13">
        <v>1</v>
      </c>
      <c r="F13" t="str">
        <f>_xlfn.XLOOKUP(D13, Products!$A$2:$A$21, Products!$B$2:$B$21, "Not Found")</f>
        <v>Video Game</v>
      </c>
      <c r="G13" t="str">
        <f>_xlfn.XLOOKUP(D13, Products!$A$2:$A$21, Products!$C$2:$C$21)</f>
        <v>Gaming</v>
      </c>
      <c r="H13">
        <f>_xlfn.XLOOKUP(D13, Products!$A$2:$A$21, Products!$E$2:$E$21, 0)</f>
        <v>79</v>
      </c>
      <c r="I13">
        <f>_xlfn.XLOOKUP(D13, Products!$A$2:$A$21, Products!$F$2:$F$21,0)</f>
        <v>52</v>
      </c>
      <c r="J13" t="str">
        <f>_xlfn.XLOOKUP(C13, Stores!$A$2:$A$7, Stores!$D$2:$D$7)</f>
        <v>Sydney West</v>
      </c>
      <c r="K13">
        <f t="shared" si="0"/>
        <v>79</v>
      </c>
      <c r="L13">
        <f t="shared" si="1"/>
        <v>27</v>
      </c>
    </row>
    <row r="14" spans="1:15">
      <c r="A14" t="s">
        <v>36</v>
      </c>
      <c r="B14" s="2">
        <v>46205</v>
      </c>
      <c r="C14" t="s">
        <v>16</v>
      </c>
      <c r="D14" t="s">
        <v>37</v>
      </c>
      <c r="E14">
        <v>1</v>
      </c>
      <c r="F14" t="str">
        <f>_xlfn.XLOOKUP(D14, Products!$A$2:$A$21, Products!$B$2:$B$21, "Not Found")</f>
        <v>Console Controller</v>
      </c>
      <c r="G14" t="str">
        <f>_xlfn.XLOOKUP(D14, Products!$A$2:$A$21, Products!$C$2:$C$21)</f>
        <v>Gaming</v>
      </c>
      <c r="H14">
        <f>_xlfn.XLOOKUP(D14, Products!$A$2:$A$21, Products!$E$2:$E$21, 0)</f>
        <v>99</v>
      </c>
      <c r="I14">
        <f>_xlfn.XLOOKUP(D14, Products!$A$2:$A$21, Products!$F$2:$F$21,0)</f>
        <v>58</v>
      </c>
      <c r="J14" t="str">
        <f>_xlfn.XLOOKUP(C14, Stores!$A$2:$A$7, Stores!$D$2:$D$7)</f>
        <v>Sydney East</v>
      </c>
      <c r="K14">
        <f t="shared" si="0"/>
        <v>99</v>
      </c>
      <c r="L14">
        <f t="shared" si="1"/>
        <v>41</v>
      </c>
    </row>
    <row r="15" spans="1:15">
      <c r="A15" t="s">
        <v>38</v>
      </c>
      <c r="B15" s="2">
        <v>46205</v>
      </c>
      <c r="C15" t="s">
        <v>13</v>
      </c>
      <c r="D15" t="s">
        <v>32</v>
      </c>
      <c r="E15">
        <v>1</v>
      </c>
      <c r="F15" t="str">
        <f>_xlfn.XLOOKUP(D15, Products!$A$2:$A$21, Products!$B$2:$B$21, "Not Found")</f>
        <v>USB-C Charger</v>
      </c>
      <c r="G15" t="str">
        <f>_xlfn.XLOOKUP(D15, Products!$A$2:$A$21, Products!$C$2:$C$21)</f>
        <v>Accessories</v>
      </c>
      <c r="H15">
        <f>_xlfn.XLOOKUP(D15, Products!$A$2:$A$21, Products!$E$2:$E$21, 0)</f>
        <v>49</v>
      </c>
      <c r="I15">
        <f>_xlfn.XLOOKUP(D15, Products!$A$2:$A$21, Products!$F$2:$F$21,0)</f>
        <v>14</v>
      </c>
      <c r="J15" t="str">
        <f>_xlfn.XLOOKUP(C15, Stores!$A$2:$A$7, Stores!$D$2:$D$7)</f>
        <v>Sydney West</v>
      </c>
      <c r="K15">
        <f t="shared" si="0"/>
        <v>49</v>
      </c>
      <c r="L15">
        <f t="shared" si="1"/>
        <v>35</v>
      </c>
    </row>
    <row r="16" spans="1:15">
      <c r="A16" t="s">
        <v>39</v>
      </c>
      <c r="B16" s="2">
        <v>46205</v>
      </c>
      <c r="C16" t="s">
        <v>22</v>
      </c>
      <c r="D16" t="s">
        <v>29</v>
      </c>
      <c r="E16">
        <v>1</v>
      </c>
      <c r="F16" t="str">
        <f>_xlfn.XLOOKUP(D16, Products!$A$2:$A$21, Products!$B$2:$B$21, "Not Found")</f>
        <v>Phone Case</v>
      </c>
      <c r="G16" t="str">
        <f>_xlfn.XLOOKUP(D16, Products!$A$2:$A$21, Products!$C$2:$C$21)</f>
        <v>Accessories</v>
      </c>
      <c r="H16">
        <f>_xlfn.XLOOKUP(D16, Products!$A$2:$A$21, Products!$E$2:$E$21, 0)</f>
        <v>39</v>
      </c>
      <c r="I16">
        <f>_xlfn.XLOOKUP(D16, Products!$A$2:$A$21, Products!$F$2:$F$21,0)</f>
        <v>9</v>
      </c>
      <c r="J16" t="str">
        <f>_xlfn.XLOOKUP(C16, Stores!$A$2:$A$7, Stores!$D$2:$D$7)</f>
        <v>Sydney West</v>
      </c>
      <c r="K16">
        <f t="shared" si="0"/>
        <v>39</v>
      </c>
      <c r="L16">
        <f t="shared" si="1"/>
        <v>30</v>
      </c>
    </row>
    <row r="17" spans="1:12">
      <c r="A17" t="s">
        <v>40</v>
      </c>
      <c r="B17" s="2">
        <v>46205</v>
      </c>
      <c r="C17" t="s">
        <v>13</v>
      </c>
      <c r="D17" t="s">
        <v>17</v>
      </c>
      <c r="E17">
        <v>1</v>
      </c>
      <c r="F17" t="str">
        <f>_xlfn.XLOOKUP(D17, Products!$A$2:$A$21, Products!$B$2:$B$21, "Not Found")</f>
        <v>Wireless Earbuds</v>
      </c>
      <c r="G17" t="str">
        <f>_xlfn.XLOOKUP(D17, Products!$A$2:$A$21, Products!$C$2:$C$21)</f>
        <v>Audio</v>
      </c>
      <c r="H17">
        <f>_xlfn.XLOOKUP(D17, Products!$A$2:$A$21, Products!$E$2:$E$21, 0)</f>
        <v>249</v>
      </c>
      <c r="I17">
        <f>_xlfn.XLOOKUP(D17, Products!$A$2:$A$21, Products!$F$2:$F$21,0)</f>
        <v>140</v>
      </c>
      <c r="J17" t="str">
        <f>_xlfn.XLOOKUP(C17, Stores!$A$2:$A$7, Stores!$D$2:$D$7)</f>
        <v>Sydney West</v>
      </c>
      <c r="K17">
        <f t="shared" si="0"/>
        <v>249</v>
      </c>
      <c r="L17">
        <f t="shared" si="1"/>
        <v>109</v>
      </c>
    </row>
    <row r="18" spans="1:12">
      <c r="A18" t="s">
        <v>41</v>
      </c>
      <c r="B18" s="2">
        <v>46205</v>
      </c>
      <c r="C18" t="s">
        <v>19</v>
      </c>
      <c r="D18" t="s">
        <v>14</v>
      </c>
      <c r="E18">
        <v>1</v>
      </c>
      <c r="F18" t="str">
        <f>_xlfn.XLOOKUP(D18, Products!$A$2:$A$21, Products!$B$2:$B$21, "Not Found")</f>
        <v>Gaming Mouse</v>
      </c>
      <c r="G18" t="str">
        <f>_xlfn.XLOOKUP(D18, Products!$A$2:$A$21, Products!$C$2:$C$21)</f>
        <v>Accessories</v>
      </c>
      <c r="H18">
        <f>_xlfn.XLOOKUP(D18, Products!$A$2:$A$21, Products!$E$2:$E$21, 0)</f>
        <v>89</v>
      </c>
      <c r="I18">
        <f>_xlfn.XLOOKUP(D18, Products!$A$2:$A$21, Products!$F$2:$F$21,0)</f>
        <v>41</v>
      </c>
      <c r="J18" t="str">
        <f>_xlfn.XLOOKUP(C18, Stores!$A$2:$A$7, Stores!$D$2:$D$7)</f>
        <v>Sydney North</v>
      </c>
      <c r="K18">
        <f t="shared" si="0"/>
        <v>89</v>
      </c>
      <c r="L18">
        <f t="shared" si="1"/>
        <v>48</v>
      </c>
    </row>
    <row r="19" spans="1:12">
      <c r="A19" t="s">
        <v>42</v>
      </c>
      <c r="B19" s="2">
        <v>46206</v>
      </c>
      <c r="C19" t="s">
        <v>22</v>
      </c>
      <c r="D19" t="s">
        <v>23</v>
      </c>
      <c r="E19">
        <v>1</v>
      </c>
      <c r="F19" t="str">
        <f>_xlfn.XLOOKUP(D19, Products!$A$2:$A$21, Products!$B$2:$B$21, "Not Found")</f>
        <v>Video Game</v>
      </c>
      <c r="G19" t="str">
        <f>_xlfn.XLOOKUP(D19, Products!$A$2:$A$21, Products!$C$2:$C$21)</f>
        <v>Gaming</v>
      </c>
      <c r="H19">
        <f>_xlfn.XLOOKUP(D19, Products!$A$2:$A$21, Products!$E$2:$E$21, 0)</f>
        <v>79</v>
      </c>
      <c r="I19">
        <f>_xlfn.XLOOKUP(D19, Products!$A$2:$A$21, Products!$F$2:$F$21,0)</f>
        <v>52</v>
      </c>
      <c r="J19" t="str">
        <f>_xlfn.XLOOKUP(C19, Stores!$A$2:$A$7, Stores!$D$2:$D$7)</f>
        <v>Sydney West</v>
      </c>
      <c r="K19">
        <f t="shared" si="0"/>
        <v>79</v>
      </c>
      <c r="L19">
        <f t="shared" si="1"/>
        <v>27</v>
      </c>
    </row>
    <row r="20" spans="1:12">
      <c r="A20" t="s">
        <v>43</v>
      </c>
      <c r="B20" s="2">
        <v>46206</v>
      </c>
      <c r="C20" t="s">
        <v>22</v>
      </c>
      <c r="D20" t="s">
        <v>44</v>
      </c>
      <c r="E20">
        <v>1</v>
      </c>
      <c r="F20" t="str">
        <f>_xlfn.XLOOKUP(D20, Products!$A$2:$A$21, Products!$B$2:$B$21, "Not Found")</f>
        <v>Smartphone 128GB</v>
      </c>
      <c r="G20" t="str">
        <f>_xlfn.XLOOKUP(D20, Products!$A$2:$A$21, Products!$C$2:$C$21)</f>
        <v>Phones</v>
      </c>
      <c r="H20">
        <f>_xlfn.XLOOKUP(D20, Products!$A$2:$A$21, Products!$E$2:$E$21, 0)</f>
        <v>1099</v>
      </c>
      <c r="I20">
        <f>_xlfn.XLOOKUP(D20, Products!$A$2:$A$21, Products!$F$2:$F$21,0)</f>
        <v>860</v>
      </c>
      <c r="J20" t="str">
        <f>_xlfn.XLOOKUP(C20, Stores!$A$2:$A$7, Stores!$D$2:$D$7)</f>
        <v>Sydney West</v>
      </c>
      <c r="K20">
        <f t="shared" si="0"/>
        <v>1099</v>
      </c>
      <c r="L20">
        <f t="shared" si="1"/>
        <v>239</v>
      </c>
    </row>
    <row r="21" spans="1:12">
      <c r="A21" t="s">
        <v>45</v>
      </c>
      <c r="B21" s="2">
        <v>46206</v>
      </c>
      <c r="C21" t="s">
        <v>13</v>
      </c>
      <c r="D21" t="s">
        <v>20</v>
      </c>
      <c r="E21">
        <v>3</v>
      </c>
      <c r="F21" t="str">
        <f>_xlfn.XLOOKUP(D21, Products!$A$2:$A$21, Products!$B$2:$B$21, "Not Found")</f>
        <v>Bluetooth Speaker</v>
      </c>
      <c r="G21" t="str">
        <f>_xlfn.XLOOKUP(D21, Products!$A$2:$A$21, Products!$C$2:$C$21)</f>
        <v>Audio</v>
      </c>
      <c r="H21">
        <f>_xlfn.XLOOKUP(D21, Products!$A$2:$A$21, Products!$E$2:$E$21, 0)</f>
        <v>179</v>
      </c>
      <c r="I21">
        <f>_xlfn.XLOOKUP(D21, Products!$A$2:$A$21, Products!$F$2:$F$21,0)</f>
        <v>95</v>
      </c>
      <c r="J21" t="str">
        <f>_xlfn.XLOOKUP(C21, Stores!$A$2:$A$7, Stores!$D$2:$D$7)</f>
        <v>Sydney West</v>
      </c>
      <c r="K21">
        <f t="shared" si="0"/>
        <v>537</v>
      </c>
      <c r="L21">
        <f t="shared" si="1"/>
        <v>252</v>
      </c>
    </row>
    <row r="22" spans="1:12">
      <c r="A22" t="s">
        <v>46</v>
      </c>
      <c r="B22" s="2">
        <v>46206</v>
      </c>
      <c r="C22" t="s">
        <v>13</v>
      </c>
      <c r="D22" t="s">
        <v>29</v>
      </c>
      <c r="E22">
        <v>1</v>
      </c>
      <c r="F22" t="str">
        <f>_xlfn.XLOOKUP(D22, Products!$A$2:$A$21, Products!$B$2:$B$21, "Not Found")</f>
        <v>Phone Case</v>
      </c>
      <c r="G22" t="str">
        <f>_xlfn.XLOOKUP(D22, Products!$A$2:$A$21, Products!$C$2:$C$21)</f>
        <v>Accessories</v>
      </c>
      <c r="H22">
        <f>_xlfn.XLOOKUP(D22, Products!$A$2:$A$21, Products!$E$2:$E$21, 0)</f>
        <v>39</v>
      </c>
      <c r="I22">
        <f>_xlfn.XLOOKUP(D22, Products!$A$2:$A$21, Products!$F$2:$F$21,0)</f>
        <v>9</v>
      </c>
      <c r="J22" t="str">
        <f>_xlfn.XLOOKUP(C22, Stores!$A$2:$A$7, Stores!$D$2:$D$7)</f>
        <v>Sydney West</v>
      </c>
      <c r="K22">
        <f t="shared" si="0"/>
        <v>39</v>
      </c>
      <c r="L22">
        <f t="shared" si="1"/>
        <v>30</v>
      </c>
    </row>
    <row r="23" spans="1:12">
      <c r="A23" t="s">
        <v>47</v>
      </c>
      <c r="B23" s="2">
        <v>46206</v>
      </c>
      <c r="C23" t="s">
        <v>16</v>
      </c>
      <c r="D23" t="s">
        <v>48</v>
      </c>
      <c r="E23">
        <v>1</v>
      </c>
      <c r="F23" t="str">
        <f>_xlfn.XLOOKUP(D23, Products!$A$2:$A$21, Products!$B$2:$B$21, "Not Found")</f>
        <v>Tablet 11in</v>
      </c>
      <c r="G23" t="str">
        <f>_xlfn.XLOOKUP(D23, Products!$A$2:$A$21, Products!$C$2:$C$21)</f>
        <v>Computers</v>
      </c>
      <c r="H23">
        <f>_xlfn.XLOOKUP(D23, Products!$A$2:$A$21, Products!$E$2:$E$21, 0)</f>
        <v>899</v>
      </c>
      <c r="I23">
        <f>_xlfn.XLOOKUP(D23, Products!$A$2:$A$21, Products!$F$2:$F$21,0)</f>
        <v>690</v>
      </c>
      <c r="J23" t="str">
        <f>_xlfn.XLOOKUP(C23, Stores!$A$2:$A$7, Stores!$D$2:$D$7)</f>
        <v>Sydney East</v>
      </c>
      <c r="K23">
        <f t="shared" si="0"/>
        <v>899</v>
      </c>
      <c r="L23">
        <f t="shared" si="1"/>
        <v>209</v>
      </c>
    </row>
    <row r="24" spans="1:12">
      <c r="A24" t="s">
        <v>49</v>
      </c>
      <c r="B24" s="2">
        <v>46206</v>
      </c>
      <c r="C24" t="s">
        <v>22</v>
      </c>
      <c r="D24" t="s">
        <v>29</v>
      </c>
      <c r="E24">
        <v>1</v>
      </c>
      <c r="F24" t="str">
        <f>_xlfn.XLOOKUP(D24, Products!$A$2:$A$21, Products!$B$2:$B$21, "Not Found")</f>
        <v>Phone Case</v>
      </c>
      <c r="G24" t="str">
        <f>_xlfn.XLOOKUP(D24, Products!$A$2:$A$21, Products!$C$2:$C$21)</f>
        <v>Accessories</v>
      </c>
      <c r="H24">
        <f>_xlfn.XLOOKUP(D24, Products!$A$2:$A$21, Products!$E$2:$E$21, 0)</f>
        <v>39</v>
      </c>
      <c r="I24">
        <f>_xlfn.XLOOKUP(D24, Products!$A$2:$A$21, Products!$F$2:$F$21,0)</f>
        <v>9</v>
      </c>
      <c r="J24" t="str">
        <f>_xlfn.XLOOKUP(C24, Stores!$A$2:$A$7, Stores!$D$2:$D$7)</f>
        <v>Sydney West</v>
      </c>
      <c r="K24">
        <f t="shared" si="0"/>
        <v>39</v>
      </c>
      <c r="L24">
        <f t="shared" si="1"/>
        <v>30</v>
      </c>
    </row>
    <row r="25" spans="1:12">
      <c r="A25" t="s">
        <v>50</v>
      </c>
      <c r="B25" s="2">
        <v>46207</v>
      </c>
      <c r="C25" t="s">
        <v>51</v>
      </c>
      <c r="D25" t="s">
        <v>52</v>
      </c>
      <c r="E25">
        <v>1</v>
      </c>
      <c r="F25" t="str">
        <f>_xlfn.XLOOKUP(D25, Products!$A$2:$A$21, Products!$B$2:$B$21, "Not Found")</f>
        <v>Mech Keyboard</v>
      </c>
      <c r="G25" t="str">
        <f>_xlfn.XLOOKUP(D25, Products!$A$2:$A$21, Products!$C$2:$C$21)</f>
        <v>Accessories</v>
      </c>
      <c r="H25">
        <f>_xlfn.XLOOKUP(D25, Products!$A$2:$A$21, Products!$E$2:$E$21, 0)</f>
        <v>149</v>
      </c>
      <c r="I25">
        <f>_xlfn.XLOOKUP(D25, Products!$A$2:$A$21, Products!$F$2:$F$21,0)</f>
        <v>72</v>
      </c>
      <c r="J25" t="str">
        <f>_xlfn.XLOOKUP(C25, Stores!$A$2:$A$7, Stores!$D$2:$D$7)</f>
        <v>Sydney South</v>
      </c>
      <c r="K25">
        <f t="shared" si="0"/>
        <v>149</v>
      </c>
      <c r="L25">
        <f t="shared" si="1"/>
        <v>77</v>
      </c>
    </row>
    <row r="26" spans="1:12">
      <c r="A26" t="s">
        <v>53</v>
      </c>
      <c r="B26" s="2">
        <v>46207</v>
      </c>
      <c r="C26" t="s">
        <v>25</v>
      </c>
      <c r="D26" t="s">
        <v>54</v>
      </c>
      <c r="E26">
        <v>1</v>
      </c>
      <c r="F26" t="str">
        <f>_xlfn.XLOOKUP(D26, Products!$A$2:$A$21, Products!$B$2:$B$21, "Not Found")</f>
        <v>55in TV</v>
      </c>
      <c r="G26" t="str">
        <f>_xlfn.XLOOKUP(D26, Products!$A$2:$A$21, Products!$C$2:$C$21)</f>
        <v>TV</v>
      </c>
      <c r="H26">
        <f>_xlfn.XLOOKUP(D26, Products!$A$2:$A$21, Products!$E$2:$E$21, 0)</f>
        <v>1299</v>
      </c>
      <c r="I26">
        <f>_xlfn.XLOOKUP(D26, Products!$A$2:$A$21, Products!$F$2:$F$21,0)</f>
        <v>980</v>
      </c>
      <c r="J26" t="str">
        <f>_xlfn.XLOOKUP(C26, Stores!$A$2:$A$7, Stores!$D$2:$D$7)</f>
        <v>Sydney South</v>
      </c>
      <c r="K26">
        <f t="shared" si="0"/>
        <v>1299</v>
      </c>
      <c r="L26">
        <f t="shared" si="1"/>
        <v>319</v>
      </c>
    </row>
    <row r="27" spans="1:12">
      <c r="A27" t="s">
        <v>55</v>
      </c>
      <c r="B27" s="2">
        <v>46207</v>
      </c>
      <c r="C27" t="s">
        <v>19</v>
      </c>
      <c r="D27" t="s">
        <v>54</v>
      </c>
      <c r="E27">
        <v>1</v>
      </c>
      <c r="F27" t="str">
        <f>_xlfn.XLOOKUP(D27, Products!$A$2:$A$21, Products!$B$2:$B$21, "Not Found")</f>
        <v>55in TV</v>
      </c>
      <c r="G27" t="str">
        <f>_xlfn.XLOOKUP(D27, Products!$A$2:$A$21, Products!$C$2:$C$21)</f>
        <v>TV</v>
      </c>
      <c r="H27">
        <f>_xlfn.XLOOKUP(D27, Products!$A$2:$A$21, Products!$E$2:$E$21, 0)</f>
        <v>1299</v>
      </c>
      <c r="I27">
        <f>_xlfn.XLOOKUP(D27, Products!$A$2:$A$21, Products!$F$2:$F$21,0)</f>
        <v>980</v>
      </c>
      <c r="J27" t="str">
        <f>_xlfn.XLOOKUP(C27, Stores!$A$2:$A$7, Stores!$D$2:$D$7)</f>
        <v>Sydney North</v>
      </c>
      <c r="K27">
        <f t="shared" si="0"/>
        <v>1299</v>
      </c>
      <c r="L27">
        <f t="shared" si="1"/>
        <v>319</v>
      </c>
    </row>
    <row r="28" spans="1:12">
      <c r="A28" t="s">
        <v>56</v>
      </c>
      <c r="B28" s="2">
        <v>46207</v>
      </c>
      <c r="C28" t="s">
        <v>25</v>
      </c>
      <c r="D28" t="s">
        <v>23</v>
      </c>
      <c r="E28">
        <v>2</v>
      </c>
      <c r="F28" t="str">
        <f>_xlfn.XLOOKUP(D28, Products!$A$2:$A$21, Products!$B$2:$B$21, "Not Found")</f>
        <v>Video Game</v>
      </c>
      <c r="G28" t="str">
        <f>_xlfn.XLOOKUP(D28, Products!$A$2:$A$21, Products!$C$2:$C$21)</f>
        <v>Gaming</v>
      </c>
      <c r="H28">
        <f>_xlfn.XLOOKUP(D28, Products!$A$2:$A$21, Products!$E$2:$E$21, 0)</f>
        <v>79</v>
      </c>
      <c r="I28">
        <f>_xlfn.XLOOKUP(D28, Products!$A$2:$A$21, Products!$F$2:$F$21,0)</f>
        <v>52</v>
      </c>
      <c r="J28" t="str">
        <f>_xlfn.XLOOKUP(C28, Stores!$A$2:$A$7, Stores!$D$2:$D$7)</f>
        <v>Sydney South</v>
      </c>
      <c r="K28">
        <f t="shared" si="0"/>
        <v>158</v>
      </c>
      <c r="L28">
        <f t="shared" si="1"/>
        <v>54</v>
      </c>
    </row>
    <row r="29" spans="1:12">
      <c r="A29" t="s">
        <v>57</v>
      </c>
      <c r="B29" s="2">
        <v>46207</v>
      </c>
      <c r="C29" t="s">
        <v>19</v>
      </c>
      <c r="D29" t="s">
        <v>20</v>
      </c>
      <c r="E29">
        <v>1</v>
      </c>
      <c r="F29" t="str">
        <f>_xlfn.XLOOKUP(D29, Products!$A$2:$A$21, Products!$B$2:$B$21, "Not Found")</f>
        <v>Bluetooth Speaker</v>
      </c>
      <c r="G29" t="str">
        <f>_xlfn.XLOOKUP(D29, Products!$A$2:$A$21, Products!$C$2:$C$21)</f>
        <v>Audio</v>
      </c>
      <c r="H29">
        <f>_xlfn.XLOOKUP(D29, Products!$A$2:$A$21, Products!$E$2:$E$21, 0)</f>
        <v>179</v>
      </c>
      <c r="I29">
        <f>_xlfn.XLOOKUP(D29, Products!$A$2:$A$21, Products!$F$2:$F$21,0)</f>
        <v>95</v>
      </c>
      <c r="J29" t="str">
        <f>_xlfn.XLOOKUP(C29, Stores!$A$2:$A$7, Stores!$D$2:$D$7)</f>
        <v>Sydney North</v>
      </c>
      <c r="K29">
        <f t="shared" si="0"/>
        <v>179</v>
      </c>
      <c r="L29">
        <f t="shared" si="1"/>
        <v>84</v>
      </c>
    </row>
    <row r="30" spans="1:12">
      <c r="A30" t="s">
        <v>58</v>
      </c>
      <c r="B30" s="2">
        <v>46207</v>
      </c>
      <c r="C30" t="s">
        <v>25</v>
      </c>
      <c r="D30" t="s">
        <v>14</v>
      </c>
      <c r="E30">
        <v>1</v>
      </c>
      <c r="F30" t="str">
        <f>_xlfn.XLOOKUP(D30, Products!$A$2:$A$21, Products!$B$2:$B$21, "Not Found")</f>
        <v>Gaming Mouse</v>
      </c>
      <c r="G30" t="str">
        <f>_xlfn.XLOOKUP(D30, Products!$A$2:$A$21, Products!$C$2:$C$21)</f>
        <v>Accessories</v>
      </c>
      <c r="H30">
        <f>_xlfn.XLOOKUP(D30, Products!$A$2:$A$21, Products!$E$2:$E$21, 0)</f>
        <v>89</v>
      </c>
      <c r="I30">
        <f>_xlfn.XLOOKUP(D30, Products!$A$2:$A$21, Products!$F$2:$F$21,0)</f>
        <v>41</v>
      </c>
      <c r="J30" t="str">
        <f>_xlfn.XLOOKUP(C30, Stores!$A$2:$A$7, Stores!$D$2:$D$7)</f>
        <v>Sydney South</v>
      </c>
      <c r="K30">
        <f t="shared" si="0"/>
        <v>89</v>
      </c>
      <c r="L30">
        <f t="shared" si="1"/>
        <v>48</v>
      </c>
    </row>
    <row r="31" spans="1:12">
      <c r="A31" t="s">
        <v>59</v>
      </c>
      <c r="B31" s="2">
        <v>46208</v>
      </c>
      <c r="C31" t="s">
        <v>25</v>
      </c>
      <c r="D31" t="s">
        <v>14</v>
      </c>
      <c r="E31">
        <v>1</v>
      </c>
      <c r="F31" t="str">
        <f>_xlfn.XLOOKUP(D31, Products!$A$2:$A$21, Products!$B$2:$B$21, "Not Found")</f>
        <v>Gaming Mouse</v>
      </c>
      <c r="G31" t="str">
        <f>_xlfn.XLOOKUP(D31, Products!$A$2:$A$21, Products!$C$2:$C$21)</f>
        <v>Accessories</v>
      </c>
      <c r="H31">
        <f>_xlfn.XLOOKUP(D31, Products!$A$2:$A$21, Products!$E$2:$E$21, 0)</f>
        <v>89</v>
      </c>
      <c r="I31">
        <f>_xlfn.XLOOKUP(D31, Products!$A$2:$A$21, Products!$F$2:$F$21,0)</f>
        <v>41</v>
      </c>
      <c r="J31" t="str">
        <f>_xlfn.XLOOKUP(C31, Stores!$A$2:$A$7, Stores!$D$2:$D$7)</f>
        <v>Sydney South</v>
      </c>
      <c r="K31">
        <f t="shared" si="0"/>
        <v>89</v>
      </c>
      <c r="L31">
        <f t="shared" si="1"/>
        <v>48</v>
      </c>
    </row>
    <row r="32" spans="1:12">
      <c r="A32" t="s">
        <v>60</v>
      </c>
      <c r="B32" s="2">
        <v>46208</v>
      </c>
      <c r="C32" t="s">
        <v>25</v>
      </c>
      <c r="D32" t="s">
        <v>61</v>
      </c>
      <c r="E32">
        <v>1</v>
      </c>
      <c r="F32" t="str">
        <f>_xlfn.XLOOKUP(D32, Products!$A$2:$A$21, Products!$B$2:$B$21, "Not Found")</f>
        <v>Soundbar</v>
      </c>
      <c r="G32" t="str">
        <f>_xlfn.XLOOKUP(D32, Products!$A$2:$A$21, Products!$C$2:$C$21)</f>
        <v>Audio</v>
      </c>
      <c r="H32">
        <f>_xlfn.XLOOKUP(D32, Products!$A$2:$A$21, Products!$E$2:$E$21, 0)</f>
        <v>699</v>
      </c>
      <c r="I32">
        <f>_xlfn.XLOOKUP(D32, Products!$A$2:$A$21, Products!$F$2:$F$21,0)</f>
        <v>450</v>
      </c>
      <c r="J32" t="str">
        <f>_xlfn.XLOOKUP(C32, Stores!$A$2:$A$7, Stores!$D$2:$D$7)</f>
        <v>Sydney South</v>
      </c>
      <c r="K32">
        <f t="shared" si="0"/>
        <v>699</v>
      </c>
      <c r="L32">
        <f t="shared" si="1"/>
        <v>249</v>
      </c>
    </row>
    <row r="33" spans="1:12">
      <c r="A33" t="s">
        <v>62</v>
      </c>
      <c r="B33" s="2">
        <v>46208</v>
      </c>
      <c r="C33" t="s">
        <v>25</v>
      </c>
      <c r="D33" t="s">
        <v>63</v>
      </c>
      <c r="E33">
        <v>1</v>
      </c>
      <c r="F33" t="str">
        <f>_xlfn.XLOOKUP(D33, Products!$A$2:$A$21, Products!$B$2:$B$21, "Not Found")</f>
        <v>27in Monitor</v>
      </c>
      <c r="G33" t="str">
        <f>_xlfn.XLOOKUP(D33, Products!$A$2:$A$21, Products!$C$2:$C$21)</f>
        <v>Computers</v>
      </c>
      <c r="H33">
        <f>_xlfn.XLOOKUP(D33, Products!$A$2:$A$21, Products!$E$2:$E$21, 0)</f>
        <v>399</v>
      </c>
      <c r="I33">
        <f>_xlfn.XLOOKUP(D33, Products!$A$2:$A$21, Products!$F$2:$F$21,0)</f>
        <v>290</v>
      </c>
      <c r="J33" t="str">
        <f>_xlfn.XLOOKUP(C33, Stores!$A$2:$A$7, Stores!$D$2:$D$7)</f>
        <v>Sydney South</v>
      </c>
      <c r="K33">
        <f t="shared" si="0"/>
        <v>399</v>
      </c>
      <c r="L33">
        <f t="shared" si="1"/>
        <v>109</v>
      </c>
    </row>
    <row r="34" spans="1:12">
      <c r="A34" t="s">
        <v>64</v>
      </c>
      <c r="B34" s="2">
        <v>46208</v>
      </c>
      <c r="C34" t="s">
        <v>19</v>
      </c>
      <c r="D34" t="s">
        <v>14</v>
      </c>
      <c r="E34">
        <v>1</v>
      </c>
      <c r="F34" t="str">
        <f>_xlfn.XLOOKUP(D34, Products!$A$2:$A$21, Products!$B$2:$B$21, "Not Found")</f>
        <v>Gaming Mouse</v>
      </c>
      <c r="G34" t="str">
        <f>_xlfn.XLOOKUP(D34, Products!$A$2:$A$21, Products!$C$2:$C$21)</f>
        <v>Accessories</v>
      </c>
      <c r="H34">
        <f>_xlfn.XLOOKUP(D34, Products!$A$2:$A$21, Products!$E$2:$E$21, 0)</f>
        <v>89</v>
      </c>
      <c r="I34">
        <f>_xlfn.XLOOKUP(D34, Products!$A$2:$A$21, Products!$F$2:$F$21,0)</f>
        <v>41</v>
      </c>
      <c r="J34" t="str">
        <f>_xlfn.XLOOKUP(C34, Stores!$A$2:$A$7, Stores!$D$2:$D$7)</f>
        <v>Sydney North</v>
      </c>
      <c r="K34">
        <f t="shared" si="0"/>
        <v>89</v>
      </c>
      <c r="L34">
        <f t="shared" si="1"/>
        <v>48</v>
      </c>
    </row>
    <row r="35" spans="1:12">
      <c r="A35" t="s">
        <v>65</v>
      </c>
      <c r="B35" s="2">
        <v>46208</v>
      </c>
      <c r="C35" t="s">
        <v>13</v>
      </c>
      <c r="D35" t="s">
        <v>54</v>
      </c>
      <c r="E35">
        <v>1</v>
      </c>
      <c r="F35" t="str">
        <f>_xlfn.XLOOKUP(D35, Products!$A$2:$A$21, Products!$B$2:$B$21, "Not Found")</f>
        <v>55in TV</v>
      </c>
      <c r="G35" t="str">
        <f>_xlfn.XLOOKUP(D35, Products!$A$2:$A$21, Products!$C$2:$C$21)</f>
        <v>TV</v>
      </c>
      <c r="H35">
        <f>_xlfn.XLOOKUP(D35, Products!$A$2:$A$21, Products!$E$2:$E$21, 0)</f>
        <v>1299</v>
      </c>
      <c r="I35">
        <f>_xlfn.XLOOKUP(D35, Products!$A$2:$A$21, Products!$F$2:$F$21,0)</f>
        <v>980</v>
      </c>
      <c r="J35" t="str">
        <f>_xlfn.XLOOKUP(C35, Stores!$A$2:$A$7, Stores!$D$2:$D$7)</f>
        <v>Sydney West</v>
      </c>
      <c r="K35">
        <f t="shared" si="0"/>
        <v>1299</v>
      </c>
      <c r="L35">
        <f t="shared" si="1"/>
        <v>319</v>
      </c>
    </row>
    <row r="36" spans="1:12">
      <c r="A36" t="s">
        <v>66</v>
      </c>
      <c r="B36" s="2">
        <v>46208</v>
      </c>
      <c r="C36" t="s">
        <v>16</v>
      </c>
      <c r="D36" t="s">
        <v>23</v>
      </c>
      <c r="E36">
        <v>1</v>
      </c>
      <c r="F36" t="str">
        <f>_xlfn.XLOOKUP(D36, Products!$A$2:$A$21, Products!$B$2:$B$21, "Not Found")</f>
        <v>Video Game</v>
      </c>
      <c r="G36" t="str">
        <f>_xlfn.XLOOKUP(D36, Products!$A$2:$A$21, Products!$C$2:$C$21)</f>
        <v>Gaming</v>
      </c>
      <c r="H36">
        <f>_xlfn.XLOOKUP(D36, Products!$A$2:$A$21, Products!$E$2:$E$21, 0)</f>
        <v>79</v>
      </c>
      <c r="I36">
        <f>_xlfn.XLOOKUP(D36, Products!$A$2:$A$21, Products!$F$2:$F$21,0)</f>
        <v>52</v>
      </c>
      <c r="J36" t="str">
        <f>_xlfn.XLOOKUP(C36, Stores!$A$2:$A$7, Stores!$D$2:$D$7)</f>
        <v>Sydney East</v>
      </c>
      <c r="K36">
        <f t="shared" si="0"/>
        <v>79</v>
      </c>
      <c r="L36">
        <f t="shared" si="1"/>
        <v>27</v>
      </c>
    </row>
    <row r="37" spans="1:12">
      <c r="A37" t="s">
        <v>67</v>
      </c>
      <c r="B37" s="2">
        <v>46208</v>
      </c>
      <c r="C37" t="s">
        <v>51</v>
      </c>
      <c r="D37" t="s">
        <v>44</v>
      </c>
      <c r="E37">
        <v>1</v>
      </c>
      <c r="F37" t="str">
        <f>_xlfn.XLOOKUP(D37, Products!$A$2:$A$21, Products!$B$2:$B$21, "Not Found")</f>
        <v>Smartphone 128GB</v>
      </c>
      <c r="G37" t="str">
        <f>_xlfn.XLOOKUP(D37, Products!$A$2:$A$21, Products!$C$2:$C$21)</f>
        <v>Phones</v>
      </c>
      <c r="H37">
        <f>_xlfn.XLOOKUP(D37, Products!$A$2:$A$21, Products!$E$2:$E$21, 0)</f>
        <v>1099</v>
      </c>
      <c r="I37">
        <f>_xlfn.XLOOKUP(D37, Products!$A$2:$A$21, Products!$F$2:$F$21,0)</f>
        <v>860</v>
      </c>
      <c r="J37" t="str">
        <f>_xlfn.XLOOKUP(C37, Stores!$A$2:$A$7, Stores!$D$2:$D$7)</f>
        <v>Sydney South</v>
      </c>
      <c r="K37">
        <f t="shared" si="0"/>
        <v>1099</v>
      </c>
      <c r="L37">
        <f t="shared" si="1"/>
        <v>239</v>
      </c>
    </row>
    <row r="38" spans="1:12">
      <c r="A38" t="s">
        <v>68</v>
      </c>
      <c r="B38" s="2">
        <v>46209</v>
      </c>
      <c r="C38" t="s">
        <v>19</v>
      </c>
      <c r="D38" t="s">
        <v>32</v>
      </c>
      <c r="E38">
        <v>2</v>
      </c>
      <c r="F38" t="str">
        <f>_xlfn.XLOOKUP(D38, Products!$A$2:$A$21, Products!$B$2:$B$21, "Not Found")</f>
        <v>USB-C Charger</v>
      </c>
      <c r="G38" t="str">
        <f>_xlfn.XLOOKUP(D38, Products!$A$2:$A$21, Products!$C$2:$C$21)</f>
        <v>Accessories</v>
      </c>
      <c r="H38">
        <f>_xlfn.XLOOKUP(D38, Products!$A$2:$A$21, Products!$E$2:$E$21, 0)</f>
        <v>49</v>
      </c>
      <c r="I38">
        <f>_xlfn.XLOOKUP(D38, Products!$A$2:$A$21, Products!$F$2:$F$21,0)</f>
        <v>14</v>
      </c>
      <c r="J38" t="str">
        <f>_xlfn.XLOOKUP(C38, Stores!$A$2:$A$7, Stores!$D$2:$D$7)</f>
        <v>Sydney North</v>
      </c>
      <c r="K38">
        <f t="shared" si="0"/>
        <v>98</v>
      </c>
      <c r="L38">
        <f t="shared" si="1"/>
        <v>70</v>
      </c>
    </row>
    <row r="39" spans="1:12">
      <c r="A39" t="s">
        <v>69</v>
      </c>
      <c r="B39" s="2">
        <v>46209</v>
      </c>
      <c r="C39" t="s">
        <v>25</v>
      </c>
      <c r="D39" t="s">
        <v>20</v>
      </c>
      <c r="E39">
        <v>1</v>
      </c>
      <c r="F39" t="str">
        <f>_xlfn.XLOOKUP(D39, Products!$A$2:$A$21, Products!$B$2:$B$21, "Not Found")</f>
        <v>Bluetooth Speaker</v>
      </c>
      <c r="G39" t="str">
        <f>_xlfn.XLOOKUP(D39, Products!$A$2:$A$21, Products!$C$2:$C$21)</f>
        <v>Audio</v>
      </c>
      <c r="H39">
        <f>_xlfn.XLOOKUP(D39, Products!$A$2:$A$21, Products!$E$2:$E$21, 0)</f>
        <v>179</v>
      </c>
      <c r="I39">
        <f>_xlfn.XLOOKUP(D39, Products!$A$2:$A$21, Products!$F$2:$F$21,0)</f>
        <v>95</v>
      </c>
      <c r="J39" t="str">
        <f>_xlfn.XLOOKUP(C39, Stores!$A$2:$A$7, Stores!$D$2:$D$7)</f>
        <v>Sydney South</v>
      </c>
      <c r="K39">
        <f t="shared" si="0"/>
        <v>179</v>
      </c>
      <c r="L39">
        <f t="shared" si="1"/>
        <v>84</v>
      </c>
    </row>
    <row r="40" spans="1:12">
      <c r="A40" t="s">
        <v>70</v>
      </c>
      <c r="B40" s="2">
        <v>46209</v>
      </c>
      <c r="C40" t="s">
        <v>22</v>
      </c>
      <c r="D40" t="s">
        <v>52</v>
      </c>
      <c r="E40">
        <v>1</v>
      </c>
      <c r="F40" t="str">
        <f>_xlfn.XLOOKUP(D40, Products!$A$2:$A$21, Products!$B$2:$B$21, "Not Found")</f>
        <v>Mech Keyboard</v>
      </c>
      <c r="G40" t="str">
        <f>_xlfn.XLOOKUP(D40, Products!$A$2:$A$21, Products!$C$2:$C$21)</f>
        <v>Accessories</v>
      </c>
      <c r="H40">
        <f>_xlfn.XLOOKUP(D40, Products!$A$2:$A$21, Products!$E$2:$E$21, 0)</f>
        <v>149</v>
      </c>
      <c r="I40">
        <f>_xlfn.XLOOKUP(D40, Products!$A$2:$A$21, Products!$F$2:$F$21,0)</f>
        <v>72</v>
      </c>
      <c r="J40" t="str">
        <f>_xlfn.XLOOKUP(C40, Stores!$A$2:$A$7, Stores!$D$2:$D$7)</f>
        <v>Sydney West</v>
      </c>
      <c r="K40">
        <f t="shared" si="0"/>
        <v>149</v>
      </c>
      <c r="L40">
        <f t="shared" si="1"/>
        <v>77</v>
      </c>
    </row>
    <row r="41" spans="1:12">
      <c r="A41" t="s">
        <v>71</v>
      </c>
      <c r="B41" s="2">
        <v>46209</v>
      </c>
      <c r="C41" t="s">
        <v>19</v>
      </c>
      <c r="D41" t="s">
        <v>23</v>
      </c>
      <c r="E41">
        <v>1</v>
      </c>
      <c r="F41" t="str">
        <f>_xlfn.XLOOKUP(D41, Products!$A$2:$A$21, Products!$B$2:$B$21, "Not Found")</f>
        <v>Video Game</v>
      </c>
      <c r="G41" t="str">
        <f>_xlfn.XLOOKUP(D41, Products!$A$2:$A$21, Products!$C$2:$C$21)</f>
        <v>Gaming</v>
      </c>
      <c r="H41">
        <f>_xlfn.XLOOKUP(D41, Products!$A$2:$A$21, Products!$E$2:$E$21, 0)</f>
        <v>79</v>
      </c>
      <c r="I41">
        <f>_xlfn.XLOOKUP(D41, Products!$A$2:$A$21, Products!$F$2:$F$21,0)</f>
        <v>52</v>
      </c>
      <c r="J41" t="str">
        <f>_xlfn.XLOOKUP(C41, Stores!$A$2:$A$7, Stores!$D$2:$D$7)</f>
        <v>Sydney North</v>
      </c>
      <c r="K41">
        <f t="shared" si="0"/>
        <v>79</v>
      </c>
      <c r="L41">
        <f t="shared" si="1"/>
        <v>27</v>
      </c>
    </row>
    <row r="42" spans="1:12">
      <c r="A42" t="s">
        <v>72</v>
      </c>
      <c r="B42" s="2">
        <v>46209</v>
      </c>
      <c r="C42" t="s">
        <v>25</v>
      </c>
      <c r="D42" t="s">
        <v>32</v>
      </c>
      <c r="E42">
        <v>2</v>
      </c>
      <c r="F42" t="str">
        <f>_xlfn.XLOOKUP(D42, Products!$A$2:$A$21, Products!$B$2:$B$21, "Not Found")</f>
        <v>USB-C Charger</v>
      </c>
      <c r="G42" t="str">
        <f>_xlfn.XLOOKUP(D42, Products!$A$2:$A$21, Products!$C$2:$C$21)</f>
        <v>Accessories</v>
      </c>
      <c r="H42">
        <f>_xlfn.XLOOKUP(D42, Products!$A$2:$A$21, Products!$E$2:$E$21, 0)</f>
        <v>49</v>
      </c>
      <c r="I42">
        <f>_xlfn.XLOOKUP(D42, Products!$A$2:$A$21, Products!$F$2:$F$21,0)</f>
        <v>14</v>
      </c>
      <c r="J42" t="str">
        <f>_xlfn.XLOOKUP(C42, Stores!$A$2:$A$7, Stores!$D$2:$D$7)</f>
        <v>Sydney South</v>
      </c>
      <c r="K42">
        <f t="shared" si="0"/>
        <v>98</v>
      </c>
      <c r="L42">
        <f t="shared" si="1"/>
        <v>70</v>
      </c>
    </row>
    <row r="43" spans="1:12">
      <c r="A43" t="s">
        <v>73</v>
      </c>
      <c r="B43" s="2">
        <v>46210</v>
      </c>
      <c r="C43" t="s">
        <v>13</v>
      </c>
      <c r="D43" t="s">
        <v>74</v>
      </c>
      <c r="E43">
        <v>1</v>
      </c>
      <c r="F43" t="str">
        <f>_xlfn.XLOOKUP(D43, Products!$A$2:$A$21, Products!$B$2:$B$21, "Not Found")</f>
        <v>Over-Ear Headphones</v>
      </c>
      <c r="G43" t="str">
        <f>_xlfn.XLOOKUP(D43, Products!$A$2:$A$21, Products!$C$2:$C$21)</f>
        <v>Audio</v>
      </c>
      <c r="H43">
        <f>_xlfn.XLOOKUP(D43, Products!$A$2:$A$21, Products!$E$2:$E$21, 0)</f>
        <v>499</v>
      </c>
      <c r="I43">
        <f>_xlfn.XLOOKUP(D43, Products!$A$2:$A$21, Products!$F$2:$F$21,0)</f>
        <v>310</v>
      </c>
      <c r="J43" t="str">
        <f>_xlfn.XLOOKUP(C43, Stores!$A$2:$A$7, Stores!$D$2:$D$7)</f>
        <v>Sydney West</v>
      </c>
      <c r="K43">
        <f t="shared" si="0"/>
        <v>499</v>
      </c>
      <c r="L43">
        <f t="shared" si="1"/>
        <v>189</v>
      </c>
    </row>
    <row r="44" spans="1:12">
      <c r="A44" t="s">
        <v>75</v>
      </c>
      <c r="B44" s="2">
        <v>46210</v>
      </c>
      <c r="C44" t="s">
        <v>22</v>
      </c>
      <c r="D44" t="s">
        <v>23</v>
      </c>
      <c r="E44">
        <v>1</v>
      </c>
      <c r="F44" t="str">
        <f>_xlfn.XLOOKUP(D44, Products!$A$2:$A$21, Products!$B$2:$B$21, "Not Found")</f>
        <v>Video Game</v>
      </c>
      <c r="G44" t="str">
        <f>_xlfn.XLOOKUP(D44, Products!$A$2:$A$21, Products!$C$2:$C$21)</f>
        <v>Gaming</v>
      </c>
      <c r="H44">
        <f>_xlfn.XLOOKUP(D44, Products!$A$2:$A$21, Products!$E$2:$E$21, 0)</f>
        <v>79</v>
      </c>
      <c r="I44">
        <f>_xlfn.XLOOKUP(D44, Products!$A$2:$A$21, Products!$F$2:$F$21,0)</f>
        <v>52</v>
      </c>
      <c r="J44" t="str">
        <f>_xlfn.XLOOKUP(C44, Stores!$A$2:$A$7, Stores!$D$2:$D$7)</f>
        <v>Sydney West</v>
      </c>
      <c r="K44">
        <f t="shared" si="0"/>
        <v>79</v>
      </c>
      <c r="L44">
        <f t="shared" si="1"/>
        <v>27</v>
      </c>
    </row>
    <row r="45" spans="1:12">
      <c r="A45" t="s">
        <v>76</v>
      </c>
      <c r="B45" s="2">
        <v>46210</v>
      </c>
      <c r="C45" t="s">
        <v>16</v>
      </c>
      <c r="D45" t="s">
        <v>29</v>
      </c>
      <c r="E45">
        <v>1</v>
      </c>
      <c r="F45" t="str">
        <f>_xlfn.XLOOKUP(D45, Products!$A$2:$A$21, Products!$B$2:$B$21, "Not Found")</f>
        <v>Phone Case</v>
      </c>
      <c r="G45" t="str">
        <f>_xlfn.XLOOKUP(D45, Products!$A$2:$A$21, Products!$C$2:$C$21)</f>
        <v>Accessories</v>
      </c>
      <c r="H45">
        <f>_xlfn.XLOOKUP(D45, Products!$A$2:$A$21, Products!$E$2:$E$21, 0)</f>
        <v>39</v>
      </c>
      <c r="I45">
        <f>_xlfn.XLOOKUP(D45, Products!$A$2:$A$21, Products!$F$2:$F$21,0)</f>
        <v>9</v>
      </c>
      <c r="J45" t="str">
        <f>_xlfn.XLOOKUP(C45, Stores!$A$2:$A$7, Stores!$D$2:$D$7)</f>
        <v>Sydney East</v>
      </c>
      <c r="K45">
        <f t="shared" si="0"/>
        <v>39</v>
      </c>
      <c r="L45">
        <f t="shared" si="1"/>
        <v>30</v>
      </c>
    </row>
    <row r="46" spans="1:12">
      <c r="A46" t="s">
        <v>77</v>
      </c>
      <c r="B46" s="2">
        <v>46210</v>
      </c>
      <c r="C46" t="s">
        <v>16</v>
      </c>
      <c r="D46" t="s">
        <v>44</v>
      </c>
      <c r="E46">
        <v>1</v>
      </c>
      <c r="F46" t="str">
        <f>_xlfn.XLOOKUP(D46, Products!$A$2:$A$21, Products!$B$2:$B$21, "Not Found")</f>
        <v>Smartphone 128GB</v>
      </c>
      <c r="G46" t="str">
        <f>_xlfn.XLOOKUP(D46, Products!$A$2:$A$21, Products!$C$2:$C$21)</f>
        <v>Phones</v>
      </c>
      <c r="H46">
        <f>_xlfn.XLOOKUP(D46, Products!$A$2:$A$21, Products!$E$2:$E$21, 0)</f>
        <v>1099</v>
      </c>
      <c r="I46">
        <f>_xlfn.XLOOKUP(D46, Products!$A$2:$A$21, Products!$F$2:$F$21,0)</f>
        <v>860</v>
      </c>
      <c r="J46" t="str">
        <f>_xlfn.XLOOKUP(C46, Stores!$A$2:$A$7, Stores!$D$2:$D$7)</f>
        <v>Sydney East</v>
      </c>
      <c r="K46">
        <f t="shared" si="0"/>
        <v>1099</v>
      </c>
      <c r="L46">
        <f t="shared" si="1"/>
        <v>239</v>
      </c>
    </row>
    <row r="47" spans="1:12">
      <c r="A47" t="s">
        <v>78</v>
      </c>
      <c r="B47" s="2">
        <v>46210</v>
      </c>
      <c r="C47" t="s">
        <v>13</v>
      </c>
      <c r="D47" t="s">
        <v>74</v>
      </c>
      <c r="E47">
        <v>1</v>
      </c>
      <c r="F47" t="str">
        <f>_xlfn.XLOOKUP(D47, Products!$A$2:$A$21, Products!$B$2:$B$21, "Not Found")</f>
        <v>Over-Ear Headphones</v>
      </c>
      <c r="G47" t="str">
        <f>_xlfn.XLOOKUP(D47, Products!$A$2:$A$21, Products!$C$2:$C$21)</f>
        <v>Audio</v>
      </c>
      <c r="H47">
        <f>_xlfn.XLOOKUP(D47, Products!$A$2:$A$21, Products!$E$2:$E$21, 0)</f>
        <v>499</v>
      </c>
      <c r="I47">
        <f>_xlfn.XLOOKUP(D47, Products!$A$2:$A$21, Products!$F$2:$F$21,0)</f>
        <v>310</v>
      </c>
      <c r="J47" t="str">
        <f>_xlfn.XLOOKUP(C47, Stores!$A$2:$A$7, Stores!$D$2:$D$7)</f>
        <v>Sydney West</v>
      </c>
      <c r="K47">
        <f t="shared" si="0"/>
        <v>499</v>
      </c>
      <c r="L47">
        <f t="shared" si="1"/>
        <v>189</v>
      </c>
    </row>
    <row r="48" spans="1:12">
      <c r="A48" t="s">
        <v>79</v>
      </c>
      <c r="B48" s="2">
        <v>46210</v>
      </c>
      <c r="C48" t="s">
        <v>22</v>
      </c>
      <c r="D48" t="s">
        <v>17</v>
      </c>
      <c r="E48">
        <v>3</v>
      </c>
      <c r="F48" t="str">
        <f>_xlfn.XLOOKUP(D48, Products!$A$2:$A$21, Products!$B$2:$B$21, "Not Found")</f>
        <v>Wireless Earbuds</v>
      </c>
      <c r="G48" t="str">
        <f>_xlfn.XLOOKUP(D48, Products!$A$2:$A$21, Products!$C$2:$C$21)</f>
        <v>Audio</v>
      </c>
      <c r="H48">
        <f>_xlfn.XLOOKUP(D48, Products!$A$2:$A$21, Products!$E$2:$E$21, 0)</f>
        <v>249</v>
      </c>
      <c r="I48">
        <f>_xlfn.XLOOKUP(D48, Products!$A$2:$A$21, Products!$F$2:$F$21,0)</f>
        <v>140</v>
      </c>
      <c r="J48" t="str">
        <f>_xlfn.XLOOKUP(C48, Stores!$A$2:$A$7, Stores!$D$2:$D$7)</f>
        <v>Sydney West</v>
      </c>
      <c r="K48">
        <f t="shared" si="0"/>
        <v>747</v>
      </c>
      <c r="L48">
        <f t="shared" si="1"/>
        <v>327</v>
      </c>
    </row>
    <row r="49" spans="1:12">
      <c r="A49" t="s">
        <v>80</v>
      </c>
      <c r="B49" s="2">
        <v>46210</v>
      </c>
      <c r="C49" t="s">
        <v>16</v>
      </c>
      <c r="D49" t="s">
        <v>81</v>
      </c>
      <c r="E49">
        <v>4</v>
      </c>
      <c r="F49" t="str">
        <f>_xlfn.XLOOKUP(D49, Products!$A$2:$A$21, Products!$B$2:$B$21, "Not Found")</f>
        <v>Laptop 16in</v>
      </c>
      <c r="G49" t="str">
        <f>_xlfn.XLOOKUP(D49, Products!$A$2:$A$21, Products!$C$2:$C$21)</f>
        <v>Computers</v>
      </c>
      <c r="H49">
        <f>_xlfn.XLOOKUP(D49, Products!$A$2:$A$21, Products!$E$2:$E$21, 0)</f>
        <v>1799</v>
      </c>
      <c r="I49">
        <f>_xlfn.XLOOKUP(D49, Products!$A$2:$A$21, Products!$F$2:$F$21,0)</f>
        <v>1390</v>
      </c>
      <c r="J49" t="str">
        <f>_xlfn.XLOOKUP(C49, Stores!$A$2:$A$7, Stores!$D$2:$D$7)</f>
        <v>Sydney East</v>
      </c>
      <c r="K49">
        <f t="shared" si="0"/>
        <v>7196</v>
      </c>
      <c r="L49">
        <f t="shared" si="1"/>
        <v>1636</v>
      </c>
    </row>
    <row r="50" spans="1:12">
      <c r="A50" t="s">
        <v>82</v>
      </c>
      <c r="B50" s="2">
        <v>46211</v>
      </c>
      <c r="C50" t="s">
        <v>51</v>
      </c>
      <c r="D50" t="s">
        <v>37</v>
      </c>
      <c r="E50">
        <v>1</v>
      </c>
      <c r="F50" t="str">
        <f>_xlfn.XLOOKUP(D50, Products!$A$2:$A$21, Products!$B$2:$B$21, "Not Found")</f>
        <v>Console Controller</v>
      </c>
      <c r="G50" t="str">
        <f>_xlfn.XLOOKUP(D50, Products!$A$2:$A$21, Products!$C$2:$C$21)</f>
        <v>Gaming</v>
      </c>
      <c r="H50">
        <f>_xlfn.XLOOKUP(D50, Products!$A$2:$A$21, Products!$E$2:$E$21, 0)</f>
        <v>99</v>
      </c>
      <c r="I50">
        <f>_xlfn.XLOOKUP(D50, Products!$A$2:$A$21, Products!$F$2:$F$21,0)</f>
        <v>58</v>
      </c>
      <c r="J50" t="str">
        <f>_xlfn.XLOOKUP(C50, Stores!$A$2:$A$7, Stores!$D$2:$D$7)</f>
        <v>Sydney South</v>
      </c>
      <c r="K50">
        <f t="shared" si="0"/>
        <v>99</v>
      </c>
      <c r="L50">
        <f t="shared" si="1"/>
        <v>41</v>
      </c>
    </row>
    <row r="51" spans="1:12">
      <c r="A51" t="s">
        <v>83</v>
      </c>
      <c r="B51" s="2">
        <v>46211</v>
      </c>
      <c r="C51" t="s">
        <v>16</v>
      </c>
      <c r="D51" t="s">
        <v>37</v>
      </c>
      <c r="E51">
        <v>1</v>
      </c>
      <c r="F51" t="str">
        <f>_xlfn.XLOOKUP(D51, Products!$A$2:$A$21, Products!$B$2:$B$21, "Not Found")</f>
        <v>Console Controller</v>
      </c>
      <c r="G51" t="str">
        <f>_xlfn.XLOOKUP(D51, Products!$A$2:$A$21, Products!$C$2:$C$21)</f>
        <v>Gaming</v>
      </c>
      <c r="H51">
        <f>_xlfn.XLOOKUP(D51, Products!$A$2:$A$21, Products!$E$2:$E$21, 0)</f>
        <v>99</v>
      </c>
      <c r="I51">
        <f>_xlfn.XLOOKUP(D51, Products!$A$2:$A$21, Products!$F$2:$F$21,0)</f>
        <v>58</v>
      </c>
      <c r="J51" t="str">
        <f>_xlfn.XLOOKUP(C51, Stores!$A$2:$A$7, Stores!$D$2:$D$7)</f>
        <v>Sydney East</v>
      </c>
      <c r="K51">
        <f t="shared" si="0"/>
        <v>99</v>
      </c>
      <c r="L51">
        <f t="shared" si="1"/>
        <v>41</v>
      </c>
    </row>
    <row r="52" spans="1:12">
      <c r="A52" t="s">
        <v>84</v>
      </c>
      <c r="B52" s="2">
        <v>46211</v>
      </c>
      <c r="C52" t="s">
        <v>19</v>
      </c>
      <c r="D52" t="s">
        <v>17</v>
      </c>
      <c r="E52">
        <v>1</v>
      </c>
      <c r="F52" t="str">
        <f>_xlfn.XLOOKUP(D52, Products!$A$2:$A$21, Products!$B$2:$B$21, "Not Found")</f>
        <v>Wireless Earbuds</v>
      </c>
      <c r="G52" t="str">
        <f>_xlfn.XLOOKUP(D52, Products!$A$2:$A$21, Products!$C$2:$C$21)</f>
        <v>Audio</v>
      </c>
      <c r="H52">
        <f>_xlfn.XLOOKUP(D52, Products!$A$2:$A$21, Products!$E$2:$E$21, 0)</f>
        <v>249</v>
      </c>
      <c r="I52">
        <f>_xlfn.XLOOKUP(D52, Products!$A$2:$A$21, Products!$F$2:$F$21,0)</f>
        <v>140</v>
      </c>
      <c r="J52" t="str">
        <f>_xlfn.XLOOKUP(C52, Stores!$A$2:$A$7, Stores!$D$2:$D$7)</f>
        <v>Sydney North</v>
      </c>
      <c r="K52">
        <f t="shared" si="0"/>
        <v>249</v>
      </c>
      <c r="L52">
        <f t="shared" si="1"/>
        <v>109</v>
      </c>
    </row>
    <row r="53" spans="1:12">
      <c r="A53" t="s">
        <v>85</v>
      </c>
      <c r="B53" s="2">
        <v>46211</v>
      </c>
      <c r="C53" t="s">
        <v>51</v>
      </c>
      <c r="D53" t="s">
        <v>20</v>
      </c>
      <c r="E53">
        <v>3</v>
      </c>
      <c r="F53" t="str">
        <f>_xlfn.XLOOKUP(D53, Products!$A$2:$A$21, Products!$B$2:$B$21, "Not Found")</f>
        <v>Bluetooth Speaker</v>
      </c>
      <c r="G53" t="str">
        <f>_xlfn.XLOOKUP(D53, Products!$A$2:$A$21, Products!$C$2:$C$21)</f>
        <v>Audio</v>
      </c>
      <c r="H53">
        <f>_xlfn.XLOOKUP(D53, Products!$A$2:$A$21, Products!$E$2:$E$21, 0)</f>
        <v>179</v>
      </c>
      <c r="I53">
        <f>_xlfn.XLOOKUP(D53, Products!$A$2:$A$21, Products!$F$2:$F$21,0)</f>
        <v>95</v>
      </c>
      <c r="J53" t="str">
        <f>_xlfn.XLOOKUP(C53, Stores!$A$2:$A$7, Stores!$D$2:$D$7)</f>
        <v>Sydney South</v>
      </c>
      <c r="K53">
        <f t="shared" si="0"/>
        <v>537</v>
      </c>
      <c r="L53">
        <f t="shared" si="1"/>
        <v>252</v>
      </c>
    </row>
    <row r="54" spans="1:12">
      <c r="A54" t="s">
        <v>86</v>
      </c>
      <c r="B54" s="2">
        <v>46211</v>
      </c>
      <c r="C54" t="s">
        <v>16</v>
      </c>
      <c r="D54" t="s">
        <v>81</v>
      </c>
      <c r="E54">
        <v>1</v>
      </c>
      <c r="F54" t="str">
        <f>_xlfn.XLOOKUP(D54, Products!$A$2:$A$21, Products!$B$2:$B$21, "Not Found")</f>
        <v>Laptop 16in</v>
      </c>
      <c r="G54" t="str">
        <f>_xlfn.XLOOKUP(D54, Products!$A$2:$A$21, Products!$C$2:$C$21)</f>
        <v>Computers</v>
      </c>
      <c r="H54">
        <f>_xlfn.XLOOKUP(D54, Products!$A$2:$A$21, Products!$E$2:$E$21, 0)</f>
        <v>1799</v>
      </c>
      <c r="I54">
        <f>_xlfn.XLOOKUP(D54, Products!$A$2:$A$21, Products!$F$2:$F$21,0)</f>
        <v>1390</v>
      </c>
      <c r="J54" t="str">
        <f>_xlfn.XLOOKUP(C54, Stores!$A$2:$A$7, Stores!$D$2:$D$7)</f>
        <v>Sydney East</v>
      </c>
      <c r="K54">
        <f t="shared" si="0"/>
        <v>1799</v>
      </c>
      <c r="L54">
        <f t="shared" si="1"/>
        <v>409</v>
      </c>
    </row>
    <row r="55" spans="1:12">
      <c r="A55" t="s">
        <v>87</v>
      </c>
      <c r="B55" s="2">
        <v>46211</v>
      </c>
      <c r="C55" t="s">
        <v>22</v>
      </c>
      <c r="D55" t="s">
        <v>32</v>
      </c>
      <c r="E55">
        <v>3</v>
      </c>
      <c r="F55" t="str">
        <f>_xlfn.XLOOKUP(D55, Products!$A$2:$A$21, Products!$B$2:$B$21, "Not Found")</f>
        <v>USB-C Charger</v>
      </c>
      <c r="G55" t="str">
        <f>_xlfn.XLOOKUP(D55, Products!$A$2:$A$21, Products!$C$2:$C$21)</f>
        <v>Accessories</v>
      </c>
      <c r="H55">
        <f>_xlfn.XLOOKUP(D55, Products!$A$2:$A$21, Products!$E$2:$E$21, 0)</f>
        <v>49</v>
      </c>
      <c r="I55">
        <f>_xlfn.XLOOKUP(D55, Products!$A$2:$A$21, Products!$F$2:$F$21,0)</f>
        <v>14</v>
      </c>
      <c r="J55" t="str">
        <f>_xlfn.XLOOKUP(C55, Stores!$A$2:$A$7, Stores!$D$2:$D$7)</f>
        <v>Sydney West</v>
      </c>
      <c r="K55">
        <f t="shared" si="0"/>
        <v>147</v>
      </c>
      <c r="L55">
        <f t="shared" si="1"/>
        <v>105</v>
      </c>
    </row>
    <row r="56" spans="1:12">
      <c r="A56" t="s">
        <v>88</v>
      </c>
      <c r="B56" s="2">
        <v>46211</v>
      </c>
      <c r="C56" t="s">
        <v>25</v>
      </c>
      <c r="D56" t="s">
        <v>44</v>
      </c>
      <c r="E56">
        <v>1</v>
      </c>
      <c r="F56" t="str">
        <f>_xlfn.XLOOKUP(D56, Products!$A$2:$A$21, Products!$B$2:$B$21, "Not Found")</f>
        <v>Smartphone 128GB</v>
      </c>
      <c r="G56" t="str">
        <f>_xlfn.XLOOKUP(D56, Products!$A$2:$A$21, Products!$C$2:$C$21)</f>
        <v>Phones</v>
      </c>
      <c r="H56">
        <f>_xlfn.XLOOKUP(D56, Products!$A$2:$A$21, Products!$E$2:$E$21, 0)</f>
        <v>1099</v>
      </c>
      <c r="I56">
        <f>_xlfn.XLOOKUP(D56, Products!$A$2:$A$21, Products!$F$2:$F$21,0)</f>
        <v>860</v>
      </c>
      <c r="J56" t="str">
        <f>_xlfn.XLOOKUP(C56, Stores!$A$2:$A$7, Stores!$D$2:$D$7)</f>
        <v>Sydney South</v>
      </c>
      <c r="K56">
        <f t="shared" si="0"/>
        <v>1099</v>
      </c>
      <c r="L56">
        <f t="shared" si="1"/>
        <v>239</v>
      </c>
    </row>
    <row r="57" spans="1:12">
      <c r="A57" t="s">
        <v>89</v>
      </c>
      <c r="B57" s="2">
        <v>46211</v>
      </c>
      <c r="C57" t="s">
        <v>22</v>
      </c>
      <c r="D57" t="s">
        <v>90</v>
      </c>
      <c r="E57">
        <v>1</v>
      </c>
      <c r="F57" t="str">
        <f>_xlfn.XLOOKUP(D57, Products!$A$2:$A$21, Products!$B$2:$B$21, "Not Found")</f>
        <v>Not Found</v>
      </c>
      <c r="G57" t="e">
        <f>_xlfn.XLOOKUP(D57, Products!$A$2:$A$21, Products!$C$2:$C$21)</f>
        <v>#N/A</v>
      </c>
      <c r="H57">
        <f>_xlfn.XLOOKUP(D57, Products!$A$2:$A$21, Products!$E$2:$E$21, 0)</f>
        <v>0</v>
      </c>
      <c r="I57">
        <f>_xlfn.XLOOKUP(D57, Products!$A$2:$A$21, Products!$F$2:$F$21,0)</f>
        <v>0</v>
      </c>
      <c r="J57" t="str">
        <f>_xlfn.XLOOKUP(C57, Stores!$A$2:$A$7, Stores!$D$2:$D$7)</f>
        <v>Sydney West</v>
      </c>
      <c r="K57">
        <f t="shared" si="0"/>
        <v>0</v>
      </c>
      <c r="L57">
        <f t="shared" si="1"/>
        <v>0</v>
      </c>
    </row>
    <row r="58" spans="1:12">
      <c r="A58" t="s">
        <v>91</v>
      </c>
      <c r="B58" s="2">
        <v>46211</v>
      </c>
      <c r="C58" t="s">
        <v>13</v>
      </c>
      <c r="D58" t="s">
        <v>52</v>
      </c>
      <c r="E58">
        <v>1</v>
      </c>
      <c r="F58" t="str">
        <f>_xlfn.XLOOKUP(D58, Products!$A$2:$A$21, Products!$B$2:$B$21, "Not Found")</f>
        <v>Mech Keyboard</v>
      </c>
      <c r="G58" t="str">
        <f>_xlfn.XLOOKUP(D58, Products!$A$2:$A$21, Products!$C$2:$C$21)</f>
        <v>Accessories</v>
      </c>
      <c r="H58">
        <f>_xlfn.XLOOKUP(D58, Products!$A$2:$A$21, Products!$E$2:$E$21, 0)</f>
        <v>149</v>
      </c>
      <c r="I58">
        <f>_xlfn.XLOOKUP(D58, Products!$A$2:$A$21, Products!$F$2:$F$21,0)</f>
        <v>72</v>
      </c>
      <c r="J58" t="str">
        <f>_xlfn.XLOOKUP(C58, Stores!$A$2:$A$7, Stores!$D$2:$D$7)</f>
        <v>Sydney West</v>
      </c>
      <c r="K58">
        <f t="shared" si="0"/>
        <v>149</v>
      </c>
      <c r="L58">
        <f t="shared" si="1"/>
        <v>77</v>
      </c>
    </row>
    <row r="59" spans="1:12">
      <c r="A59" t="s">
        <v>92</v>
      </c>
      <c r="B59" s="2">
        <v>46211</v>
      </c>
      <c r="C59" t="s">
        <v>22</v>
      </c>
      <c r="D59" t="s">
        <v>93</v>
      </c>
      <c r="E59">
        <v>2</v>
      </c>
      <c r="F59" t="str">
        <f>_xlfn.XLOOKUP(D59, Products!$A$2:$A$21, Products!$B$2:$B$21, "Not Found")</f>
        <v>Smartphone 256GB</v>
      </c>
      <c r="G59" t="str">
        <f>_xlfn.XLOOKUP(D59, Products!$A$2:$A$21, Products!$C$2:$C$21)</f>
        <v>Phones</v>
      </c>
      <c r="H59">
        <f>_xlfn.XLOOKUP(D59, Products!$A$2:$A$21, Products!$E$2:$E$21, 0)</f>
        <v>1499</v>
      </c>
      <c r="I59">
        <f>_xlfn.XLOOKUP(D59, Products!$A$2:$A$21, Products!$F$2:$F$21,0)</f>
        <v>1180</v>
      </c>
      <c r="J59" t="str">
        <f>_xlfn.XLOOKUP(C59, Stores!$A$2:$A$7, Stores!$D$2:$D$7)</f>
        <v>Sydney West</v>
      </c>
      <c r="K59">
        <f t="shared" si="0"/>
        <v>2998</v>
      </c>
      <c r="L59">
        <f t="shared" si="1"/>
        <v>638</v>
      </c>
    </row>
    <row r="60" spans="1:12">
      <c r="A60" t="s">
        <v>94</v>
      </c>
      <c r="B60" s="2">
        <v>46211</v>
      </c>
      <c r="C60" t="s">
        <v>51</v>
      </c>
      <c r="D60" t="s">
        <v>54</v>
      </c>
      <c r="E60">
        <v>2</v>
      </c>
      <c r="F60" t="str">
        <f>_xlfn.XLOOKUP(D60, Products!$A$2:$A$21, Products!$B$2:$B$21, "Not Found")</f>
        <v>55in TV</v>
      </c>
      <c r="G60" t="str">
        <f>_xlfn.XLOOKUP(D60, Products!$A$2:$A$21, Products!$C$2:$C$21)</f>
        <v>TV</v>
      </c>
      <c r="H60">
        <f>_xlfn.XLOOKUP(D60, Products!$A$2:$A$21, Products!$E$2:$E$21, 0)</f>
        <v>1299</v>
      </c>
      <c r="I60">
        <f>_xlfn.XLOOKUP(D60, Products!$A$2:$A$21, Products!$F$2:$F$21,0)</f>
        <v>980</v>
      </c>
      <c r="J60" t="str">
        <f>_xlfn.XLOOKUP(C60, Stores!$A$2:$A$7, Stores!$D$2:$D$7)</f>
        <v>Sydney South</v>
      </c>
      <c r="K60">
        <f t="shared" si="0"/>
        <v>2598</v>
      </c>
      <c r="L60">
        <f t="shared" si="1"/>
        <v>638</v>
      </c>
    </row>
    <row r="61" spans="1:12">
      <c r="A61" t="s">
        <v>95</v>
      </c>
      <c r="B61" s="2">
        <v>46211</v>
      </c>
      <c r="C61" t="s">
        <v>16</v>
      </c>
      <c r="D61" t="s">
        <v>32</v>
      </c>
      <c r="E61">
        <v>1</v>
      </c>
      <c r="F61" t="str">
        <f>_xlfn.XLOOKUP(D61, Products!$A$2:$A$21, Products!$B$2:$B$21, "Not Found")</f>
        <v>USB-C Charger</v>
      </c>
      <c r="G61" t="str">
        <f>_xlfn.XLOOKUP(D61, Products!$A$2:$A$21, Products!$C$2:$C$21)</f>
        <v>Accessories</v>
      </c>
      <c r="H61">
        <f>_xlfn.XLOOKUP(D61, Products!$A$2:$A$21, Products!$E$2:$E$21, 0)</f>
        <v>49</v>
      </c>
      <c r="I61">
        <f>_xlfn.XLOOKUP(D61, Products!$A$2:$A$21, Products!$F$2:$F$21,0)</f>
        <v>14</v>
      </c>
      <c r="J61" t="str">
        <f>_xlfn.XLOOKUP(C61, Stores!$A$2:$A$7, Stores!$D$2:$D$7)</f>
        <v>Sydney East</v>
      </c>
      <c r="K61">
        <f t="shared" si="0"/>
        <v>49</v>
      </c>
      <c r="L61">
        <f t="shared" si="1"/>
        <v>35</v>
      </c>
    </row>
    <row r="62" spans="1:12">
      <c r="A62" t="s">
        <v>96</v>
      </c>
      <c r="B62" s="2">
        <v>46211</v>
      </c>
      <c r="C62" t="s">
        <v>51</v>
      </c>
      <c r="D62" t="s">
        <v>17</v>
      </c>
      <c r="E62">
        <v>1</v>
      </c>
      <c r="F62" t="str">
        <f>_xlfn.XLOOKUP(D62, Products!$A$2:$A$21, Products!$B$2:$B$21, "Not Found")</f>
        <v>Wireless Earbuds</v>
      </c>
      <c r="G62" t="str">
        <f>_xlfn.XLOOKUP(D62, Products!$A$2:$A$21, Products!$C$2:$C$21)</f>
        <v>Audio</v>
      </c>
      <c r="H62">
        <f>_xlfn.XLOOKUP(D62, Products!$A$2:$A$21, Products!$E$2:$E$21, 0)</f>
        <v>249</v>
      </c>
      <c r="I62">
        <f>_xlfn.XLOOKUP(D62, Products!$A$2:$A$21, Products!$F$2:$F$21,0)</f>
        <v>140</v>
      </c>
      <c r="J62" t="str">
        <f>_xlfn.XLOOKUP(C62, Stores!$A$2:$A$7, Stores!$D$2:$D$7)</f>
        <v>Sydney South</v>
      </c>
      <c r="K62">
        <f t="shared" si="0"/>
        <v>249</v>
      </c>
      <c r="L62">
        <f t="shared" si="1"/>
        <v>109</v>
      </c>
    </row>
    <row r="63" spans="1:12">
      <c r="A63" t="s">
        <v>97</v>
      </c>
      <c r="B63" s="2">
        <v>46212</v>
      </c>
      <c r="C63" t="s">
        <v>51</v>
      </c>
      <c r="D63" t="s">
        <v>17</v>
      </c>
      <c r="E63">
        <v>1</v>
      </c>
      <c r="F63" t="str">
        <f>_xlfn.XLOOKUP(D63, Products!$A$2:$A$21, Products!$B$2:$B$21, "Not Found")</f>
        <v>Wireless Earbuds</v>
      </c>
      <c r="G63" t="str">
        <f>_xlfn.XLOOKUP(D63, Products!$A$2:$A$21, Products!$C$2:$C$21)</f>
        <v>Audio</v>
      </c>
      <c r="H63">
        <f>_xlfn.XLOOKUP(D63, Products!$A$2:$A$21, Products!$E$2:$E$21, 0)</f>
        <v>249</v>
      </c>
      <c r="I63">
        <f>_xlfn.XLOOKUP(D63, Products!$A$2:$A$21, Products!$F$2:$F$21,0)</f>
        <v>140</v>
      </c>
      <c r="J63" t="str">
        <f>_xlfn.XLOOKUP(C63, Stores!$A$2:$A$7, Stores!$D$2:$D$7)</f>
        <v>Sydney South</v>
      </c>
      <c r="K63">
        <f t="shared" si="0"/>
        <v>249</v>
      </c>
      <c r="L63">
        <f t="shared" si="1"/>
        <v>109</v>
      </c>
    </row>
    <row r="64" spans="1:12">
      <c r="A64" t="s">
        <v>98</v>
      </c>
      <c r="B64" s="2">
        <v>46212</v>
      </c>
      <c r="C64" t="s">
        <v>13</v>
      </c>
      <c r="D64" t="s">
        <v>37</v>
      </c>
      <c r="E64">
        <v>1</v>
      </c>
      <c r="F64" t="str">
        <f>_xlfn.XLOOKUP(D64, Products!$A$2:$A$21, Products!$B$2:$B$21, "Not Found")</f>
        <v>Console Controller</v>
      </c>
      <c r="G64" t="str">
        <f>_xlfn.XLOOKUP(D64, Products!$A$2:$A$21, Products!$C$2:$C$21)</f>
        <v>Gaming</v>
      </c>
      <c r="H64">
        <f>_xlfn.XLOOKUP(D64, Products!$A$2:$A$21, Products!$E$2:$E$21, 0)</f>
        <v>99</v>
      </c>
      <c r="I64">
        <f>_xlfn.XLOOKUP(D64, Products!$A$2:$A$21, Products!$F$2:$F$21,0)</f>
        <v>58</v>
      </c>
      <c r="J64" t="str">
        <f>_xlfn.XLOOKUP(C64, Stores!$A$2:$A$7, Stores!$D$2:$D$7)</f>
        <v>Sydney West</v>
      </c>
      <c r="K64">
        <f t="shared" si="0"/>
        <v>99</v>
      </c>
      <c r="L64">
        <f t="shared" si="1"/>
        <v>41</v>
      </c>
    </row>
    <row r="65" spans="1:12">
      <c r="A65" t="s">
        <v>99</v>
      </c>
      <c r="B65" s="2">
        <v>46212</v>
      </c>
      <c r="C65" t="s">
        <v>19</v>
      </c>
      <c r="D65" t="s">
        <v>100</v>
      </c>
      <c r="E65">
        <v>2</v>
      </c>
      <c r="F65" t="str">
        <f>_xlfn.XLOOKUP(D65, Products!$A$2:$A$21, Products!$B$2:$B$21, "Not Found")</f>
        <v>Laptop 14in</v>
      </c>
      <c r="G65" t="str">
        <f>_xlfn.XLOOKUP(D65, Products!$A$2:$A$21, Products!$C$2:$C$21)</f>
        <v>Computers</v>
      </c>
      <c r="H65">
        <f>_xlfn.XLOOKUP(D65, Products!$A$2:$A$21, Products!$E$2:$E$21, 0)</f>
        <v>1199</v>
      </c>
      <c r="I65">
        <f>_xlfn.XLOOKUP(D65, Products!$A$2:$A$21, Products!$F$2:$F$21,0)</f>
        <v>930</v>
      </c>
      <c r="J65" t="str">
        <f>_xlfn.XLOOKUP(C65, Stores!$A$2:$A$7, Stores!$D$2:$D$7)</f>
        <v>Sydney North</v>
      </c>
      <c r="K65">
        <f t="shared" si="0"/>
        <v>2398</v>
      </c>
      <c r="L65">
        <f t="shared" si="1"/>
        <v>538</v>
      </c>
    </row>
    <row r="66" spans="1:12">
      <c r="A66" t="s">
        <v>101</v>
      </c>
      <c r="B66" s="2">
        <v>46212</v>
      </c>
      <c r="C66" t="s">
        <v>25</v>
      </c>
      <c r="D66" t="s">
        <v>37</v>
      </c>
      <c r="E66">
        <v>1</v>
      </c>
      <c r="F66" t="str">
        <f>_xlfn.XLOOKUP(D66, Products!$A$2:$A$21, Products!$B$2:$B$21, "Not Found")</f>
        <v>Console Controller</v>
      </c>
      <c r="G66" t="str">
        <f>_xlfn.XLOOKUP(D66, Products!$A$2:$A$21, Products!$C$2:$C$21)</f>
        <v>Gaming</v>
      </c>
      <c r="H66">
        <f>_xlfn.XLOOKUP(D66, Products!$A$2:$A$21, Products!$E$2:$E$21, 0)</f>
        <v>99</v>
      </c>
      <c r="I66">
        <f>_xlfn.XLOOKUP(D66, Products!$A$2:$A$21, Products!$F$2:$F$21,0)</f>
        <v>58</v>
      </c>
      <c r="J66" t="str">
        <f>_xlfn.XLOOKUP(C66, Stores!$A$2:$A$7, Stores!$D$2:$D$7)</f>
        <v>Sydney South</v>
      </c>
      <c r="K66">
        <f t="shared" si="0"/>
        <v>99</v>
      </c>
      <c r="L66">
        <f t="shared" si="1"/>
        <v>41</v>
      </c>
    </row>
    <row r="67" spans="1:12">
      <c r="A67" t="s">
        <v>102</v>
      </c>
      <c r="B67" s="2">
        <v>46212</v>
      </c>
      <c r="C67" t="s">
        <v>13</v>
      </c>
      <c r="D67" t="s">
        <v>32</v>
      </c>
      <c r="E67">
        <v>1</v>
      </c>
      <c r="F67" t="str">
        <f>_xlfn.XLOOKUP(D67, Products!$A$2:$A$21, Products!$B$2:$B$21, "Not Found")</f>
        <v>USB-C Charger</v>
      </c>
      <c r="G67" t="str">
        <f>_xlfn.XLOOKUP(D67, Products!$A$2:$A$21, Products!$C$2:$C$21)</f>
        <v>Accessories</v>
      </c>
      <c r="H67">
        <f>_xlfn.XLOOKUP(D67, Products!$A$2:$A$21, Products!$E$2:$E$21, 0)</f>
        <v>49</v>
      </c>
      <c r="I67">
        <f>_xlfn.XLOOKUP(D67, Products!$A$2:$A$21, Products!$F$2:$F$21,0)</f>
        <v>14</v>
      </c>
      <c r="J67" t="str">
        <f>_xlfn.XLOOKUP(C67, Stores!$A$2:$A$7, Stores!$D$2:$D$7)</f>
        <v>Sydney West</v>
      </c>
      <c r="K67">
        <f t="shared" ref="K67:K130" si="2" xml:space="preserve"> E67*H67</f>
        <v>49</v>
      </c>
      <c r="L67">
        <f t="shared" ref="L67:L130" si="3" xml:space="preserve"> K67 - (E67 * I67)</f>
        <v>35</v>
      </c>
    </row>
    <row r="68" spans="1:12">
      <c r="A68" t="s">
        <v>103</v>
      </c>
      <c r="B68" s="2">
        <v>46212</v>
      </c>
      <c r="C68" t="s">
        <v>51</v>
      </c>
      <c r="D68" t="s">
        <v>23</v>
      </c>
      <c r="E68">
        <v>1</v>
      </c>
      <c r="F68" t="str">
        <f>_xlfn.XLOOKUP(D68, Products!$A$2:$A$21, Products!$B$2:$B$21, "Not Found")</f>
        <v>Video Game</v>
      </c>
      <c r="G68" t="str">
        <f>_xlfn.XLOOKUP(D68, Products!$A$2:$A$21, Products!$C$2:$C$21)</f>
        <v>Gaming</v>
      </c>
      <c r="H68">
        <f>_xlfn.XLOOKUP(D68, Products!$A$2:$A$21, Products!$E$2:$E$21, 0)</f>
        <v>79</v>
      </c>
      <c r="I68">
        <f>_xlfn.XLOOKUP(D68, Products!$A$2:$A$21, Products!$F$2:$F$21,0)</f>
        <v>52</v>
      </c>
      <c r="J68" t="str">
        <f>_xlfn.XLOOKUP(C68, Stores!$A$2:$A$7, Stores!$D$2:$D$7)</f>
        <v>Sydney South</v>
      </c>
      <c r="K68">
        <f t="shared" si="2"/>
        <v>79</v>
      </c>
      <c r="L68">
        <f t="shared" si="3"/>
        <v>27</v>
      </c>
    </row>
    <row r="69" spans="1:12">
      <c r="A69" t="s">
        <v>104</v>
      </c>
      <c r="B69" s="2">
        <v>46212</v>
      </c>
      <c r="C69" t="s">
        <v>16</v>
      </c>
      <c r="D69" t="s">
        <v>32</v>
      </c>
      <c r="E69">
        <v>3</v>
      </c>
      <c r="F69" t="str">
        <f>_xlfn.XLOOKUP(D69, Products!$A$2:$A$21, Products!$B$2:$B$21, "Not Found")</f>
        <v>USB-C Charger</v>
      </c>
      <c r="G69" t="str">
        <f>_xlfn.XLOOKUP(D69, Products!$A$2:$A$21, Products!$C$2:$C$21)</f>
        <v>Accessories</v>
      </c>
      <c r="H69">
        <f>_xlfn.XLOOKUP(D69, Products!$A$2:$A$21, Products!$E$2:$E$21, 0)</f>
        <v>49</v>
      </c>
      <c r="I69">
        <f>_xlfn.XLOOKUP(D69, Products!$A$2:$A$21, Products!$F$2:$F$21,0)</f>
        <v>14</v>
      </c>
      <c r="J69" t="str">
        <f>_xlfn.XLOOKUP(C69, Stores!$A$2:$A$7, Stores!$D$2:$D$7)</f>
        <v>Sydney East</v>
      </c>
      <c r="K69">
        <f t="shared" si="2"/>
        <v>147</v>
      </c>
      <c r="L69">
        <f t="shared" si="3"/>
        <v>105</v>
      </c>
    </row>
    <row r="70" spans="1:12">
      <c r="A70" t="s">
        <v>105</v>
      </c>
      <c r="B70" s="2">
        <v>46212</v>
      </c>
      <c r="C70" t="s">
        <v>22</v>
      </c>
      <c r="D70" t="s">
        <v>29</v>
      </c>
      <c r="E70">
        <v>1</v>
      </c>
      <c r="F70" t="str">
        <f>_xlfn.XLOOKUP(D70, Products!$A$2:$A$21, Products!$B$2:$B$21, "Not Found")</f>
        <v>Phone Case</v>
      </c>
      <c r="G70" t="str">
        <f>_xlfn.XLOOKUP(D70, Products!$A$2:$A$21, Products!$C$2:$C$21)</f>
        <v>Accessories</v>
      </c>
      <c r="H70">
        <f>_xlfn.XLOOKUP(D70, Products!$A$2:$A$21, Products!$E$2:$E$21, 0)</f>
        <v>39</v>
      </c>
      <c r="I70">
        <f>_xlfn.XLOOKUP(D70, Products!$A$2:$A$21, Products!$F$2:$F$21,0)</f>
        <v>9</v>
      </c>
      <c r="J70" t="str">
        <f>_xlfn.XLOOKUP(C70, Stores!$A$2:$A$7, Stores!$D$2:$D$7)</f>
        <v>Sydney West</v>
      </c>
      <c r="K70">
        <f t="shared" si="2"/>
        <v>39</v>
      </c>
      <c r="L70">
        <f t="shared" si="3"/>
        <v>30</v>
      </c>
    </row>
    <row r="71" spans="1:12">
      <c r="A71" t="s">
        <v>106</v>
      </c>
      <c r="B71" s="2">
        <v>46212</v>
      </c>
      <c r="C71" t="s">
        <v>22</v>
      </c>
      <c r="D71" t="s">
        <v>52</v>
      </c>
      <c r="E71">
        <v>3</v>
      </c>
      <c r="F71" t="str">
        <f>_xlfn.XLOOKUP(D71, Products!$A$2:$A$21, Products!$B$2:$B$21, "Not Found")</f>
        <v>Mech Keyboard</v>
      </c>
      <c r="G71" t="str">
        <f>_xlfn.XLOOKUP(D71, Products!$A$2:$A$21, Products!$C$2:$C$21)</f>
        <v>Accessories</v>
      </c>
      <c r="H71">
        <f>_xlfn.XLOOKUP(D71, Products!$A$2:$A$21, Products!$E$2:$E$21, 0)</f>
        <v>149</v>
      </c>
      <c r="I71">
        <f>_xlfn.XLOOKUP(D71, Products!$A$2:$A$21, Products!$F$2:$F$21,0)</f>
        <v>72</v>
      </c>
      <c r="J71" t="str">
        <f>_xlfn.XLOOKUP(C71, Stores!$A$2:$A$7, Stores!$D$2:$D$7)</f>
        <v>Sydney West</v>
      </c>
      <c r="K71">
        <f t="shared" si="2"/>
        <v>447</v>
      </c>
      <c r="L71">
        <f t="shared" si="3"/>
        <v>231</v>
      </c>
    </row>
    <row r="72" spans="1:12">
      <c r="A72" t="s">
        <v>107</v>
      </c>
      <c r="B72" s="2">
        <v>46212</v>
      </c>
      <c r="C72" t="s">
        <v>25</v>
      </c>
      <c r="D72" t="s">
        <v>29</v>
      </c>
      <c r="E72">
        <v>1</v>
      </c>
      <c r="F72" t="str">
        <f>_xlfn.XLOOKUP(D72, Products!$A$2:$A$21, Products!$B$2:$B$21, "Not Found")</f>
        <v>Phone Case</v>
      </c>
      <c r="G72" t="str">
        <f>_xlfn.XLOOKUP(D72, Products!$A$2:$A$21, Products!$C$2:$C$21)</f>
        <v>Accessories</v>
      </c>
      <c r="H72">
        <f>_xlfn.XLOOKUP(D72, Products!$A$2:$A$21, Products!$E$2:$E$21, 0)</f>
        <v>39</v>
      </c>
      <c r="I72">
        <f>_xlfn.XLOOKUP(D72, Products!$A$2:$A$21, Products!$F$2:$F$21,0)</f>
        <v>9</v>
      </c>
      <c r="J72" t="str">
        <f>_xlfn.XLOOKUP(C72, Stores!$A$2:$A$7, Stores!$D$2:$D$7)</f>
        <v>Sydney South</v>
      </c>
      <c r="K72">
        <f t="shared" si="2"/>
        <v>39</v>
      </c>
      <c r="L72">
        <f t="shared" si="3"/>
        <v>30</v>
      </c>
    </row>
    <row r="73" spans="1:12">
      <c r="A73" t="s">
        <v>108</v>
      </c>
      <c r="B73" s="2">
        <v>46212</v>
      </c>
      <c r="C73" t="s">
        <v>13</v>
      </c>
      <c r="D73" t="s">
        <v>14</v>
      </c>
      <c r="E73">
        <v>2</v>
      </c>
      <c r="F73" t="str">
        <f>_xlfn.XLOOKUP(D73, Products!$A$2:$A$21, Products!$B$2:$B$21, "Not Found")</f>
        <v>Gaming Mouse</v>
      </c>
      <c r="G73" t="str">
        <f>_xlfn.XLOOKUP(D73, Products!$A$2:$A$21, Products!$C$2:$C$21)</f>
        <v>Accessories</v>
      </c>
      <c r="H73">
        <f>_xlfn.XLOOKUP(D73, Products!$A$2:$A$21, Products!$E$2:$E$21, 0)</f>
        <v>89</v>
      </c>
      <c r="I73">
        <f>_xlfn.XLOOKUP(D73, Products!$A$2:$A$21, Products!$F$2:$F$21,0)</f>
        <v>41</v>
      </c>
      <c r="J73" t="str">
        <f>_xlfn.XLOOKUP(C73, Stores!$A$2:$A$7, Stores!$D$2:$D$7)</f>
        <v>Sydney West</v>
      </c>
      <c r="K73">
        <f t="shared" si="2"/>
        <v>178</v>
      </c>
      <c r="L73">
        <f t="shared" si="3"/>
        <v>96</v>
      </c>
    </row>
    <row r="74" spans="1:12">
      <c r="A74" t="s">
        <v>109</v>
      </c>
      <c r="B74" s="2">
        <v>46212</v>
      </c>
      <c r="C74" t="s">
        <v>51</v>
      </c>
      <c r="D74" t="s">
        <v>20</v>
      </c>
      <c r="E74">
        <v>2</v>
      </c>
      <c r="F74" t="str">
        <f>_xlfn.XLOOKUP(D74, Products!$A$2:$A$21, Products!$B$2:$B$21, "Not Found")</f>
        <v>Bluetooth Speaker</v>
      </c>
      <c r="G74" t="str">
        <f>_xlfn.XLOOKUP(D74, Products!$A$2:$A$21, Products!$C$2:$C$21)</f>
        <v>Audio</v>
      </c>
      <c r="H74">
        <f>_xlfn.XLOOKUP(D74, Products!$A$2:$A$21, Products!$E$2:$E$21, 0)</f>
        <v>179</v>
      </c>
      <c r="I74">
        <f>_xlfn.XLOOKUP(D74, Products!$A$2:$A$21, Products!$F$2:$F$21,0)</f>
        <v>95</v>
      </c>
      <c r="J74" t="str">
        <f>_xlfn.XLOOKUP(C74, Stores!$A$2:$A$7, Stores!$D$2:$D$7)</f>
        <v>Sydney South</v>
      </c>
      <c r="K74">
        <f t="shared" si="2"/>
        <v>358</v>
      </c>
      <c r="L74">
        <f t="shared" si="3"/>
        <v>168</v>
      </c>
    </row>
    <row r="75" spans="1:12">
      <c r="A75" t="s">
        <v>110</v>
      </c>
      <c r="B75" s="2">
        <v>46213</v>
      </c>
      <c r="C75" t="s">
        <v>13</v>
      </c>
      <c r="D75" t="s">
        <v>23</v>
      </c>
      <c r="E75">
        <v>1</v>
      </c>
      <c r="F75" t="str">
        <f>_xlfn.XLOOKUP(D75, Products!$A$2:$A$21, Products!$B$2:$B$21, "Not Found")</f>
        <v>Video Game</v>
      </c>
      <c r="G75" t="str">
        <f>_xlfn.XLOOKUP(D75, Products!$A$2:$A$21, Products!$C$2:$C$21)</f>
        <v>Gaming</v>
      </c>
      <c r="H75">
        <f>_xlfn.XLOOKUP(D75, Products!$A$2:$A$21, Products!$E$2:$E$21, 0)</f>
        <v>79</v>
      </c>
      <c r="I75">
        <f>_xlfn.XLOOKUP(D75, Products!$A$2:$A$21, Products!$F$2:$F$21,0)</f>
        <v>52</v>
      </c>
      <c r="J75" t="str">
        <f>_xlfn.XLOOKUP(C75, Stores!$A$2:$A$7, Stores!$D$2:$D$7)</f>
        <v>Sydney West</v>
      </c>
      <c r="K75">
        <f t="shared" si="2"/>
        <v>79</v>
      </c>
      <c r="L75">
        <f t="shared" si="3"/>
        <v>27</v>
      </c>
    </row>
    <row r="76" spans="1:12">
      <c r="A76" t="s">
        <v>111</v>
      </c>
      <c r="B76" s="2">
        <v>46213</v>
      </c>
      <c r="C76" t="s">
        <v>16</v>
      </c>
      <c r="D76" t="s">
        <v>32</v>
      </c>
      <c r="E76">
        <v>1</v>
      </c>
      <c r="F76" t="str">
        <f>_xlfn.XLOOKUP(D76, Products!$A$2:$A$21, Products!$B$2:$B$21, "Not Found")</f>
        <v>USB-C Charger</v>
      </c>
      <c r="G76" t="str">
        <f>_xlfn.XLOOKUP(D76, Products!$A$2:$A$21, Products!$C$2:$C$21)</f>
        <v>Accessories</v>
      </c>
      <c r="H76">
        <f>_xlfn.XLOOKUP(D76, Products!$A$2:$A$21, Products!$E$2:$E$21, 0)</f>
        <v>49</v>
      </c>
      <c r="I76">
        <f>_xlfn.XLOOKUP(D76, Products!$A$2:$A$21, Products!$F$2:$F$21,0)</f>
        <v>14</v>
      </c>
      <c r="J76" t="str">
        <f>_xlfn.XLOOKUP(C76, Stores!$A$2:$A$7, Stores!$D$2:$D$7)</f>
        <v>Sydney East</v>
      </c>
      <c r="K76">
        <f t="shared" si="2"/>
        <v>49</v>
      </c>
      <c r="L76">
        <f t="shared" si="3"/>
        <v>35</v>
      </c>
    </row>
    <row r="77" spans="1:12">
      <c r="A77" t="s">
        <v>112</v>
      </c>
      <c r="B77" s="2">
        <v>46213</v>
      </c>
      <c r="C77" t="s">
        <v>22</v>
      </c>
      <c r="D77" t="s">
        <v>37</v>
      </c>
      <c r="E77">
        <v>1</v>
      </c>
      <c r="F77" t="str">
        <f>_xlfn.XLOOKUP(D77, Products!$A$2:$A$21, Products!$B$2:$B$21, "Not Found")</f>
        <v>Console Controller</v>
      </c>
      <c r="G77" t="str">
        <f>_xlfn.XLOOKUP(D77, Products!$A$2:$A$21, Products!$C$2:$C$21)</f>
        <v>Gaming</v>
      </c>
      <c r="H77">
        <f>_xlfn.XLOOKUP(D77, Products!$A$2:$A$21, Products!$E$2:$E$21, 0)</f>
        <v>99</v>
      </c>
      <c r="I77">
        <f>_xlfn.XLOOKUP(D77, Products!$A$2:$A$21, Products!$F$2:$F$21,0)</f>
        <v>58</v>
      </c>
      <c r="J77" t="str">
        <f>_xlfn.XLOOKUP(C77, Stores!$A$2:$A$7, Stores!$D$2:$D$7)</f>
        <v>Sydney West</v>
      </c>
      <c r="K77">
        <f t="shared" si="2"/>
        <v>99</v>
      </c>
      <c r="L77">
        <f t="shared" si="3"/>
        <v>41</v>
      </c>
    </row>
    <row r="78" spans="1:12">
      <c r="A78" t="s">
        <v>113</v>
      </c>
      <c r="B78" s="2">
        <v>46213</v>
      </c>
      <c r="C78" t="s">
        <v>51</v>
      </c>
      <c r="D78" t="s">
        <v>52</v>
      </c>
      <c r="E78">
        <v>2</v>
      </c>
      <c r="F78" t="str">
        <f>_xlfn.XLOOKUP(D78, Products!$A$2:$A$21, Products!$B$2:$B$21, "Not Found")</f>
        <v>Mech Keyboard</v>
      </c>
      <c r="G78" t="str">
        <f>_xlfn.XLOOKUP(D78, Products!$A$2:$A$21, Products!$C$2:$C$21)</f>
        <v>Accessories</v>
      </c>
      <c r="H78">
        <f>_xlfn.XLOOKUP(D78, Products!$A$2:$A$21, Products!$E$2:$E$21, 0)</f>
        <v>149</v>
      </c>
      <c r="I78">
        <f>_xlfn.XLOOKUP(D78, Products!$A$2:$A$21, Products!$F$2:$F$21,0)</f>
        <v>72</v>
      </c>
      <c r="J78" t="str">
        <f>_xlfn.XLOOKUP(C78, Stores!$A$2:$A$7, Stores!$D$2:$D$7)</f>
        <v>Sydney South</v>
      </c>
      <c r="K78">
        <f t="shared" si="2"/>
        <v>298</v>
      </c>
      <c r="L78">
        <f t="shared" si="3"/>
        <v>154</v>
      </c>
    </row>
    <row r="79" spans="1:12">
      <c r="A79" t="s">
        <v>114</v>
      </c>
      <c r="B79" s="2">
        <v>46214</v>
      </c>
      <c r="C79" t="s">
        <v>51</v>
      </c>
      <c r="D79" t="s">
        <v>93</v>
      </c>
      <c r="E79">
        <v>1</v>
      </c>
      <c r="F79" t="str">
        <f>_xlfn.XLOOKUP(D79, Products!$A$2:$A$21, Products!$B$2:$B$21, "Not Found")</f>
        <v>Smartphone 256GB</v>
      </c>
      <c r="G79" t="str">
        <f>_xlfn.XLOOKUP(D79, Products!$A$2:$A$21, Products!$C$2:$C$21)</f>
        <v>Phones</v>
      </c>
      <c r="H79">
        <f>_xlfn.XLOOKUP(D79, Products!$A$2:$A$21, Products!$E$2:$E$21, 0)</f>
        <v>1499</v>
      </c>
      <c r="I79">
        <f>_xlfn.XLOOKUP(D79, Products!$A$2:$A$21, Products!$F$2:$F$21,0)</f>
        <v>1180</v>
      </c>
      <c r="J79" t="str">
        <f>_xlfn.XLOOKUP(C79, Stores!$A$2:$A$7, Stores!$D$2:$D$7)</f>
        <v>Sydney South</v>
      </c>
      <c r="K79">
        <f t="shared" si="2"/>
        <v>1499</v>
      </c>
      <c r="L79">
        <f t="shared" si="3"/>
        <v>319</v>
      </c>
    </row>
    <row r="80" spans="1:12">
      <c r="A80" t="s">
        <v>115</v>
      </c>
      <c r="B80" s="2">
        <v>46214</v>
      </c>
      <c r="C80" t="s">
        <v>25</v>
      </c>
      <c r="D80" t="s">
        <v>23</v>
      </c>
      <c r="E80">
        <v>1</v>
      </c>
      <c r="F80" t="str">
        <f>_xlfn.XLOOKUP(D80, Products!$A$2:$A$21, Products!$B$2:$B$21, "Not Found")</f>
        <v>Video Game</v>
      </c>
      <c r="G80" t="str">
        <f>_xlfn.XLOOKUP(D80, Products!$A$2:$A$21, Products!$C$2:$C$21)</f>
        <v>Gaming</v>
      </c>
      <c r="H80">
        <f>_xlfn.XLOOKUP(D80, Products!$A$2:$A$21, Products!$E$2:$E$21, 0)</f>
        <v>79</v>
      </c>
      <c r="I80">
        <f>_xlfn.XLOOKUP(D80, Products!$A$2:$A$21, Products!$F$2:$F$21,0)</f>
        <v>52</v>
      </c>
      <c r="J80" t="str">
        <f>_xlfn.XLOOKUP(C80, Stores!$A$2:$A$7, Stores!$D$2:$D$7)</f>
        <v>Sydney South</v>
      </c>
      <c r="K80">
        <f t="shared" si="2"/>
        <v>79</v>
      </c>
      <c r="L80">
        <f t="shared" si="3"/>
        <v>27</v>
      </c>
    </row>
    <row r="81" spans="1:12">
      <c r="A81" t="s">
        <v>116</v>
      </c>
      <c r="B81" s="2">
        <v>46214</v>
      </c>
      <c r="C81" t="s">
        <v>13</v>
      </c>
      <c r="D81" t="s">
        <v>23</v>
      </c>
      <c r="E81">
        <v>1</v>
      </c>
      <c r="F81" t="str">
        <f>_xlfn.XLOOKUP(D81, Products!$A$2:$A$21, Products!$B$2:$B$21, "Not Found")</f>
        <v>Video Game</v>
      </c>
      <c r="G81" t="str">
        <f>_xlfn.XLOOKUP(D81, Products!$A$2:$A$21, Products!$C$2:$C$21)</f>
        <v>Gaming</v>
      </c>
      <c r="H81">
        <f>_xlfn.XLOOKUP(D81, Products!$A$2:$A$21, Products!$E$2:$E$21, 0)</f>
        <v>79</v>
      </c>
      <c r="I81">
        <f>_xlfn.XLOOKUP(D81, Products!$A$2:$A$21, Products!$F$2:$F$21,0)</f>
        <v>52</v>
      </c>
      <c r="J81" t="str">
        <f>_xlfn.XLOOKUP(C81, Stores!$A$2:$A$7, Stores!$D$2:$D$7)</f>
        <v>Sydney West</v>
      </c>
      <c r="K81">
        <f t="shared" si="2"/>
        <v>79</v>
      </c>
      <c r="L81">
        <f t="shared" si="3"/>
        <v>27</v>
      </c>
    </row>
    <row r="82" spans="1:12">
      <c r="A82" t="s">
        <v>117</v>
      </c>
      <c r="B82" s="2">
        <v>46214</v>
      </c>
      <c r="C82" t="s">
        <v>19</v>
      </c>
      <c r="D82" t="s">
        <v>52</v>
      </c>
      <c r="E82">
        <v>1</v>
      </c>
      <c r="F82" t="str">
        <f>_xlfn.XLOOKUP(D82, Products!$A$2:$A$21, Products!$B$2:$B$21, "Not Found")</f>
        <v>Mech Keyboard</v>
      </c>
      <c r="G82" t="str">
        <f>_xlfn.XLOOKUP(D82, Products!$A$2:$A$21, Products!$C$2:$C$21)</f>
        <v>Accessories</v>
      </c>
      <c r="H82">
        <f>_xlfn.XLOOKUP(D82, Products!$A$2:$A$21, Products!$E$2:$E$21, 0)</f>
        <v>149</v>
      </c>
      <c r="I82">
        <f>_xlfn.XLOOKUP(D82, Products!$A$2:$A$21, Products!$F$2:$F$21,0)</f>
        <v>72</v>
      </c>
      <c r="J82" t="str">
        <f>_xlfn.XLOOKUP(C82, Stores!$A$2:$A$7, Stores!$D$2:$D$7)</f>
        <v>Sydney North</v>
      </c>
      <c r="K82">
        <f t="shared" si="2"/>
        <v>149</v>
      </c>
      <c r="L82">
        <f t="shared" si="3"/>
        <v>77</v>
      </c>
    </row>
    <row r="83" spans="1:12">
      <c r="A83" t="s">
        <v>118</v>
      </c>
      <c r="B83" s="2">
        <v>46214</v>
      </c>
      <c r="C83" t="s">
        <v>13</v>
      </c>
      <c r="D83" t="s">
        <v>29</v>
      </c>
      <c r="E83">
        <v>2</v>
      </c>
      <c r="F83" t="str">
        <f>_xlfn.XLOOKUP(D83, Products!$A$2:$A$21, Products!$B$2:$B$21, "Not Found")</f>
        <v>Phone Case</v>
      </c>
      <c r="G83" t="str">
        <f>_xlfn.XLOOKUP(D83, Products!$A$2:$A$21, Products!$C$2:$C$21)</f>
        <v>Accessories</v>
      </c>
      <c r="H83">
        <f>_xlfn.XLOOKUP(D83, Products!$A$2:$A$21, Products!$E$2:$E$21, 0)</f>
        <v>39</v>
      </c>
      <c r="I83">
        <f>_xlfn.XLOOKUP(D83, Products!$A$2:$A$21, Products!$F$2:$F$21,0)</f>
        <v>9</v>
      </c>
      <c r="J83" t="str">
        <f>_xlfn.XLOOKUP(C83, Stores!$A$2:$A$7, Stores!$D$2:$D$7)</f>
        <v>Sydney West</v>
      </c>
      <c r="K83">
        <f t="shared" si="2"/>
        <v>78</v>
      </c>
      <c r="L83">
        <f t="shared" si="3"/>
        <v>60</v>
      </c>
    </row>
    <row r="84" spans="1:12">
      <c r="A84" t="s">
        <v>119</v>
      </c>
      <c r="B84" s="2">
        <v>46214</v>
      </c>
      <c r="C84" t="s">
        <v>25</v>
      </c>
      <c r="D84" t="s">
        <v>63</v>
      </c>
      <c r="E84">
        <v>1</v>
      </c>
      <c r="F84" t="str">
        <f>_xlfn.XLOOKUP(D84, Products!$A$2:$A$21, Products!$B$2:$B$21, "Not Found")</f>
        <v>27in Monitor</v>
      </c>
      <c r="G84" t="str">
        <f>_xlfn.XLOOKUP(D84, Products!$A$2:$A$21, Products!$C$2:$C$21)</f>
        <v>Computers</v>
      </c>
      <c r="H84">
        <f>_xlfn.XLOOKUP(D84, Products!$A$2:$A$21, Products!$E$2:$E$21, 0)</f>
        <v>399</v>
      </c>
      <c r="I84">
        <f>_xlfn.XLOOKUP(D84, Products!$A$2:$A$21, Products!$F$2:$F$21,0)</f>
        <v>290</v>
      </c>
      <c r="J84" t="str">
        <f>_xlfn.XLOOKUP(C84, Stores!$A$2:$A$7, Stores!$D$2:$D$7)</f>
        <v>Sydney South</v>
      </c>
      <c r="K84">
        <f t="shared" si="2"/>
        <v>399</v>
      </c>
      <c r="L84">
        <f t="shared" si="3"/>
        <v>109</v>
      </c>
    </row>
    <row r="85" spans="1:12">
      <c r="A85" t="s">
        <v>120</v>
      </c>
      <c r="B85" s="2">
        <v>46215</v>
      </c>
      <c r="C85" t="s">
        <v>51</v>
      </c>
      <c r="D85" t="s">
        <v>74</v>
      </c>
      <c r="E85">
        <v>1</v>
      </c>
      <c r="F85" t="str">
        <f>_xlfn.XLOOKUP(D85, Products!$A$2:$A$21, Products!$B$2:$B$21, "Not Found")</f>
        <v>Over-Ear Headphones</v>
      </c>
      <c r="G85" t="str">
        <f>_xlfn.XLOOKUP(D85, Products!$A$2:$A$21, Products!$C$2:$C$21)</f>
        <v>Audio</v>
      </c>
      <c r="H85">
        <f>_xlfn.XLOOKUP(D85, Products!$A$2:$A$21, Products!$E$2:$E$21, 0)</f>
        <v>499</v>
      </c>
      <c r="I85">
        <f>_xlfn.XLOOKUP(D85, Products!$A$2:$A$21, Products!$F$2:$F$21,0)</f>
        <v>310</v>
      </c>
      <c r="J85" t="str">
        <f>_xlfn.XLOOKUP(C85, Stores!$A$2:$A$7, Stores!$D$2:$D$7)</f>
        <v>Sydney South</v>
      </c>
      <c r="K85">
        <f t="shared" si="2"/>
        <v>499</v>
      </c>
      <c r="L85">
        <f t="shared" si="3"/>
        <v>189</v>
      </c>
    </row>
    <row r="86" spans="1:12">
      <c r="A86" t="s">
        <v>121</v>
      </c>
      <c r="B86" s="2">
        <v>46215</v>
      </c>
      <c r="C86" t="s">
        <v>22</v>
      </c>
      <c r="D86" t="s">
        <v>93</v>
      </c>
      <c r="E86">
        <v>1</v>
      </c>
      <c r="F86" t="str">
        <f>_xlfn.XLOOKUP(D86, Products!$A$2:$A$21, Products!$B$2:$B$21, "Not Found")</f>
        <v>Smartphone 256GB</v>
      </c>
      <c r="G86" t="str">
        <f>_xlfn.XLOOKUP(D86, Products!$A$2:$A$21, Products!$C$2:$C$21)</f>
        <v>Phones</v>
      </c>
      <c r="H86">
        <f>_xlfn.XLOOKUP(D86, Products!$A$2:$A$21, Products!$E$2:$E$21, 0)</f>
        <v>1499</v>
      </c>
      <c r="I86">
        <f>_xlfn.XLOOKUP(D86, Products!$A$2:$A$21, Products!$F$2:$F$21,0)</f>
        <v>1180</v>
      </c>
      <c r="J86" t="str">
        <f>_xlfn.XLOOKUP(C86, Stores!$A$2:$A$7, Stores!$D$2:$D$7)</f>
        <v>Sydney West</v>
      </c>
      <c r="K86">
        <f t="shared" si="2"/>
        <v>1499</v>
      </c>
      <c r="L86">
        <f t="shared" si="3"/>
        <v>319</v>
      </c>
    </row>
    <row r="87" spans="1:12">
      <c r="A87" t="s">
        <v>122</v>
      </c>
      <c r="B87" s="2">
        <v>46215</v>
      </c>
      <c r="C87" t="s">
        <v>13</v>
      </c>
      <c r="D87" t="s">
        <v>52</v>
      </c>
      <c r="E87">
        <v>1</v>
      </c>
      <c r="F87" t="str">
        <f>_xlfn.XLOOKUP(D87, Products!$A$2:$A$21, Products!$B$2:$B$21, "Not Found")</f>
        <v>Mech Keyboard</v>
      </c>
      <c r="G87" t="str">
        <f>_xlfn.XLOOKUP(D87, Products!$A$2:$A$21, Products!$C$2:$C$21)</f>
        <v>Accessories</v>
      </c>
      <c r="H87">
        <f>_xlfn.XLOOKUP(D87, Products!$A$2:$A$21, Products!$E$2:$E$21, 0)</f>
        <v>149</v>
      </c>
      <c r="I87">
        <f>_xlfn.XLOOKUP(D87, Products!$A$2:$A$21, Products!$F$2:$F$21,0)</f>
        <v>72</v>
      </c>
      <c r="J87" t="str">
        <f>_xlfn.XLOOKUP(C87, Stores!$A$2:$A$7, Stores!$D$2:$D$7)</f>
        <v>Sydney West</v>
      </c>
      <c r="K87">
        <f t="shared" si="2"/>
        <v>149</v>
      </c>
      <c r="L87">
        <f t="shared" si="3"/>
        <v>77</v>
      </c>
    </row>
    <row r="88" spans="1:12">
      <c r="A88" t="s">
        <v>123</v>
      </c>
      <c r="B88" s="2">
        <v>46215</v>
      </c>
      <c r="C88" t="s">
        <v>22</v>
      </c>
      <c r="D88" t="s">
        <v>124</v>
      </c>
      <c r="E88">
        <v>1</v>
      </c>
      <c r="F88" t="str">
        <f>_xlfn.XLOOKUP(D88, Products!$A$2:$A$21, Products!$B$2:$B$21, "Not Found")</f>
        <v>65in TV</v>
      </c>
      <c r="G88" t="str">
        <f>_xlfn.XLOOKUP(D88, Products!$A$2:$A$21, Products!$C$2:$C$21)</f>
        <v>TV</v>
      </c>
      <c r="H88">
        <f>_xlfn.XLOOKUP(D88, Products!$A$2:$A$21, Products!$E$2:$E$21, 0)</f>
        <v>1999</v>
      </c>
      <c r="I88">
        <f>_xlfn.XLOOKUP(D88, Products!$A$2:$A$21, Products!$F$2:$F$21,0)</f>
        <v>1520</v>
      </c>
      <c r="J88" t="str">
        <f>_xlfn.XLOOKUP(C88, Stores!$A$2:$A$7, Stores!$D$2:$D$7)</f>
        <v>Sydney West</v>
      </c>
      <c r="K88">
        <f t="shared" si="2"/>
        <v>1999</v>
      </c>
      <c r="L88">
        <f t="shared" si="3"/>
        <v>479</v>
      </c>
    </row>
    <row r="89" spans="1:12">
      <c r="A89" t="s">
        <v>125</v>
      </c>
      <c r="B89" s="2">
        <v>46215</v>
      </c>
      <c r="C89" t="s">
        <v>13</v>
      </c>
      <c r="D89" t="s">
        <v>14</v>
      </c>
      <c r="E89">
        <v>3</v>
      </c>
      <c r="F89" t="str">
        <f>_xlfn.XLOOKUP(D89, Products!$A$2:$A$21, Products!$B$2:$B$21, "Not Found")</f>
        <v>Gaming Mouse</v>
      </c>
      <c r="G89" t="str">
        <f>_xlfn.XLOOKUP(D89, Products!$A$2:$A$21, Products!$C$2:$C$21)</f>
        <v>Accessories</v>
      </c>
      <c r="H89">
        <f>_xlfn.XLOOKUP(D89, Products!$A$2:$A$21, Products!$E$2:$E$21, 0)</f>
        <v>89</v>
      </c>
      <c r="I89">
        <f>_xlfn.XLOOKUP(D89, Products!$A$2:$A$21, Products!$F$2:$F$21,0)</f>
        <v>41</v>
      </c>
      <c r="J89" t="str">
        <f>_xlfn.XLOOKUP(C89, Stores!$A$2:$A$7, Stores!$D$2:$D$7)</f>
        <v>Sydney West</v>
      </c>
      <c r="K89">
        <f t="shared" si="2"/>
        <v>267</v>
      </c>
      <c r="L89">
        <f t="shared" si="3"/>
        <v>144</v>
      </c>
    </row>
    <row r="90" spans="1:12">
      <c r="A90" t="s">
        <v>126</v>
      </c>
      <c r="B90" s="2">
        <v>46216</v>
      </c>
      <c r="C90" t="s">
        <v>19</v>
      </c>
      <c r="D90" t="s">
        <v>23</v>
      </c>
      <c r="E90">
        <v>1</v>
      </c>
      <c r="F90" t="str">
        <f>_xlfn.XLOOKUP(D90, Products!$A$2:$A$21, Products!$B$2:$B$21, "Not Found")</f>
        <v>Video Game</v>
      </c>
      <c r="G90" t="str">
        <f>_xlfn.XLOOKUP(D90, Products!$A$2:$A$21, Products!$C$2:$C$21)</f>
        <v>Gaming</v>
      </c>
      <c r="H90">
        <f>_xlfn.XLOOKUP(D90, Products!$A$2:$A$21, Products!$E$2:$E$21, 0)</f>
        <v>79</v>
      </c>
      <c r="I90">
        <f>_xlfn.XLOOKUP(D90, Products!$A$2:$A$21, Products!$F$2:$F$21,0)</f>
        <v>52</v>
      </c>
      <c r="J90" t="str">
        <f>_xlfn.XLOOKUP(C90, Stores!$A$2:$A$7, Stores!$D$2:$D$7)</f>
        <v>Sydney North</v>
      </c>
      <c r="K90">
        <f t="shared" si="2"/>
        <v>79</v>
      </c>
      <c r="L90">
        <f t="shared" si="3"/>
        <v>27</v>
      </c>
    </row>
    <row r="91" spans="1:12">
      <c r="A91" t="s">
        <v>127</v>
      </c>
      <c r="B91" s="2">
        <v>46216</v>
      </c>
      <c r="C91" t="s">
        <v>22</v>
      </c>
      <c r="D91" t="s">
        <v>54</v>
      </c>
      <c r="E91">
        <v>1</v>
      </c>
      <c r="F91" t="str">
        <f>_xlfn.XLOOKUP(D91, Products!$A$2:$A$21, Products!$B$2:$B$21, "Not Found")</f>
        <v>55in TV</v>
      </c>
      <c r="G91" t="str">
        <f>_xlfn.XLOOKUP(D91, Products!$A$2:$A$21, Products!$C$2:$C$21)</f>
        <v>TV</v>
      </c>
      <c r="H91">
        <f>_xlfn.XLOOKUP(D91, Products!$A$2:$A$21, Products!$E$2:$E$21, 0)</f>
        <v>1299</v>
      </c>
      <c r="I91">
        <f>_xlfn.XLOOKUP(D91, Products!$A$2:$A$21, Products!$F$2:$F$21,0)</f>
        <v>980</v>
      </c>
      <c r="J91" t="str">
        <f>_xlfn.XLOOKUP(C91, Stores!$A$2:$A$7, Stores!$D$2:$D$7)</f>
        <v>Sydney West</v>
      </c>
      <c r="K91">
        <f t="shared" si="2"/>
        <v>1299</v>
      </c>
      <c r="L91">
        <f t="shared" si="3"/>
        <v>319</v>
      </c>
    </row>
    <row r="92" spans="1:12">
      <c r="A92" t="s">
        <v>128</v>
      </c>
      <c r="B92" s="2">
        <v>46216</v>
      </c>
      <c r="C92" t="s">
        <v>16</v>
      </c>
      <c r="D92" t="s">
        <v>81</v>
      </c>
      <c r="E92">
        <v>1</v>
      </c>
      <c r="F92" t="str">
        <f>_xlfn.XLOOKUP(D92, Products!$A$2:$A$21, Products!$B$2:$B$21, "Not Found")</f>
        <v>Laptop 16in</v>
      </c>
      <c r="G92" t="str">
        <f>_xlfn.XLOOKUP(D92, Products!$A$2:$A$21, Products!$C$2:$C$21)</f>
        <v>Computers</v>
      </c>
      <c r="H92">
        <f>_xlfn.XLOOKUP(D92, Products!$A$2:$A$21, Products!$E$2:$E$21, 0)</f>
        <v>1799</v>
      </c>
      <c r="I92">
        <f>_xlfn.XLOOKUP(D92, Products!$A$2:$A$21, Products!$F$2:$F$21,0)</f>
        <v>1390</v>
      </c>
      <c r="J92" t="str">
        <f>_xlfn.XLOOKUP(C92, Stores!$A$2:$A$7, Stores!$D$2:$D$7)</f>
        <v>Sydney East</v>
      </c>
      <c r="K92">
        <f t="shared" si="2"/>
        <v>1799</v>
      </c>
      <c r="L92">
        <f t="shared" si="3"/>
        <v>409</v>
      </c>
    </row>
    <row r="93" spans="1:12">
      <c r="A93" t="s">
        <v>129</v>
      </c>
      <c r="B93" s="2">
        <v>46216</v>
      </c>
      <c r="C93" t="s">
        <v>51</v>
      </c>
      <c r="D93" t="s">
        <v>23</v>
      </c>
      <c r="E93">
        <v>1</v>
      </c>
      <c r="F93" t="str">
        <f>_xlfn.XLOOKUP(D93, Products!$A$2:$A$21, Products!$B$2:$B$21, "Not Found")</f>
        <v>Video Game</v>
      </c>
      <c r="G93" t="str">
        <f>_xlfn.XLOOKUP(D93, Products!$A$2:$A$21, Products!$C$2:$C$21)</f>
        <v>Gaming</v>
      </c>
      <c r="H93">
        <f>_xlfn.XLOOKUP(D93, Products!$A$2:$A$21, Products!$E$2:$E$21, 0)</f>
        <v>79</v>
      </c>
      <c r="I93">
        <f>_xlfn.XLOOKUP(D93, Products!$A$2:$A$21, Products!$F$2:$F$21,0)</f>
        <v>52</v>
      </c>
      <c r="J93" t="str">
        <f>_xlfn.XLOOKUP(C93, Stores!$A$2:$A$7, Stores!$D$2:$D$7)</f>
        <v>Sydney South</v>
      </c>
      <c r="K93">
        <f t="shared" si="2"/>
        <v>79</v>
      </c>
      <c r="L93">
        <f t="shared" si="3"/>
        <v>27</v>
      </c>
    </row>
    <row r="94" spans="1:12">
      <c r="A94" t="s">
        <v>130</v>
      </c>
      <c r="B94" s="2">
        <v>46216</v>
      </c>
      <c r="C94" t="s">
        <v>19</v>
      </c>
      <c r="D94" t="s">
        <v>23</v>
      </c>
      <c r="E94">
        <v>3</v>
      </c>
      <c r="F94" t="str">
        <f>_xlfn.XLOOKUP(D94, Products!$A$2:$A$21, Products!$B$2:$B$21, "Not Found")</f>
        <v>Video Game</v>
      </c>
      <c r="G94" t="str">
        <f>_xlfn.XLOOKUP(D94, Products!$A$2:$A$21, Products!$C$2:$C$21)</f>
        <v>Gaming</v>
      </c>
      <c r="H94">
        <f>_xlfn.XLOOKUP(D94, Products!$A$2:$A$21, Products!$E$2:$E$21, 0)</f>
        <v>79</v>
      </c>
      <c r="I94">
        <f>_xlfn.XLOOKUP(D94, Products!$A$2:$A$21, Products!$F$2:$F$21,0)</f>
        <v>52</v>
      </c>
      <c r="J94" t="str">
        <f>_xlfn.XLOOKUP(C94, Stores!$A$2:$A$7, Stores!$D$2:$D$7)</f>
        <v>Sydney North</v>
      </c>
      <c r="K94">
        <f t="shared" si="2"/>
        <v>237</v>
      </c>
      <c r="L94">
        <f t="shared" si="3"/>
        <v>81</v>
      </c>
    </row>
    <row r="95" spans="1:12">
      <c r="A95" t="s">
        <v>131</v>
      </c>
      <c r="B95" s="2">
        <v>46216</v>
      </c>
      <c r="C95" t="s">
        <v>22</v>
      </c>
      <c r="D95" t="s">
        <v>32</v>
      </c>
      <c r="E95">
        <v>1</v>
      </c>
      <c r="F95" t="str">
        <f>_xlfn.XLOOKUP(D95, Products!$A$2:$A$21, Products!$B$2:$B$21, "Not Found")</f>
        <v>USB-C Charger</v>
      </c>
      <c r="G95" t="str">
        <f>_xlfn.XLOOKUP(D95, Products!$A$2:$A$21, Products!$C$2:$C$21)</f>
        <v>Accessories</v>
      </c>
      <c r="H95">
        <f>_xlfn.XLOOKUP(D95, Products!$A$2:$A$21, Products!$E$2:$E$21, 0)</f>
        <v>49</v>
      </c>
      <c r="I95">
        <f>_xlfn.XLOOKUP(D95, Products!$A$2:$A$21, Products!$F$2:$F$21,0)</f>
        <v>14</v>
      </c>
      <c r="J95" t="str">
        <f>_xlfn.XLOOKUP(C95, Stores!$A$2:$A$7, Stores!$D$2:$D$7)</f>
        <v>Sydney West</v>
      </c>
      <c r="K95">
        <f t="shared" si="2"/>
        <v>49</v>
      </c>
      <c r="L95">
        <f t="shared" si="3"/>
        <v>35</v>
      </c>
    </row>
    <row r="96" spans="1:12">
      <c r="A96" t="s">
        <v>132</v>
      </c>
      <c r="B96" s="2">
        <v>46217</v>
      </c>
      <c r="C96" t="s">
        <v>19</v>
      </c>
      <c r="D96" t="s">
        <v>17</v>
      </c>
      <c r="E96">
        <v>1</v>
      </c>
      <c r="F96" t="str">
        <f>_xlfn.XLOOKUP(D96, Products!$A$2:$A$21, Products!$B$2:$B$21, "Not Found")</f>
        <v>Wireless Earbuds</v>
      </c>
      <c r="G96" t="str">
        <f>_xlfn.XLOOKUP(D96, Products!$A$2:$A$21, Products!$C$2:$C$21)</f>
        <v>Audio</v>
      </c>
      <c r="H96">
        <f>_xlfn.XLOOKUP(D96, Products!$A$2:$A$21, Products!$E$2:$E$21, 0)</f>
        <v>249</v>
      </c>
      <c r="I96">
        <f>_xlfn.XLOOKUP(D96, Products!$A$2:$A$21, Products!$F$2:$F$21,0)</f>
        <v>140</v>
      </c>
      <c r="J96" t="str">
        <f>_xlfn.XLOOKUP(C96, Stores!$A$2:$A$7, Stores!$D$2:$D$7)</f>
        <v>Sydney North</v>
      </c>
      <c r="K96">
        <f t="shared" si="2"/>
        <v>249</v>
      </c>
      <c r="L96">
        <f t="shared" si="3"/>
        <v>109</v>
      </c>
    </row>
    <row r="97" spans="1:12">
      <c r="A97" t="s">
        <v>133</v>
      </c>
      <c r="B97" s="2">
        <v>46217</v>
      </c>
      <c r="C97" t="s">
        <v>25</v>
      </c>
      <c r="D97" t="s">
        <v>23</v>
      </c>
      <c r="E97">
        <v>2</v>
      </c>
      <c r="F97" t="str">
        <f>_xlfn.XLOOKUP(D97, Products!$A$2:$A$21, Products!$B$2:$B$21, "Not Found")</f>
        <v>Video Game</v>
      </c>
      <c r="G97" t="str">
        <f>_xlfn.XLOOKUP(D97, Products!$A$2:$A$21, Products!$C$2:$C$21)</f>
        <v>Gaming</v>
      </c>
      <c r="H97">
        <f>_xlfn.XLOOKUP(D97, Products!$A$2:$A$21, Products!$E$2:$E$21, 0)</f>
        <v>79</v>
      </c>
      <c r="I97">
        <f>_xlfn.XLOOKUP(D97, Products!$A$2:$A$21, Products!$F$2:$F$21,0)</f>
        <v>52</v>
      </c>
      <c r="J97" t="str">
        <f>_xlfn.XLOOKUP(C97, Stores!$A$2:$A$7, Stores!$D$2:$D$7)</f>
        <v>Sydney South</v>
      </c>
      <c r="K97">
        <f t="shared" si="2"/>
        <v>158</v>
      </c>
      <c r="L97">
        <f t="shared" si="3"/>
        <v>54</v>
      </c>
    </row>
    <row r="98" spans="1:12">
      <c r="A98" t="s">
        <v>134</v>
      </c>
      <c r="B98" s="2">
        <v>46217</v>
      </c>
      <c r="C98" t="s">
        <v>19</v>
      </c>
      <c r="D98" t="s">
        <v>14</v>
      </c>
      <c r="E98">
        <v>1</v>
      </c>
      <c r="F98" t="str">
        <f>_xlfn.XLOOKUP(D98, Products!$A$2:$A$21, Products!$B$2:$B$21, "Not Found")</f>
        <v>Gaming Mouse</v>
      </c>
      <c r="G98" t="str">
        <f>_xlfn.XLOOKUP(D98, Products!$A$2:$A$21, Products!$C$2:$C$21)</f>
        <v>Accessories</v>
      </c>
      <c r="H98">
        <f>_xlfn.XLOOKUP(D98, Products!$A$2:$A$21, Products!$E$2:$E$21, 0)</f>
        <v>89</v>
      </c>
      <c r="I98">
        <f>_xlfn.XLOOKUP(D98, Products!$A$2:$A$21, Products!$F$2:$F$21,0)</f>
        <v>41</v>
      </c>
      <c r="J98" t="str">
        <f>_xlfn.XLOOKUP(C98, Stores!$A$2:$A$7, Stores!$D$2:$D$7)</f>
        <v>Sydney North</v>
      </c>
      <c r="K98">
        <f t="shared" si="2"/>
        <v>89</v>
      </c>
      <c r="L98">
        <f t="shared" si="3"/>
        <v>48</v>
      </c>
    </row>
    <row r="99" spans="1:12">
      <c r="A99" t="s">
        <v>135</v>
      </c>
      <c r="B99" s="2">
        <v>46217</v>
      </c>
      <c r="C99" t="s">
        <v>13</v>
      </c>
      <c r="D99" t="s">
        <v>23</v>
      </c>
      <c r="E99">
        <v>1</v>
      </c>
      <c r="F99" t="str">
        <f>_xlfn.XLOOKUP(D99, Products!$A$2:$A$21, Products!$B$2:$B$21, "Not Found")</f>
        <v>Video Game</v>
      </c>
      <c r="G99" t="str">
        <f>_xlfn.XLOOKUP(D99, Products!$A$2:$A$21, Products!$C$2:$C$21)</f>
        <v>Gaming</v>
      </c>
      <c r="H99">
        <f>_xlfn.XLOOKUP(D99, Products!$A$2:$A$21, Products!$E$2:$E$21, 0)</f>
        <v>79</v>
      </c>
      <c r="I99">
        <f>_xlfn.XLOOKUP(D99, Products!$A$2:$A$21, Products!$F$2:$F$21,0)</f>
        <v>52</v>
      </c>
      <c r="J99" t="str">
        <f>_xlfn.XLOOKUP(C99, Stores!$A$2:$A$7, Stores!$D$2:$D$7)</f>
        <v>Sydney West</v>
      </c>
      <c r="K99">
        <f t="shared" si="2"/>
        <v>79</v>
      </c>
      <c r="L99">
        <f t="shared" si="3"/>
        <v>27</v>
      </c>
    </row>
    <row r="100" spans="1:12">
      <c r="A100" t="s">
        <v>136</v>
      </c>
      <c r="B100" s="2">
        <v>46217</v>
      </c>
      <c r="C100" t="s">
        <v>25</v>
      </c>
      <c r="D100" t="s">
        <v>23</v>
      </c>
      <c r="E100">
        <v>1</v>
      </c>
      <c r="F100" t="str">
        <f>_xlfn.XLOOKUP(D100, Products!$A$2:$A$21, Products!$B$2:$B$21, "Not Found")</f>
        <v>Video Game</v>
      </c>
      <c r="G100" t="str">
        <f>_xlfn.XLOOKUP(D100, Products!$A$2:$A$21, Products!$C$2:$C$21)</f>
        <v>Gaming</v>
      </c>
      <c r="H100">
        <f>_xlfn.XLOOKUP(D100, Products!$A$2:$A$21, Products!$E$2:$E$21, 0)</f>
        <v>79</v>
      </c>
      <c r="I100">
        <f>_xlfn.XLOOKUP(D100, Products!$A$2:$A$21, Products!$F$2:$F$21,0)</f>
        <v>52</v>
      </c>
      <c r="J100" t="str">
        <f>_xlfn.XLOOKUP(C100, Stores!$A$2:$A$7, Stores!$D$2:$D$7)</f>
        <v>Sydney South</v>
      </c>
      <c r="K100">
        <f t="shared" si="2"/>
        <v>79</v>
      </c>
      <c r="L100">
        <f t="shared" si="3"/>
        <v>27</v>
      </c>
    </row>
    <row r="101" spans="1:12">
      <c r="A101" t="s">
        <v>137</v>
      </c>
      <c r="B101" s="2">
        <v>46217</v>
      </c>
      <c r="C101" t="s">
        <v>16</v>
      </c>
      <c r="D101" t="s">
        <v>54</v>
      </c>
      <c r="E101">
        <v>1</v>
      </c>
      <c r="F101" t="str">
        <f>_xlfn.XLOOKUP(D101, Products!$A$2:$A$21, Products!$B$2:$B$21, "Not Found")</f>
        <v>55in TV</v>
      </c>
      <c r="G101" t="str">
        <f>_xlfn.XLOOKUP(D101, Products!$A$2:$A$21, Products!$C$2:$C$21)</f>
        <v>TV</v>
      </c>
      <c r="H101">
        <f>_xlfn.XLOOKUP(D101, Products!$A$2:$A$21, Products!$E$2:$E$21, 0)</f>
        <v>1299</v>
      </c>
      <c r="I101">
        <f>_xlfn.XLOOKUP(D101, Products!$A$2:$A$21, Products!$F$2:$F$21,0)</f>
        <v>980</v>
      </c>
      <c r="J101" t="str">
        <f>_xlfn.XLOOKUP(C101, Stores!$A$2:$A$7, Stores!$D$2:$D$7)</f>
        <v>Sydney East</v>
      </c>
      <c r="K101">
        <f t="shared" si="2"/>
        <v>1299</v>
      </c>
      <c r="L101">
        <f t="shared" si="3"/>
        <v>319</v>
      </c>
    </row>
    <row r="102" spans="1:12">
      <c r="A102" t="s">
        <v>138</v>
      </c>
      <c r="B102" s="2">
        <v>46217</v>
      </c>
      <c r="C102" t="s">
        <v>25</v>
      </c>
      <c r="D102" t="s">
        <v>52</v>
      </c>
      <c r="E102">
        <v>3</v>
      </c>
      <c r="F102" t="str">
        <f>_xlfn.XLOOKUP(D102, Products!$A$2:$A$21, Products!$B$2:$B$21, "Not Found")</f>
        <v>Mech Keyboard</v>
      </c>
      <c r="G102" t="str">
        <f>_xlfn.XLOOKUP(D102, Products!$A$2:$A$21, Products!$C$2:$C$21)</f>
        <v>Accessories</v>
      </c>
      <c r="H102">
        <f>_xlfn.XLOOKUP(D102, Products!$A$2:$A$21, Products!$E$2:$E$21, 0)</f>
        <v>149</v>
      </c>
      <c r="I102">
        <f>_xlfn.XLOOKUP(D102, Products!$A$2:$A$21, Products!$F$2:$F$21,0)</f>
        <v>72</v>
      </c>
      <c r="J102" t="str">
        <f>_xlfn.XLOOKUP(C102, Stores!$A$2:$A$7, Stores!$D$2:$D$7)</f>
        <v>Sydney South</v>
      </c>
      <c r="K102">
        <f t="shared" si="2"/>
        <v>447</v>
      </c>
      <c r="L102">
        <f t="shared" si="3"/>
        <v>231</v>
      </c>
    </row>
    <row r="103" spans="1:12">
      <c r="A103" t="s">
        <v>139</v>
      </c>
      <c r="B103" s="2">
        <v>46217</v>
      </c>
      <c r="C103" t="s">
        <v>13</v>
      </c>
      <c r="D103" t="s">
        <v>17</v>
      </c>
      <c r="E103">
        <v>1</v>
      </c>
      <c r="F103" t="str">
        <f>_xlfn.XLOOKUP(D103, Products!$A$2:$A$21, Products!$B$2:$B$21, "Not Found")</f>
        <v>Wireless Earbuds</v>
      </c>
      <c r="G103" t="str">
        <f>_xlfn.XLOOKUP(D103, Products!$A$2:$A$21, Products!$C$2:$C$21)</f>
        <v>Audio</v>
      </c>
      <c r="H103">
        <f>_xlfn.XLOOKUP(D103, Products!$A$2:$A$21, Products!$E$2:$E$21, 0)</f>
        <v>249</v>
      </c>
      <c r="I103">
        <f>_xlfn.XLOOKUP(D103, Products!$A$2:$A$21, Products!$F$2:$F$21,0)</f>
        <v>140</v>
      </c>
      <c r="J103" t="str">
        <f>_xlfn.XLOOKUP(C103, Stores!$A$2:$A$7, Stores!$D$2:$D$7)</f>
        <v>Sydney West</v>
      </c>
      <c r="K103">
        <f t="shared" si="2"/>
        <v>249</v>
      </c>
      <c r="L103">
        <f t="shared" si="3"/>
        <v>109</v>
      </c>
    </row>
    <row r="104" spans="1:12">
      <c r="A104" t="s">
        <v>140</v>
      </c>
      <c r="B104" s="2">
        <v>46217</v>
      </c>
      <c r="C104" t="s">
        <v>16</v>
      </c>
      <c r="D104" t="s">
        <v>44</v>
      </c>
      <c r="E104">
        <v>1</v>
      </c>
      <c r="F104" t="str">
        <f>_xlfn.XLOOKUP(D104, Products!$A$2:$A$21, Products!$B$2:$B$21, "Not Found")</f>
        <v>Smartphone 128GB</v>
      </c>
      <c r="G104" t="str">
        <f>_xlfn.XLOOKUP(D104, Products!$A$2:$A$21, Products!$C$2:$C$21)</f>
        <v>Phones</v>
      </c>
      <c r="H104">
        <f>_xlfn.XLOOKUP(D104, Products!$A$2:$A$21, Products!$E$2:$E$21, 0)</f>
        <v>1099</v>
      </c>
      <c r="I104">
        <f>_xlfn.XLOOKUP(D104, Products!$A$2:$A$21, Products!$F$2:$F$21,0)</f>
        <v>860</v>
      </c>
      <c r="J104" t="str">
        <f>_xlfn.XLOOKUP(C104, Stores!$A$2:$A$7, Stores!$D$2:$D$7)</f>
        <v>Sydney East</v>
      </c>
      <c r="K104">
        <f t="shared" si="2"/>
        <v>1099</v>
      </c>
      <c r="L104">
        <f t="shared" si="3"/>
        <v>239</v>
      </c>
    </row>
    <row r="105" spans="1:12">
      <c r="A105" t="s">
        <v>141</v>
      </c>
      <c r="B105" s="2">
        <v>46217</v>
      </c>
      <c r="C105" t="s">
        <v>13</v>
      </c>
      <c r="D105" t="s">
        <v>29</v>
      </c>
      <c r="E105">
        <v>1</v>
      </c>
      <c r="F105" t="str">
        <f>_xlfn.XLOOKUP(D105, Products!$A$2:$A$21, Products!$B$2:$B$21, "Not Found")</f>
        <v>Phone Case</v>
      </c>
      <c r="G105" t="str">
        <f>_xlfn.XLOOKUP(D105, Products!$A$2:$A$21, Products!$C$2:$C$21)</f>
        <v>Accessories</v>
      </c>
      <c r="H105">
        <f>_xlfn.XLOOKUP(D105, Products!$A$2:$A$21, Products!$E$2:$E$21, 0)</f>
        <v>39</v>
      </c>
      <c r="I105">
        <f>_xlfn.XLOOKUP(D105, Products!$A$2:$A$21, Products!$F$2:$F$21,0)</f>
        <v>9</v>
      </c>
      <c r="J105" t="str">
        <f>_xlfn.XLOOKUP(C105, Stores!$A$2:$A$7, Stores!$D$2:$D$7)</f>
        <v>Sydney West</v>
      </c>
      <c r="K105">
        <f t="shared" si="2"/>
        <v>39</v>
      </c>
      <c r="L105">
        <f t="shared" si="3"/>
        <v>30</v>
      </c>
    </row>
    <row r="106" spans="1:12">
      <c r="A106" t="s">
        <v>142</v>
      </c>
      <c r="B106" s="2">
        <v>46217</v>
      </c>
      <c r="C106" t="s">
        <v>25</v>
      </c>
      <c r="D106" t="s">
        <v>20</v>
      </c>
      <c r="E106">
        <v>1</v>
      </c>
      <c r="F106" t="str">
        <f>_xlfn.XLOOKUP(D106, Products!$A$2:$A$21, Products!$B$2:$B$21, "Not Found")</f>
        <v>Bluetooth Speaker</v>
      </c>
      <c r="G106" t="str">
        <f>_xlfn.XLOOKUP(D106, Products!$A$2:$A$21, Products!$C$2:$C$21)</f>
        <v>Audio</v>
      </c>
      <c r="H106">
        <f>_xlfn.XLOOKUP(D106, Products!$A$2:$A$21, Products!$E$2:$E$21, 0)</f>
        <v>179</v>
      </c>
      <c r="I106">
        <f>_xlfn.XLOOKUP(D106, Products!$A$2:$A$21, Products!$F$2:$F$21,0)</f>
        <v>95</v>
      </c>
      <c r="J106" t="str">
        <f>_xlfn.XLOOKUP(C106, Stores!$A$2:$A$7, Stores!$D$2:$D$7)</f>
        <v>Sydney South</v>
      </c>
      <c r="K106">
        <f t="shared" si="2"/>
        <v>179</v>
      </c>
      <c r="L106">
        <f t="shared" si="3"/>
        <v>84</v>
      </c>
    </row>
    <row r="107" spans="1:12">
      <c r="A107" t="s">
        <v>143</v>
      </c>
      <c r="B107" s="2">
        <v>46217</v>
      </c>
      <c r="C107" t="s">
        <v>16</v>
      </c>
      <c r="D107" t="s">
        <v>32</v>
      </c>
      <c r="E107">
        <v>1</v>
      </c>
      <c r="F107" t="str">
        <f>_xlfn.XLOOKUP(D107, Products!$A$2:$A$21, Products!$B$2:$B$21, "Not Found")</f>
        <v>USB-C Charger</v>
      </c>
      <c r="G107" t="str">
        <f>_xlfn.XLOOKUP(D107, Products!$A$2:$A$21, Products!$C$2:$C$21)</f>
        <v>Accessories</v>
      </c>
      <c r="H107">
        <f>_xlfn.XLOOKUP(D107, Products!$A$2:$A$21, Products!$E$2:$E$21, 0)</f>
        <v>49</v>
      </c>
      <c r="I107">
        <f>_xlfn.XLOOKUP(D107, Products!$A$2:$A$21, Products!$F$2:$F$21,0)</f>
        <v>14</v>
      </c>
      <c r="J107" t="str">
        <f>_xlfn.XLOOKUP(C107, Stores!$A$2:$A$7, Stores!$D$2:$D$7)</f>
        <v>Sydney East</v>
      </c>
      <c r="K107">
        <f t="shared" si="2"/>
        <v>49</v>
      </c>
      <c r="L107">
        <f t="shared" si="3"/>
        <v>35</v>
      </c>
    </row>
    <row r="108" spans="1:12">
      <c r="A108" t="s">
        <v>144</v>
      </c>
      <c r="B108" s="2">
        <v>46217</v>
      </c>
      <c r="C108" t="s">
        <v>51</v>
      </c>
      <c r="D108" t="s">
        <v>37</v>
      </c>
      <c r="E108">
        <v>1</v>
      </c>
      <c r="F108" t="str">
        <f>_xlfn.XLOOKUP(D108, Products!$A$2:$A$21, Products!$B$2:$B$21, "Not Found")</f>
        <v>Console Controller</v>
      </c>
      <c r="G108" t="str">
        <f>_xlfn.XLOOKUP(D108, Products!$A$2:$A$21, Products!$C$2:$C$21)</f>
        <v>Gaming</v>
      </c>
      <c r="H108">
        <f>_xlfn.XLOOKUP(D108, Products!$A$2:$A$21, Products!$E$2:$E$21, 0)</f>
        <v>99</v>
      </c>
      <c r="I108">
        <f>_xlfn.XLOOKUP(D108, Products!$A$2:$A$21, Products!$F$2:$F$21,0)</f>
        <v>58</v>
      </c>
      <c r="J108" t="str">
        <f>_xlfn.XLOOKUP(C108, Stores!$A$2:$A$7, Stores!$D$2:$D$7)</f>
        <v>Sydney South</v>
      </c>
      <c r="K108">
        <f t="shared" si="2"/>
        <v>99</v>
      </c>
      <c r="L108">
        <f t="shared" si="3"/>
        <v>41</v>
      </c>
    </row>
    <row r="109" spans="1:12">
      <c r="A109" t="s">
        <v>145</v>
      </c>
      <c r="B109" s="2">
        <v>46218</v>
      </c>
      <c r="C109" t="s">
        <v>19</v>
      </c>
      <c r="D109" t="s">
        <v>146</v>
      </c>
      <c r="E109">
        <v>1</v>
      </c>
      <c r="F109" t="str">
        <f>_xlfn.XLOOKUP(D109, Products!$A$2:$A$21, Products!$B$2:$B$21, "Not Found")</f>
        <v>Game Console</v>
      </c>
      <c r="G109" t="str">
        <f>_xlfn.XLOOKUP(D109, Products!$A$2:$A$21, Products!$C$2:$C$21)</f>
        <v>Gaming</v>
      </c>
      <c r="H109">
        <f>_xlfn.XLOOKUP(D109, Products!$A$2:$A$21, Products!$E$2:$E$21, 0)</f>
        <v>499</v>
      </c>
      <c r="I109">
        <f>_xlfn.XLOOKUP(D109, Products!$A$2:$A$21, Products!$F$2:$F$21,0)</f>
        <v>420</v>
      </c>
      <c r="J109" t="str">
        <f>_xlfn.XLOOKUP(C109, Stores!$A$2:$A$7, Stores!$D$2:$D$7)</f>
        <v>Sydney North</v>
      </c>
      <c r="K109">
        <f t="shared" si="2"/>
        <v>499</v>
      </c>
      <c r="L109">
        <f t="shared" si="3"/>
        <v>79</v>
      </c>
    </row>
    <row r="110" spans="1:12">
      <c r="A110" t="s">
        <v>147</v>
      </c>
      <c r="B110" s="2">
        <v>46218</v>
      </c>
      <c r="C110" t="s">
        <v>13</v>
      </c>
      <c r="D110" t="s">
        <v>54</v>
      </c>
      <c r="E110">
        <v>1</v>
      </c>
      <c r="F110" t="str">
        <f>_xlfn.XLOOKUP(D110, Products!$A$2:$A$21, Products!$B$2:$B$21, "Not Found")</f>
        <v>55in TV</v>
      </c>
      <c r="G110" t="str">
        <f>_xlfn.XLOOKUP(D110, Products!$A$2:$A$21, Products!$C$2:$C$21)</f>
        <v>TV</v>
      </c>
      <c r="H110">
        <f>_xlfn.XLOOKUP(D110, Products!$A$2:$A$21, Products!$E$2:$E$21, 0)</f>
        <v>1299</v>
      </c>
      <c r="I110">
        <f>_xlfn.XLOOKUP(D110, Products!$A$2:$A$21, Products!$F$2:$F$21,0)</f>
        <v>980</v>
      </c>
      <c r="J110" t="str">
        <f>_xlfn.XLOOKUP(C110, Stores!$A$2:$A$7, Stores!$D$2:$D$7)</f>
        <v>Sydney West</v>
      </c>
      <c r="K110">
        <f t="shared" si="2"/>
        <v>1299</v>
      </c>
      <c r="L110">
        <f t="shared" si="3"/>
        <v>319</v>
      </c>
    </row>
    <row r="111" spans="1:12">
      <c r="A111" t="s">
        <v>148</v>
      </c>
      <c r="B111" s="2">
        <v>46218</v>
      </c>
      <c r="C111" t="s">
        <v>25</v>
      </c>
      <c r="D111" t="s">
        <v>37</v>
      </c>
      <c r="E111">
        <v>1</v>
      </c>
      <c r="F111" t="str">
        <f>_xlfn.XLOOKUP(D111, Products!$A$2:$A$21, Products!$B$2:$B$21, "Not Found")</f>
        <v>Console Controller</v>
      </c>
      <c r="G111" t="str">
        <f>_xlfn.XLOOKUP(D111, Products!$A$2:$A$21, Products!$C$2:$C$21)</f>
        <v>Gaming</v>
      </c>
      <c r="H111">
        <f>_xlfn.XLOOKUP(D111, Products!$A$2:$A$21, Products!$E$2:$E$21, 0)</f>
        <v>99</v>
      </c>
      <c r="I111">
        <f>_xlfn.XLOOKUP(D111, Products!$A$2:$A$21, Products!$F$2:$F$21,0)</f>
        <v>58</v>
      </c>
      <c r="J111" t="str">
        <f>_xlfn.XLOOKUP(C111, Stores!$A$2:$A$7, Stores!$D$2:$D$7)</f>
        <v>Sydney South</v>
      </c>
      <c r="K111">
        <f t="shared" si="2"/>
        <v>99</v>
      </c>
      <c r="L111">
        <f t="shared" si="3"/>
        <v>41</v>
      </c>
    </row>
    <row r="112" spans="1:12">
      <c r="A112" t="s">
        <v>149</v>
      </c>
      <c r="B112" s="2">
        <v>46218</v>
      </c>
      <c r="C112" t="s">
        <v>25</v>
      </c>
      <c r="D112" t="s">
        <v>74</v>
      </c>
      <c r="E112">
        <v>1</v>
      </c>
      <c r="F112" t="str">
        <f>_xlfn.XLOOKUP(D112, Products!$A$2:$A$21, Products!$B$2:$B$21, "Not Found")</f>
        <v>Over-Ear Headphones</v>
      </c>
      <c r="G112" t="str">
        <f>_xlfn.XLOOKUP(D112, Products!$A$2:$A$21, Products!$C$2:$C$21)</f>
        <v>Audio</v>
      </c>
      <c r="H112">
        <f>_xlfn.XLOOKUP(D112, Products!$A$2:$A$21, Products!$E$2:$E$21, 0)</f>
        <v>499</v>
      </c>
      <c r="I112">
        <f>_xlfn.XLOOKUP(D112, Products!$A$2:$A$21, Products!$F$2:$F$21,0)</f>
        <v>310</v>
      </c>
      <c r="J112" t="str">
        <f>_xlfn.XLOOKUP(C112, Stores!$A$2:$A$7, Stores!$D$2:$D$7)</f>
        <v>Sydney South</v>
      </c>
      <c r="K112">
        <f t="shared" si="2"/>
        <v>499</v>
      </c>
      <c r="L112">
        <f t="shared" si="3"/>
        <v>189</v>
      </c>
    </row>
    <row r="113" spans="1:12">
      <c r="A113" t="s">
        <v>150</v>
      </c>
      <c r="B113" s="2">
        <v>46218</v>
      </c>
      <c r="C113" t="s">
        <v>25</v>
      </c>
      <c r="D113" t="s">
        <v>14</v>
      </c>
      <c r="E113">
        <v>1</v>
      </c>
      <c r="F113" t="str">
        <f>_xlfn.XLOOKUP(D113, Products!$A$2:$A$21, Products!$B$2:$B$21, "Not Found")</f>
        <v>Gaming Mouse</v>
      </c>
      <c r="G113" t="str">
        <f>_xlfn.XLOOKUP(D113, Products!$A$2:$A$21, Products!$C$2:$C$21)</f>
        <v>Accessories</v>
      </c>
      <c r="H113">
        <f>_xlfn.XLOOKUP(D113, Products!$A$2:$A$21, Products!$E$2:$E$21, 0)</f>
        <v>89</v>
      </c>
      <c r="I113">
        <f>_xlfn.XLOOKUP(D113, Products!$A$2:$A$21, Products!$F$2:$F$21,0)</f>
        <v>41</v>
      </c>
      <c r="J113" t="str">
        <f>_xlfn.XLOOKUP(C113, Stores!$A$2:$A$7, Stores!$D$2:$D$7)</f>
        <v>Sydney South</v>
      </c>
      <c r="K113">
        <f t="shared" si="2"/>
        <v>89</v>
      </c>
      <c r="L113">
        <f t="shared" si="3"/>
        <v>48</v>
      </c>
    </row>
    <row r="114" spans="1:12">
      <c r="A114" t="s">
        <v>151</v>
      </c>
      <c r="B114" s="2">
        <v>46218</v>
      </c>
      <c r="C114" t="s">
        <v>51</v>
      </c>
      <c r="D114" t="s">
        <v>29</v>
      </c>
      <c r="E114">
        <v>1</v>
      </c>
      <c r="F114" t="str">
        <f>_xlfn.XLOOKUP(D114, Products!$A$2:$A$21, Products!$B$2:$B$21, "Not Found")</f>
        <v>Phone Case</v>
      </c>
      <c r="G114" t="str">
        <f>_xlfn.XLOOKUP(D114, Products!$A$2:$A$21, Products!$C$2:$C$21)</f>
        <v>Accessories</v>
      </c>
      <c r="H114">
        <f>_xlfn.XLOOKUP(D114, Products!$A$2:$A$21, Products!$E$2:$E$21, 0)</f>
        <v>39</v>
      </c>
      <c r="I114">
        <f>_xlfn.XLOOKUP(D114, Products!$A$2:$A$21, Products!$F$2:$F$21,0)</f>
        <v>9</v>
      </c>
      <c r="J114" t="str">
        <f>_xlfn.XLOOKUP(C114, Stores!$A$2:$A$7, Stores!$D$2:$D$7)</f>
        <v>Sydney South</v>
      </c>
      <c r="K114">
        <f t="shared" si="2"/>
        <v>39</v>
      </c>
      <c r="L114">
        <f t="shared" si="3"/>
        <v>30</v>
      </c>
    </row>
    <row r="115" spans="1:12">
      <c r="A115" t="s">
        <v>152</v>
      </c>
      <c r="B115" s="2">
        <v>46218</v>
      </c>
      <c r="C115" t="s">
        <v>16</v>
      </c>
      <c r="D115" t="s">
        <v>44</v>
      </c>
      <c r="E115">
        <v>1</v>
      </c>
      <c r="F115" t="str">
        <f>_xlfn.XLOOKUP(D115, Products!$A$2:$A$21, Products!$B$2:$B$21, "Not Found")</f>
        <v>Smartphone 128GB</v>
      </c>
      <c r="G115" t="str">
        <f>_xlfn.XLOOKUP(D115, Products!$A$2:$A$21, Products!$C$2:$C$21)</f>
        <v>Phones</v>
      </c>
      <c r="H115">
        <f>_xlfn.XLOOKUP(D115, Products!$A$2:$A$21, Products!$E$2:$E$21, 0)</f>
        <v>1099</v>
      </c>
      <c r="I115">
        <f>_xlfn.XLOOKUP(D115, Products!$A$2:$A$21, Products!$F$2:$F$21,0)</f>
        <v>860</v>
      </c>
      <c r="J115" t="str">
        <f>_xlfn.XLOOKUP(C115, Stores!$A$2:$A$7, Stores!$D$2:$D$7)</f>
        <v>Sydney East</v>
      </c>
      <c r="K115">
        <f t="shared" si="2"/>
        <v>1099</v>
      </c>
      <c r="L115">
        <f t="shared" si="3"/>
        <v>239</v>
      </c>
    </row>
    <row r="116" spans="1:12">
      <c r="A116" t="s">
        <v>153</v>
      </c>
      <c r="B116" s="2">
        <v>46219</v>
      </c>
      <c r="C116" t="s">
        <v>13</v>
      </c>
      <c r="D116" t="s">
        <v>74</v>
      </c>
      <c r="E116">
        <v>2</v>
      </c>
      <c r="F116" t="str">
        <f>_xlfn.XLOOKUP(D116, Products!$A$2:$A$21, Products!$B$2:$B$21, "Not Found")</f>
        <v>Over-Ear Headphones</v>
      </c>
      <c r="G116" t="str">
        <f>_xlfn.XLOOKUP(D116, Products!$A$2:$A$21, Products!$C$2:$C$21)</f>
        <v>Audio</v>
      </c>
      <c r="H116">
        <f>_xlfn.XLOOKUP(D116, Products!$A$2:$A$21, Products!$E$2:$E$21, 0)</f>
        <v>499</v>
      </c>
      <c r="I116">
        <f>_xlfn.XLOOKUP(D116, Products!$A$2:$A$21, Products!$F$2:$F$21,0)</f>
        <v>310</v>
      </c>
      <c r="J116" t="str">
        <f>_xlfn.XLOOKUP(C116, Stores!$A$2:$A$7, Stores!$D$2:$D$7)</f>
        <v>Sydney West</v>
      </c>
      <c r="K116">
        <f t="shared" si="2"/>
        <v>998</v>
      </c>
      <c r="L116">
        <f t="shared" si="3"/>
        <v>378</v>
      </c>
    </row>
    <row r="117" spans="1:12">
      <c r="A117" t="s">
        <v>154</v>
      </c>
      <c r="B117" s="2">
        <v>46219</v>
      </c>
      <c r="C117" t="s">
        <v>25</v>
      </c>
      <c r="D117" t="s">
        <v>14</v>
      </c>
      <c r="E117">
        <v>1</v>
      </c>
      <c r="F117" t="str">
        <f>_xlfn.XLOOKUP(D117, Products!$A$2:$A$21, Products!$B$2:$B$21, "Not Found")</f>
        <v>Gaming Mouse</v>
      </c>
      <c r="G117" t="str">
        <f>_xlfn.XLOOKUP(D117, Products!$A$2:$A$21, Products!$C$2:$C$21)</f>
        <v>Accessories</v>
      </c>
      <c r="H117">
        <f>_xlfn.XLOOKUP(D117, Products!$A$2:$A$21, Products!$E$2:$E$21, 0)</f>
        <v>89</v>
      </c>
      <c r="I117">
        <f>_xlfn.XLOOKUP(D117, Products!$A$2:$A$21, Products!$F$2:$F$21,0)</f>
        <v>41</v>
      </c>
      <c r="J117" t="str">
        <f>_xlfn.XLOOKUP(C117, Stores!$A$2:$A$7, Stores!$D$2:$D$7)</f>
        <v>Sydney South</v>
      </c>
      <c r="K117">
        <f t="shared" si="2"/>
        <v>89</v>
      </c>
      <c r="L117">
        <f t="shared" si="3"/>
        <v>48</v>
      </c>
    </row>
    <row r="118" spans="1:12">
      <c r="A118" t="s">
        <v>155</v>
      </c>
      <c r="B118" s="2">
        <v>46219</v>
      </c>
      <c r="C118" t="s">
        <v>19</v>
      </c>
      <c r="D118" t="s">
        <v>14</v>
      </c>
      <c r="E118">
        <v>2</v>
      </c>
      <c r="F118" t="str">
        <f>_xlfn.XLOOKUP(D118, Products!$A$2:$A$21, Products!$B$2:$B$21, "Not Found")</f>
        <v>Gaming Mouse</v>
      </c>
      <c r="G118" t="str">
        <f>_xlfn.XLOOKUP(D118, Products!$A$2:$A$21, Products!$C$2:$C$21)</f>
        <v>Accessories</v>
      </c>
      <c r="H118">
        <f>_xlfn.XLOOKUP(D118, Products!$A$2:$A$21, Products!$E$2:$E$21, 0)</f>
        <v>89</v>
      </c>
      <c r="I118">
        <f>_xlfn.XLOOKUP(D118, Products!$A$2:$A$21, Products!$F$2:$F$21,0)</f>
        <v>41</v>
      </c>
      <c r="J118" t="str">
        <f>_xlfn.XLOOKUP(C118, Stores!$A$2:$A$7, Stores!$D$2:$D$7)</f>
        <v>Sydney North</v>
      </c>
      <c r="K118">
        <f t="shared" si="2"/>
        <v>178</v>
      </c>
      <c r="L118">
        <f t="shared" si="3"/>
        <v>96</v>
      </c>
    </row>
    <row r="119" spans="1:12">
      <c r="A119" t="s">
        <v>156</v>
      </c>
      <c r="B119" s="2">
        <v>46219</v>
      </c>
      <c r="C119" t="s">
        <v>16</v>
      </c>
      <c r="D119" t="s">
        <v>23</v>
      </c>
      <c r="E119">
        <v>1</v>
      </c>
      <c r="F119" t="str">
        <f>_xlfn.XLOOKUP(D119, Products!$A$2:$A$21, Products!$B$2:$B$21, "Not Found")</f>
        <v>Video Game</v>
      </c>
      <c r="G119" t="str">
        <f>_xlfn.XLOOKUP(D119, Products!$A$2:$A$21, Products!$C$2:$C$21)</f>
        <v>Gaming</v>
      </c>
      <c r="H119">
        <f>_xlfn.XLOOKUP(D119, Products!$A$2:$A$21, Products!$E$2:$E$21, 0)</f>
        <v>79</v>
      </c>
      <c r="I119">
        <f>_xlfn.XLOOKUP(D119, Products!$A$2:$A$21, Products!$F$2:$F$21,0)</f>
        <v>52</v>
      </c>
      <c r="J119" t="str">
        <f>_xlfn.XLOOKUP(C119, Stores!$A$2:$A$7, Stores!$D$2:$D$7)</f>
        <v>Sydney East</v>
      </c>
      <c r="K119">
        <f t="shared" si="2"/>
        <v>79</v>
      </c>
      <c r="L119">
        <f t="shared" si="3"/>
        <v>27</v>
      </c>
    </row>
    <row r="120" spans="1:12">
      <c r="A120" t="s">
        <v>157</v>
      </c>
      <c r="B120" s="2">
        <v>46219</v>
      </c>
      <c r="C120" t="s">
        <v>16</v>
      </c>
      <c r="D120" t="s">
        <v>61</v>
      </c>
      <c r="E120">
        <v>2</v>
      </c>
      <c r="F120" t="str">
        <f>_xlfn.XLOOKUP(D120, Products!$A$2:$A$21, Products!$B$2:$B$21, "Not Found")</f>
        <v>Soundbar</v>
      </c>
      <c r="G120" t="str">
        <f>_xlfn.XLOOKUP(D120, Products!$A$2:$A$21, Products!$C$2:$C$21)</f>
        <v>Audio</v>
      </c>
      <c r="H120">
        <f>_xlfn.XLOOKUP(D120, Products!$A$2:$A$21, Products!$E$2:$E$21, 0)</f>
        <v>699</v>
      </c>
      <c r="I120">
        <f>_xlfn.XLOOKUP(D120, Products!$A$2:$A$21, Products!$F$2:$F$21,0)</f>
        <v>450</v>
      </c>
      <c r="J120" t="str">
        <f>_xlfn.XLOOKUP(C120, Stores!$A$2:$A$7, Stores!$D$2:$D$7)</f>
        <v>Sydney East</v>
      </c>
      <c r="K120">
        <f t="shared" si="2"/>
        <v>1398</v>
      </c>
      <c r="L120">
        <f t="shared" si="3"/>
        <v>498</v>
      </c>
    </row>
    <row r="121" spans="1:12">
      <c r="A121" t="s">
        <v>158</v>
      </c>
      <c r="B121" s="2">
        <v>46219</v>
      </c>
      <c r="C121" t="s">
        <v>25</v>
      </c>
      <c r="D121" t="s">
        <v>20</v>
      </c>
      <c r="E121">
        <v>1</v>
      </c>
      <c r="F121" t="str">
        <f>_xlfn.XLOOKUP(D121, Products!$A$2:$A$21, Products!$B$2:$B$21, "Not Found")</f>
        <v>Bluetooth Speaker</v>
      </c>
      <c r="G121" t="str">
        <f>_xlfn.XLOOKUP(D121, Products!$A$2:$A$21, Products!$C$2:$C$21)</f>
        <v>Audio</v>
      </c>
      <c r="H121">
        <f>_xlfn.XLOOKUP(D121, Products!$A$2:$A$21, Products!$E$2:$E$21, 0)</f>
        <v>179</v>
      </c>
      <c r="I121">
        <f>_xlfn.XLOOKUP(D121, Products!$A$2:$A$21, Products!$F$2:$F$21,0)</f>
        <v>95</v>
      </c>
      <c r="J121" t="str">
        <f>_xlfn.XLOOKUP(C121, Stores!$A$2:$A$7, Stores!$D$2:$D$7)</f>
        <v>Sydney South</v>
      </c>
      <c r="K121">
        <f t="shared" si="2"/>
        <v>179</v>
      </c>
      <c r="L121">
        <f t="shared" si="3"/>
        <v>84</v>
      </c>
    </row>
    <row r="122" spans="1:12">
      <c r="A122" t="s">
        <v>159</v>
      </c>
      <c r="B122" s="2">
        <v>46220</v>
      </c>
      <c r="C122" t="s">
        <v>22</v>
      </c>
      <c r="D122" t="s">
        <v>17</v>
      </c>
      <c r="E122">
        <v>1</v>
      </c>
      <c r="F122" t="str">
        <f>_xlfn.XLOOKUP(D122, Products!$A$2:$A$21, Products!$B$2:$B$21, "Not Found")</f>
        <v>Wireless Earbuds</v>
      </c>
      <c r="G122" t="str">
        <f>_xlfn.XLOOKUP(D122, Products!$A$2:$A$21, Products!$C$2:$C$21)</f>
        <v>Audio</v>
      </c>
      <c r="H122">
        <f>_xlfn.XLOOKUP(D122, Products!$A$2:$A$21, Products!$E$2:$E$21, 0)</f>
        <v>249</v>
      </c>
      <c r="I122">
        <f>_xlfn.XLOOKUP(D122, Products!$A$2:$A$21, Products!$F$2:$F$21,0)</f>
        <v>140</v>
      </c>
      <c r="J122" t="str">
        <f>_xlfn.XLOOKUP(C122, Stores!$A$2:$A$7, Stores!$D$2:$D$7)</f>
        <v>Sydney West</v>
      </c>
      <c r="K122">
        <f t="shared" si="2"/>
        <v>249</v>
      </c>
      <c r="L122">
        <f t="shared" si="3"/>
        <v>109</v>
      </c>
    </row>
    <row r="123" spans="1:12">
      <c r="A123" t="s">
        <v>160</v>
      </c>
      <c r="B123" s="2">
        <v>46220</v>
      </c>
      <c r="C123" t="s">
        <v>25</v>
      </c>
      <c r="D123" t="s">
        <v>44</v>
      </c>
      <c r="E123">
        <v>1</v>
      </c>
      <c r="F123" t="str">
        <f>_xlfn.XLOOKUP(D123, Products!$A$2:$A$21, Products!$B$2:$B$21, "Not Found")</f>
        <v>Smartphone 128GB</v>
      </c>
      <c r="G123" t="str">
        <f>_xlfn.XLOOKUP(D123, Products!$A$2:$A$21, Products!$C$2:$C$21)</f>
        <v>Phones</v>
      </c>
      <c r="H123">
        <f>_xlfn.XLOOKUP(D123, Products!$A$2:$A$21, Products!$E$2:$E$21, 0)</f>
        <v>1099</v>
      </c>
      <c r="I123">
        <f>_xlfn.XLOOKUP(D123, Products!$A$2:$A$21, Products!$F$2:$F$21,0)</f>
        <v>860</v>
      </c>
      <c r="J123" t="str">
        <f>_xlfn.XLOOKUP(C123, Stores!$A$2:$A$7, Stores!$D$2:$D$7)</f>
        <v>Sydney South</v>
      </c>
      <c r="K123">
        <f t="shared" si="2"/>
        <v>1099</v>
      </c>
      <c r="L123">
        <f t="shared" si="3"/>
        <v>239</v>
      </c>
    </row>
    <row r="124" spans="1:12">
      <c r="A124" t="s">
        <v>161</v>
      </c>
      <c r="B124" s="2">
        <v>46220</v>
      </c>
      <c r="C124" t="s">
        <v>25</v>
      </c>
      <c r="D124" t="s">
        <v>23</v>
      </c>
      <c r="E124">
        <v>1</v>
      </c>
      <c r="F124" t="str">
        <f>_xlfn.XLOOKUP(D124, Products!$A$2:$A$21, Products!$B$2:$B$21, "Not Found")</f>
        <v>Video Game</v>
      </c>
      <c r="G124" t="str">
        <f>_xlfn.XLOOKUP(D124, Products!$A$2:$A$21, Products!$C$2:$C$21)</f>
        <v>Gaming</v>
      </c>
      <c r="H124">
        <f>_xlfn.XLOOKUP(D124, Products!$A$2:$A$21, Products!$E$2:$E$21, 0)</f>
        <v>79</v>
      </c>
      <c r="I124">
        <f>_xlfn.XLOOKUP(D124, Products!$A$2:$A$21, Products!$F$2:$F$21,0)</f>
        <v>52</v>
      </c>
      <c r="J124" t="str">
        <f>_xlfn.XLOOKUP(C124, Stores!$A$2:$A$7, Stores!$D$2:$D$7)</f>
        <v>Sydney South</v>
      </c>
      <c r="K124">
        <f t="shared" si="2"/>
        <v>79</v>
      </c>
      <c r="L124">
        <f t="shared" si="3"/>
        <v>27</v>
      </c>
    </row>
    <row r="125" spans="1:12">
      <c r="A125" t="s">
        <v>162</v>
      </c>
      <c r="B125" s="2">
        <v>46220</v>
      </c>
      <c r="C125" t="s">
        <v>13</v>
      </c>
      <c r="D125" t="s">
        <v>14</v>
      </c>
      <c r="E125">
        <v>3</v>
      </c>
      <c r="F125" t="str">
        <f>_xlfn.XLOOKUP(D125, Products!$A$2:$A$21, Products!$B$2:$B$21, "Not Found")</f>
        <v>Gaming Mouse</v>
      </c>
      <c r="G125" t="str">
        <f>_xlfn.XLOOKUP(D125, Products!$A$2:$A$21, Products!$C$2:$C$21)</f>
        <v>Accessories</v>
      </c>
      <c r="H125">
        <f>_xlfn.XLOOKUP(D125, Products!$A$2:$A$21, Products!$E$2:$E$21, 0)</f>
        <v>89</v>
      </c>
      <c r="I125">
        <f>_xlfn.XLOOKUP(D125, Products!$A$2:$A$21, Products!$F$2:$F$21,0)</f>
        <v>41</v>
      </c>
      <c r="J125" t="str">
        <f>_xlfn.XLOOKUP(C125, Stores!$A$2:$A$7, Stores!$D$2:$D$7)</f>
        <v>Sydney West</v>
      </c>
      <c r="K125">
        <f t="shared" si="2"/>
        <v>267</v>
      </c>
      <c r="L125">
        <f t="shared" si="3"/>
        <v>144</v>
      </c>
    </row>
    <row r="126" spans="1:12">
      <c r="A126" t="s">
        <v>163</v>
      </c>
      <c r="B126" s="2">
        <v>46220</v>
      </c>
      <c r="C126" t="s">
        <v>22</v>
      </c>
      <c r="D126" t="s">
        <v>44</v>
      </c>
      <c r="E126">
        <v>3</v>
      </c>
      <c r="F126" t="str">
        <f>_xlfn.XLOOKUP(D126, Products!$A$2:$A$21, Products!$B$2:$B$21, "Not Found")</f>
        <v>Smartphone 128GB</v>
      </c>
      <c r="G126" t="str">
        <f>_xlfn.XLOOKUP(D126, Products!$A$2:$A$21, Products!$C$2:$C$21)</f>
        <v>Phones</v>
      </c>
      <c r="H126">
        <f>_xlfn.XLOOKUP(D126, Products!$A$2:$A$21, Products!$E$2:$E$21, 0)</f>
        <v>1099</v>
      </c>
      <c r="I126">
        <f>_xlfn.XLOOKUP(D126, Products!$A$2:$A$21, Products!$F$2:$F$21,0)</f>
        <v>860</v>
      </c>
      <c r="J126" t="str">
        <f>_xlfn.XLOOKUP(C126, Stores!$A$2:$A$7, Stores!$D$2:$D$7)</f>
        <v>Sydney West</v>
      </c>
      <c r="K126">
        <f t="shared" si="2"/>
        <v>3297</v>
      </c>
      <c r="L126">
        <f t="shared" si="3"/>
        <v>717</v>
      </c>
    </row>
    <row r="127" spans="1:12">
      <c r="A127" t="s">
        <v>164</v>
      </c>
      <c r="B127" s="2">
        <v>46220</v>
      </c>
      <c r="C127" t="s">
        <v>19</v>
      </c>
      <c r="D127" t="s">
        <v>165</v>
      </c>
      <c r="E127">
        <v>2</v>
      </c>
      <c r="F127" t="str">
        <f>_xlfn.XLOOKUP(D127, Products!$A$2:$A$21, Products!$B$2:$B$21, "Not Found")</f>
        <v>Smartwatch</v>
      </c>
      <c r="G127" t="str">
        <f>_xlfn.XLOOKUP(D127, Products!$A$2:$A$21, Products!$C$2:$C$21)</f>
        <v>Phones</v>
      </c>
      <c r="H127">
        <f>_xlfn.XLOOKUP(D127, Products!$A$2:$A$21, Products!$E$2:$E$21, 0)</f>
        <v>649</v>
      </c>
      <c r="I127">
        <f>_xlfn.XLOOKUP(D127, Products!$A$2:$A$21, Products!$F$2:$F$21,0)</f>
        <v>480</v>
      </c>
      <c r="J127" t="str">
        <f>_xlfn.XLOOKUP(C127, Stores!$A$2:$A$7, Stores!$D$2:$D$7)</f>
        <v>Sydney North</v>
      </c>
      <c r="K127">
        <f t="shared" si="2"/>
        <v>1298</v>
      </c>
      <c r="L127">
        <f t="shared" si="3"/>
        <v>338</v>
      </c>
    </row>
    <row r="128" spans="1:12">
      <c r="A128" t="s">
        <v>166</v>
      </c>
      <c r="B128" s="2">
        <v>46220</v>
      </c>
      <c r="C128" t="s">
        <v>16</v>
      </c>
      <c r="D128" t="s">
        <v>63</v>
      </c>
      <c r="E128">
        <v>1</v>
      </c>
      <c r="F128" t="str">
        <f>_xlfn.XLOOKUP(D128, Products!$A$2:$A$21, Products!$B$2:$B$21, "Not Found")</f>
        <v>27in Monitor</v>
      </c>
      <c r="G128" t="str">
        <f>_xlfn.XLOOKUP(D128, Products!$A$2:$A$21, Products!$C$2:$C$21)</f>
        <v>Computers</v>
      </c>
      <c r="H128">
        <f>_xlfn.XLOOKUP(D128, Products!$A$2:$A$21, Products!$E$2:$E$21, 0)</f>
        <v>399</v>
      </c>
      <c r="I128">
        <f>_xlfn.XLOOKUP(D128, Products!$A$2:$A$21, Products!$F$2:$F$21,0)</f>
        <v>290</v>
      </c>
      <c r="J128" t="str">
        <f>_xlfn.XLOOKUP(C128, Stores!$A$2:$A$7, Stores!$D$2:$D$7)</f>
        <v>Sydney East</v>
      </c>
      <c r="K128">
        <f t="shared" si="2"/>
        <v>399</v>
      </c>
      <c r="L128">
        <f t="shared" si="3"/>
        <v>109</v>
      </c>
    </row>
    <row r="129" spans="1:12">
      <c r="A129" t="s">
        <v>167</v>
      </c>
      <c r="B129" s="2">
        <v>46220</v>
      </c>
      <c r="C129" t="s">
        <v>51</v>
      </c>
      <c r="D129" t="s">
        <v>63</v>
      </c>
      <c r="E129">
        <v>2</v>
      </c>
      <c r="F129" t="str">
        <f>_xlfn.XLOOKUP(D129, Products!$A$2:$A$21, Products!$B$2:$B$21, "Not Found")</f>
        <v>27in Monitor</v>
      </c>
      <c r="G129" t="str">
        <f>_xlfn.XLOOKUP(D129, Products!$A$2:$A$21, Products!$C$2:$C$21)</f>
        <v>Computers</v>
      </c>
      <c r="H129">
        <f>_xlfn.XLOOKUP(D129, Products!$A$2:$A$21, Products!$E$2:$E$21, 0)</f>
        <v>399</v>
      </c>
      <c r="I129">
        <f>_xlfn.XLOOKUP(D129, Products!$A$2:$A$21, Products!$F$2:$F$21,0)</f>
        <v>290</v>
      </c>
      <c r="J129" t="str">
        <f>_xlfn.XLOOKUP(C129, Stores!$A$2:$A$7, Stores!$D$2:$D$7)</f>
        <v>Sydney South</v>
      </c>
      <c r="K129">
        <f t="shared" si="2"/>
        <v>798</v>
      </c>
      <c r="L129">
        <f t="shared" si="3"/>
        <v>218</v>
      </c>
    </row>
    <row r="130" spans="1:12">
      <c r="A130" t="s">
        <v>168</v>
      </c>
      <c r="B130" s="2">
        <v>46221</v>
      </c>
      <c r="C130" t="s">
        <v>19</v>
      </c>
      <c r="D130" t="s">
        <v>14</v>
      </c>
      <c r="E130">
        <v>1</v>
      </c>
      <c r="F130" t="str">
        <f>_xlfn.XLOOKUP(D130, Products!$A$2:$A$21, Products!$B$2:$B$21, "Not Found")</f>
        <v>Gaming Mouse</v>
      </c>
      <c r="G130" t="str">
        <f>_xlfn.XLOOKUP(D130, Products!$A$2:$A$21, Products!$C$2:$C$21)</f>
        <v>Accessories</v>
      </c>
      <c r="H130">
        <f>_xlfn.XLOOKUP(D130, Products!$A$2:$A$21, Products!$E$2:$E$21, 0)</f>
        <v>89</v>
      </c>
      <c r="I130">
        <f>_xlfn.XLOOKUP(D130, Products!$A$2:$A$21, Products!$F$2:$F$21,0)</f>
        <v>41</v>
      </c>
      <c r="J130" t="str">
        <f>_xlfn.XLOOKUP(C130, Stores!$A$2:$A$7, Stores!$D$2:$D$7)</f>
        <v>Sydney North</v>
      </c>
      <c r="K130">
        <f t="shared" si="2"/>
        <v>89</v>
      </c>
      <c r="L130">
        <f t="shared" si="3"/>
        <v>48</v>
      </c>
    </row>
    <row r="131" spans="1:12">
      <c r="A131" t="s">
        <v>169</v>
      </c>
      <c r="B131" s="2">
        <v>46221</v>
      </c>
      <c r="C131" t="s">
        <v>19</v>
      </c>
      <c r="D131" t="s">
        <v>32</v>
      </c>
      <c r="E131">
        <v>2</v>
      </c>
      <c r="F131" t="str">
        <f>_xlfn.XLOOKUP(D131, Products!$A$2:$A$21, Products!$B$2:$B$21, "Not Found")</f>
        <v>USB-C Charger</v>
      </c>
      <c r="G131" t="str">
        <f>_xlfn.XLOOKUP(D131, Products!$A$2:$A$21, Products!$C$2:$C$21)</f>
        <v>Accessories</v>
      </c>
      <c r="H131">
        <f>_xlfn.XLOOKUP(D131, Products!$A$2:$A$21, Products!$E$2:$E$21, 0)</f>
        <v>49</v>
      </c>
      <c r="I131">
        <f>_xlfn.XLOOKUP(D131, Products!$A$2:$A$21, Products!$F$2:$F$21,0)</f>
        <v>14</v>
      </c>
      <c r="J131" t="str">
        <f>_xlfn.XLOOKUP(C131, Stores!$A$2:$A$7, Stores!$D$2:$D$7)</f>
        <v>Sydney North</v>
      </c>
      <c r="K131">
        <f t="shared" ref="K131:K194" si="4" xml:space="preserve"> E131*H131</f>
        <v>98</v>
      </c>
      <c r="L131">
        <f t="shared" ref="L131:L194" si="5" xml:space="preserve"> K131 - (E131 * I131)</f>
        <v>70</v>
      </c>
    </row>
    <row r="132" spans="1:12">
      <c r="A132" t="s">
        <v>170</v>
      </c>
      <c r="B132" s="2">
        <v>46222</v>
      </c>
      <c r="C132" t="s">
        <v>19</v>
      </c>
      <c r="D132" t="s">
        <v>32</v>
      </c>
      <c r="E132">
        <v>1</v>
      </c>
      <c r="F132" t="str">
        <f>_xlfn.XLOOKUP(D132, Products!$A$2:$A$21, Products!$B$2:$B$21, "Not Found")</f>
        <v>USB-C Charger</v>
      </c>
      <c r="G132" t="str">
        <f>_xlfn.XLOOKUP(D132, Products!$A$2:$A$21, Products!$C$2:$C$21)</f>
        <v>Accessories</v>
      </c>
      <c r="H132">
        <f>_xlfn.XLOOKUP(D132, Products!$A$2:$A$21, Products!$E$2:$E$21, 0)</f>
        <v>49</v>
      </c>
      <c r="I132">
        <f>_xlfn.XLOOKUP(D132, Products!$A$2:$A$21, Products!$F$2:$F$21,0)</f>
        <v>14</v>
      </c>
      <c r="J132" t="str">
        <f>_xlfn.XLOOKUP(C132, Stores!$A$2:$A$7, Stores!$D$2:$D$7)</f>
        <v>Sydney North</v>
      </c>
      <c r="K132">
        <f t="shared" si="4"/>
        <v>49</v>
      </c>
      <c r="L132">
        <f t="shared" si="5"/>
        <v>35</v>
      </c>
    </row>
    <row r="133" spans="1:12">
      <c r="A133" t="s">
        <v>171</v>
      </c>
      <c r="B133" s="2">
        <v>46222</v>
      </c>
      <c r="C133" t="s">
        <v>25</v>
      </c>
      <c r="D133" t="s">
        <v>93</v>
      </c>
      <c r="E133">
        <v>1</v>
      </c>
      <c r="F133" t="str">
        <f>_xlfn.XLOOKUP(D133, Products!$A$2:$A$21, Products!$B$2:$B$21, "Not Found")</f>
        <v>Smartphone 256GB</v>
      </c>
      <c r="G133" t="str">
        <f>_xlfn.XLOOKUP(D133, Products!$A$2:$A$21, Products!$C$2:$C$21)</f>
        <v>Phones</v>
      </c>
      <c r="H133">
        <f>_xlfn.XLOOKUP(D133, Products!$A$2:$A$21, Products!$E$2:$E$21, 0)</f>
        <v>1499</v>
      </c>
      <c r="I133">
        <f>_xlfn.XLOOKUP(D133, Products!$A$2:$A$21, Products!$F$2:$F$21,0)</f>
        <v>1180</v>
      </c>
      <c r="J133" t="str">
        <f>_xlfn.XLOOKUP(C133, Stores!$A$2:$A$7, Stores!$D$2:$D$7)</f>
        <v>Sydney South</v>
      </c>
      <c r="K133">
        <f t="shared" si="4"/>
        <v>1499</v>
      </c>
      <c r="L133">
        <f t="shared" si="5"/>
        <v>319</v>
      </c>
    </row>
    <row r="134" spans="1:12">
      <c r="A134" t="s">
        <v>172</v>
      </c>
      <c r="B134" s="2">
        <v>46222</v>
      </c>
      <c r="C134" t="s">
        <v>25</v>
      </c>
      <c r="D134" t="s">
        <v>63</v>
      </c>
      <c r="E134">
        <v>1</v>
      </c>
      <c r="F134" t="str">
        <f>_xlfn.XLOOKUP(D134, Products!$A$2:$A$21, Products!$B$2:$B$21, "Not Found")</f>
        <v>27in Monitor</v>
      </c>
      <c r="G134" t="str">
        <f>_xlfn.XLOOKUP(D134, Products!$A$2:$A$21, Products!$C$2:$C$21)</f>
        <v>Computers</v>
      </c>
      <c r="H134">
        <f>_xlfn.XLOOKUP(D134, Products!$A$2:$A$21, Products!$E$2:$E$21, 0)</f>
        <v>399</v>
      </c>
      <c r="I134">
        <f>_xlfn.XLOOKUP(D134, Products!$A$2:$A$21, Products!$F$2:$F$21,0)</f>
        <v>290</v>
      </c>
      <c r="J134" t="str">
        <f>_xlfn.XLOOKUP(C134, Stores!$A$2:$A$7, Stores!$D$2:$D$7)</f>
        <v>Sydney South</v>
      </c>
      <c r="K134">
        <f t="shared" si="4"/>
        <v>399</v>
      </c>
      <c r="L134">
        <f t="shared" si="5"/>
        <v>109</v>
      </c>
    </row>
    <row r="135" spans="1:12">
      <c r="A135" t="s">
        <v>173</v>
      </c>
      <c r="B135" s="2">
        <v>46222</v>
      </c>
      <c r="C135" t="s">
        <v>22</v>
      </c>
      <c r="D135" t="s">
        <v>14</v>
      </c>
      <c r="E135">
        <v>1</v>
      </c>
      <c r="F135" t="str">
        <f>_xlfn.XLOOKUP(D135, Products!$A$2:$A$21, Products!$B$2:$B$21, "Not Found")</f>
        <v>Gaming Mouse</v>
      </c>
      <c r="G135" t="str">
        <f>_xlfn.XLOOKUP(D135, Products!$A$2:$A$21, Products!$C$2:$C$21)</f>
        <v>Accessories</v>
      </c>
      <c r="H135">
        <f>_xlfn.XLOOKUP(D135, Products!$A$2:$A$21, Products!$E$2:$E$21, 0)</f>
        <v>89</v>
      </c>
      <c r="I135">
        <f>_xlfn.XLOOKUP(D135, Products!$A$2:$A$21, Products!$F$2:$F$21,0)</f>
        <v>41</v>
      </c>
      <c r="J135" t="str">
        <f>_xlfn.XLOOKUP(C135, Stores!$A$2:$A$7, Stores!$D$2:$D$7)</f>
        <v>Sydney West</v>
      </c>
      <c r="K135">
        <f t="shared" si="4"/>
        <v>89</v>
      </c>
      <c r="L135">
        <f t="shared" si="5"/>
        <v>48</v>
      </c>
    </row>
    <row r="136" spans="1:12">
      <c r="A136" t="s">
        <v>174</v>
      </c>
      <c r="B136" s="2">
        <v>46222</v>
      </c>
      <c r="C136" t="s">
        <v>16</v>
      </c>
      <c r="D136" t="s">
        <v>44</v>
      </c>
      <c r="E136">
        <v>2</v>
      </c>
      <c r="F136" t="str">
        <f>_xlfn.XLOOKUP(D136, Products!$A$2:$A$21, Products!$B$2:$B$21, "Not Found")</f>
        <v>Smartphone 128GB</v>
      </c>
      <c r="G136" t="str">
        <f>_xlfn.XLOOKUP(D136, Products!$A$2:$A$21, Products!$C$2:$C$21)</f>
        <v>Phones</v>
      </c>
      <c r="H136">
        <f>_xlfn.XLOOKUP(D136, Products!$A$2:$A$21, Products!$E$2:$E$21, 0)</f>
        <v>1099</v>
      </c>
      <c r="I136">
        <f>_xlfn.XLOOKUP(D136, Products!$A$2:$A$21, Products!$F$2:$F$21,0)</f>
        <v>860</v>
      </c>
      <c r="J136" t="str">
        <f>_xlfn.XLOOKUP(C136, Stores!$A$2:$A$7, Stores!$D$2:$D$7)</f>
        <v>Sydney East</v>
      </c>
      <c r="K136">
        <f t="shared" si="4"/>
        <v>2198</v>
      </c>
      <c r="L136">
        <f t="shared" si="5"/>
        <v>478</v>
      </c>
    </row>
    <row r="137" spans="1:12">
      <c r="A137" t="s">
        <v>175</v>
      </c>
      <c r="B137" s="2">
        <v>46222</v>
      </c>
      <c r="C137" t="s">
        <v>25</v>
      </c>
      <c r="D137" t="s">
        <v>20</v>
      </c>
      <c r="E137">
        <v>2</v>
      </c>
      <c r="F137" t="str">
        <f>_xlfn.XLOOKUP(D137, Products!$A$2:$A$21, Products!$B$2:$B$21, "Not Found")</f>
        <v>Bluetooth Speaker</v>
      </c>
      <c r="G137" t="str">
        <f>_xlfn.XLOOKUP(D137, Products!$A$2:$A$21, Products!$C$2:$C$21)</f>
        <v>Audio</v>
      </c>
      <c r="H137">
        <f>_xlfn.XLOOKUP(D137, Products!$A$2:$A$21, Products!$E$2:$E$21, 0)</f>
        <v>179</v>
      </c>
      <c r="I137">
        <f>_xlfn.XLOOKUP(D137, Products!$A$2:$A$21, Products!$F$2:$F$21,0)</f>
        <v>95</v>
      </c>
      <c r="J137" t="str">
        <f>_xlfn.XLOOKUP(C137, Stores!$A$2:$A$7, Stores!$D$2:$D$7)</f>
        <v>Sydney South</v>
      </c>
      <c r="K137">
        <f t="shared" si="4"/>
        <v>358</v>
      </c>
      <c r="L137">
        <f t="shared" si="5"/>
        <v>168</v>
      </c>
    </row>
    <row r="138" spans="1:12">
      <c r="A138" t="s">
        <v>176</v>
      </c>
      <c r="B138" s="2">
        <v>46222</v>
      </c>
      <c r="C138" t="s">
        <v>25</v>
      </c>
      <c r="D138" t="s">
        <v>74</v>
      </c>
      <c r="E138">
        <v>1</v>
      </c>
      <c r="F138" t="str">
        <f>_xlfn.XLOOKUP(D138, Products!$A$2:$A$21, Products!$B$2:$B$21, "Not Found")</f>
        <v>Over-Ear Headphones</v>
      </c>
      <c r="G138" t="str">
        <f>_xlfn.XLOOKUP(D138, Products!$A$2:$A$21, Products!$C$2:$C$21)</f>
        <v>Audio</v>
      </c>
      <c r="H138">
        <f>_xlfn.XLOOKUP(D138, Products!$A$2:$A$21, Products!$E$2:$E$21, 0)</f>
        <v>499</v>
      </c>
      <c r="I138">
        <f>_xlfn.XLOOKUP(D138, Products!$A$2:$A$21, Products!$F$2:$F$21,0)</f>
        <v>310</v>
      </c>
      <c r="J138" t="str">
        <f>_xlfn.XLOOKUP(C138, Stores!$A$2:$A$7, Stores!$D$2:$D$7)</f>
        <v>Sydney South</v>
      </c>
      <c r="K138">
        <f t="shared" si="4"/>
        <v>499</v>
      </c>
      <c r="L138">
        <f t="shared" si="5"/>
        <v>189</v>
      </c>
    </row>
    <row r="139" spans="1:12">
      <c r="A139" t="s">
        <v>177</v>
      </c>
      <c r="B139" s="2">
        <v>46222</v>
      </c>
      <c r="C139" t="s">
        <v>22</v>
      </c>
      <c r="D139" t="s">
        <v>52</v>
      </c>
      <c r="E139">
        <v>1</v>
      </c>
      <c r="F139" t="str">
        <f>_xlfn.XLOOKUP(D139, Products!$A$2:$A$21, Products!$B$2:$B$21, "Not Found")</f>
        <v>Mech Keyboard</v>
      </c>
      <c r="G139" t="str">
        <f>_xlfn.XLOOKUP(D139, Products!$A$2:$A$21, Products!$C$2:$C$21)</f>
        <v>Accessories</v>
      </c>
      <c r="H139">
        <f>_xlfn.XLOOKUP(D139, Products!$A$2:$A$21, Products!$E$2:$E$21, 0)</f>
        <v>149</v>
      </c>
      <c r="I139">
        <f>_xlfn.XLOOKUP(D139, Products!$A$2:$A$21, Products!$F$2:$F$21,0)</f>
        <v>72</v>
      </c>
      <c r="J139" t="str">
        <f>_xlfn.XLOOKUP(C139, Stores!$A$2:$A$7, Stores!$D$2:$D$7)</f>
        <v>Sydney West</v>
      </c>
      <c r="K139">
        <f t="shared" si="4"/>
        <v>149</v>
      </c>
      <c r="L139">
        <f t="shared" si="5"/>
        <v>77</v>
      </c>
    </row>
    <row r="140" spans="1:12">
      <c r="A140" t="s">
        <v>178</v>
      </c>
      <c r="B140" s="2">
        <v>46222</v>
      </c>
      <c r="C140" t="s">
        <v>19</v>
      </c>
      <c r="D140" t="s">
        <v>29</v>
      </c>
      <c r="E140">
        <v>1</v>
      </c>
      <c r="F140" t="str">
        <f>_xlfn.XLOOKUP(D140, Products!$A$2:$A$21, Products!$B$2:$B$21, "Not Found")</f>
        <v>Phone Case</v>
      </c>
      <c r="G140" t="str">
        <f>_xlfn.XLOOKUP(D140, Products!$A$2:$A$21, Products!$C$2:$C$21)</f>
        <v>Accessories</v>
      </c>
      <c r="H140">
        <f>_xlfn.XLOOKUP(D140, Products!$A$2:$A$21, Products!$E$2:$E$21, 0)</f>
        <v>39</v>
      </c>
      <c r="I140">
        <f>_xlfn.XLOOKUP(D140, Products!$A$2:$A$21, Products!$F$2:$F$21,0)</f>
        <v>9</v>
      </c>
      <c r="J140" t="str">
        <f>_xlfn.XLOOKUP(C140, Stores!$A$2:$A$7, Stores!$D$2:$D$7)</f>
        <v>Sydney North</v>
      </c>
      <c r="K140">
        <f t="shared" si="4"/>
        <v>39</v>
      </c>
      <c r="L140">
        <f t="shared" si="5"/>
        <v>30</v>
      </c>
    </row>
    <row r="141" spans="1:12">
      <c r="A141" t="s">
        <v>179</v>
      </c>
      <c r="B141" s="2">
        <v>46222</v>
      </c>
      <c r="C141" t="s">
        <v>19</v>
      </c>
      <c r="D141" t="s">
        <v>20</v>
      </c>
      <c r="E141">
        <v>1</v>
      </c>
      <c r="F141" t="str">
        <f>_xlfn.XLOOKUP(D141, Products!$A$2:$A$21, Products!$B$2:$B$21, "Not Found")</f>
        <v>Bluetooth Speaker</v>
      </c>
      <c r="G141" t="str">
        <f>_xlfn.XLOOKUP(D141, Products!$A$2:$A$21, Products!$C$2:$C$21)</f>
        <v>Audio</v>
      </c>
      <c r="H141">
        <f>_xlfn.XLOOKUP(D141, Products!$A$2:$A$21, Products!$E$2:$E$21, 0)</f>
        <v>179</v>
      </c>
      <c r="I141">
        <f>_xlfn.XLOOKUP(D141, Products!$A$2:$A$21, Products!$F$2:$F$21,0)</f>
        <v>95</v>
      </c>
      <c r="J141" t="str">
        <f>_xlfn.XLOOKUP(C141, Stores!$A$2:$A$7, Stores!$D$2:$D$7)</f>
        <v>Sydney North</v>
      </c>
      <c r="K141">
        <f t="shared" si="4"/>
        <v>179</v>
      </c>
      <c r="L141">
        <f t="shared" si="5"/>
        <v>84</v>
      </c>
    </row>
    <row r="142" spans="1:12">
      <c r="A142" t="s">
        <v>180</v>
      </c>
      <c r="B142" s="2">
        <v>46223</v>
      </c>
      <c r="C142" t="s">
        <v>22</v>
      </c>
      <c r="D142" t="s">
        <v>93</v>
      </c>
      <c r="E142">
        <v>1</v>
      </c>
      <c r="F142" t="str">
        <f>_xlfn.XLOOKUP(D142, Products!$A$2:$A$21, Products!$B$2:$B$21, "Not Found")</f>
        <v>Smartphone 256GB</v>
      </c>
      <c r="G142" t="str">
        <f>_xlfn.XLOOKUP(D142, Products!$A$2:$A$21, Products!$C$2:$C$21)</f>
        <v>Phones</v>
      </c>
      <c r="H142">
        <f>_xlfn.XLOOKUP(D142, Products!$A$2:$A$21, Products!$E$2:$E$21, 0)</f>
        <v>1499</v>
      </c>
      <c r="I142">
        <f>_xlfn.XLOOKUP(D142, Products!$A$2:$A$21, Products!$F$2:$F$21,0)</f>
        <v>1180</v>
      </c>
      <c r="J142" t="str">
        <f>_xlfn.XLOOKUP(C142, Stores!$A$2:$A$7, Stores!$D$2:$D$7)</f>
        <v>Sydney West</v>
      </c>
      <c r="K142">
        <f t="shared" si="4"/>
        <v>1499</v>
      </c>
      <c r="L142">
        <f t="shared" si="5"/>
        <v>319</v>
      </c>
    </row>
    <row r="143" spans="1:12">
      <c r="A143" t="s">
        <v>181</v>
      </c>
      <c r="B143" s="2">
        <v>46223</v>
      </c>
      <c r="C143" t="s">
        <v>22</v>
      </c>
      <c r="D143" t="s">
        <v>23</v>
      </c>
      <c r="E143">
        <v>2</v>
      </c>
      <c r="F143" t="str">
        <f>_xlfn.XLOOKUP(D143, Products!$A$2:$A$21, Products!$B$2:$B$21, "Not Found")</f>
        <v>Video Game</v>
      </c>
      <c r="G143" t="str">
        <f>_xlfn.XLOOKUP(D143, Products!$A$2:$A$21, Products!$C$2:$C$21)</f>
        <v>Gaming</v>
      </c>
      <c r="H143">
        <f>_xlfn.XLOOKUP(D143, Products!$A$2:$A$21, Products!$E$2:$E$21, 0)</f>
        <v>79</v>
      </c>
      <c r="I143">
        <f>_xlfn.XLOOKUP(D143, Products!$A$2:$A$21, Products!$F$2:$F$21,0)</f>
        <v>52</v>
      </c>
      <c r="J143" t="str">
        <f>_xlfn.XLOOKUP(C143, Stores!$A$2:$A$7, Stores!$D$2:$D$7)</f>
        <v>Sydney West</v>
      </c>
      <c r="K143">
        <f t="shared" si="4"/>
        <v>158</v>
      </c>
      <c r="L143">
        <f t="shared" si="5"/>
        <v>54</v>
      </c>
    </row>
    <row r="144" spans="1:12">
      <c r="A144" t="s">
        <v>182</v>
      </c>
      <c r="B144" s="2">
        <v>46223</v>
      </c>
      <c r="C144" t="s">
        <v>19</v>
      </c>
      <c r="D144" t="s">
        <v>17</v>
      </c>
      <c r="E144">
        <v>1</v>
      </c>
      <c r="F144" t="str">
        <f>_xlfn.XLOOKUP(D144, Products!$A$2:$A$21, Products!$B$2:$B$21, "Not Found")</f>
        <v>Wireless Earbuds</v>
      </c>
      <c r="G144" t="str">
        <f>_xlfn.XLOOKUP(D144, Products!$A$2:$A$21, Products!$C$2:$C$21)</f>
        <v>Audio</v>
      </c>
      <c r="H144">
        <f>_xlfn.XLOOKUP(D144, Products!$A$2:$A$21, Products!$E$2:$E$21, 0)</f>
        <v>249</v>
      </c>
      <c r="I144">
        <f>_xlfn.XLOOKUP(D144, Products!$A$2:$A$21, Products!$F$2:$F$21,0)</f>
        <v>140</v>
      </c>
      <c r="J144" t="str">
        <f>_xlfn.XLOOKUP(C144, Stores!$A$2:$A$7, Stores!$D$2:$D$7)</f>
        <v>Sydney North</v>
      </c>
      <c r="K144">
        <f t="shared" si="4"/>
        <v>249</v>
      </c>
      <c r="L144">
        <f t="shared" si="5"/>
        <v>109</v>
      </c>
    </row>
    <row r="145" spans="1:12">
      <c r="A145" t="s">
        <v>183</v>
      </c>
      <c r="B145" s="2">
        <v>46223</v>
      </c>
      <c r="C145" t="s">
        <v>22</v>
      </c>
      <c r="D145" t="s">
        <v>37</v>
      </c>
      <c r="E145">
        <v>1</v>
      </c>
      <c r="F145" t="str">
        <f>_xlfn.XLOOKUP(D145, Products!$A$2:$A$21, Products!$B$2:$B$21, "Not Found")</f>
        <v>Console Controller</v>
      </c>
      <c r="G145" t="str">
        <f>_xlfn.XLOOKUP(D145, Products!$A$2:$A$21, Products!$C$2:$C$21)</f>
        <v>Gaming</v>
      </c>
      <c r="H145">
        <f>_xlfn.XLOOKUP(D145, Products!$A$2:$A$21, Products!$E$2:$E$21, 0)</f>
        <v>99</v>
      </c>
      <c r="I145">
        <f>_xlfn.XLOOKUP(D145, Products!$A$2:$A$21, Products!$F$2:$F$21,0)</f>
        <v>58</v>
      </c>
      <c r="J145" t="str">
        <f>_xlfn.XLOOKUP(C145, Stores!$A$2:$A$7, Stores!$D$2:$D$7)</f>
        <v>Sydney West</v>
      </c>
      <c r="K145">
        <f t="shared" si="4"/>
        <v>99</v>
      </c>
      <c r="L145">
        <f t="shared" si="5"/>
        <v>41</v>
      </c>
    </row>
    <row r="146" spans="1:12">
      <c r="A146" t="s">
        <v>184</v>
      </c>
      <c r="B146" s="2">
        <v>46223</v>
      </c>
      <c r="C146" t="s">
        <v>51</v>
      </c>
      <c r="D146" t="s">
        <v>20</v>
      </c>
      <c r="E146">
        <v>1</v>
      </c>
      <c r="F146" t="str">
        <f>_xlfn.XLOOKUP(D146, Products!$A$2:$A$21, Products!$B$2:$B$21, "Not Found")</f>
        <v>Bluetooth Speaker</v>
      </c>
      <c r="G146" t="str">
        <f>_xlfn.XLOOKUP(D146, Products!$A$2:$A$21, Products!$C$2:$C$21)</f>
        <v>Audio</v>
      </c>
      <c r="H146">
        <f>_xlfn.XLOOKUP(D146, Products!$A$2:$A$21, Products!$E$2:$E$21, 0)</f>
        <v>179</v>
      </c>
      <c r="I146">
        <f>_xlfn.XLOOKUP(D146, Products!$A$2:$A$21, Products!$F$2:$F$21,0)</f>
        <v>95</v>
      </c>
      <c r="J146" t="str">
        <f>_xlfn.XLOOKUP(C146, Stores!$A$2:$A$7, Stores!$D$2:$D$7)</f>
        <v>Sydney South</v>
      </c>
      <c r="K146">
        <f t="shared" si="4"/>
        <v>179</v>
      </c>
      <c r="L146">
        <f t="shared" si="5"/>
        <v>84</v>
      </c>
    </row>
    <row r="147" spans="1:12">
      <c r="A147" t="s">
        <v>185</v>
      </c>
      <c r="B147" s="2">
        <v>46224</v>
      </c>
      <c r="C147" t="s">
        <v>51</v>
      </c>
      <c r="D147" t="s">
        <v>44</v>
      </c>
      <c r="E147">
        <v>2</v>
      </c>
      <c r="F147" t="str">
        <f>_xlfn.XLOOKUP(D147, Products!$A$2:$A$21, Products!$B$2:$B$21, "Not Found")</f>
        <v>Smartphone 128GB</v>
      </c>
      <c r="G147" t="str">
        <f>_xlfn.XLOOKUP(D147, Products!$A$2:$A$21, Products!$C$2:$C$21)</f>
        <v>Phones</v>
      </c>
      <c r="H147">
        <f>_xlfn.XLOOKUP(D147, Products!$A$2:$A$21, Products!$E$2:$E$21, 0)</f>
        <v>1099</v>
      </c>
      <c r="I147">
        <f>_xlfn.XLOOKUP(D147, Products!$A$2:$A$21, Products!$F$2:$F$21,0)</f>
        <v>860</v>
      </c>
      <c r="J147" t="str">
        <f>_xlfn.XLOOKUP(C147, Stores!$A$2:$A$7, Stores!$D$2:$D$7)</f>
        <v>Sydney South</v>
      </c>
      <c r="K147">
        <f t="shared" si="4"/>
        <v>2198</v>
      </c>
      <c r="L147">
        <f t="shared" si="5"/>
        <v>478</v>
      </c>
    </row>
    <row r="148" spans="1:12">
      <c r="A148" t="s">
        <v>186</v>
      </c>
      <c r="B148" s="2">
        <v>46224</v>
      </c>
      <c r="C148" t="s">
        <v>13</v>
      </c>
      <c r="D148" t="s">
        <v>17</v>
      </c>
      <c r="E148">
        <v>3</v>
      </c>
      <c r="F148" t="str">
        <f>_xlfn.XLOOKUP(D148, Products!$A$2:$A$21, Products!$B$2:$B$21, "Not Found")</f>
        <v>Wireless Earbuds</v>
      </c>
      <c r="G148" t="str">
        <f>_xlfn.XLOOKUP(D148, Products!$A$2:$A$21, Products!$C$2:$C$21)</f>
        <v>Audio</v>
      </c>
      <c r="H148">
        <f>_xlfn.XLOOKUP(D148, Products!$A$2:$A$21, Products!$E$2:$E$21, 0)</f>
        <v>249</v>
      </c>
      <c r="I148">
        <f>_xlfn.XLOOKUP(D148, Products!$A$2:$A$21, Products!$F$2:$F$21,0)</f>
        <v>140</v>
      </c>
      <c r="J148" t="str">
        <f>_xlfn.XLOOKUP(C148, Stores!$A$2:$A$7, Stores!$D$2:$D$7)</f>
        <v>Sydney West</v>
      </c>
      <c r="K148">
        <f t="shared" si="4"/>
        <v>747</v>
      </c>
      <c r="L148">
        <f t="shared" si="5"/>
        <v>327</v>
      </c>
    </row>
    <row r="149" spans="1:12">
      <c r="A149" t="s">
        <v>187</v>
      </c>
      <c r="B149" s="2">
        <v>46224</v>
      </c>
      <c r="C149" t="s">
        <v>16</v>
      </c>
      <c r="D149" t="s">
        <v>93</v>
      </c>
      <c r="E149">
        <v>1</v>
      </c>
      <c r="F149" t="str">
        <f>_xlfn.XLOOKUP(D149, Products!$A$2:$A$21, Products!$B$2:$B$21, "Not Found")</f>
        <v>Smartphone 256GB</v>
      </c>
      <c r="G149" t="str">
        <f>_xlfn.XLOOKUP(D149, Products!$A$2:$A$21, Products!$C$2:$C$21)</f>
        <v>Phones</v>
      </c>
      <c r="H149">
        <f>_xlfn.XLOOKUP(D149, Products!$A$2:$A$21, Products!$E$2:$E$21, 0)</f>
        <v>1499</v>
      </c>
      <c r="I149">
        <f>_xlfn.XLOOKUP(D149, Products!$A$2:$A$21, Products!$F$2:$F$21,0)</f>
        <v>1180</v>
      </c>
      <c r="J149" t="str">
        <f>_xlfn.XLOOKUP(C149, Stores!$A$2:$A$7, Stores!$D$2:$D$7)</f>
        <v>Sydney East</v>
      </c>
      <c r="K149">
        <f t="shared" si="4"/>
        <v>1499</v>
      </c>
      <c r="L149">
        <f t="shared" si="5"/>
        <v>319</v>
      </c>
    </row>
    <row r="150" spans="1:12">
      <c r="A150" t="s">
        <v>188</v>
      </c>
      <c r="B150" s="2">
        <v>46224</v>
      </c>
      <c r="C150" t="s">
        <v>25</v>
      </c>
      <c r="D150" t="s">
        <v>17</v>
      </c>
      <c r="E150">
        <v>1</v>
      </c>
      <c r="F150" t="str">
        <f>_xlfn.XLOOKUP(D150, Products!$A$2:$A$21, Products!$B$2:$B$21, "Not Found")</f>
        <v>Wireless Earbuds</v>
      </c>
      <c r="G150" t="str">
        <f>_xlfn.XLOOKUP(D150, Products!$A$2:$A$21, Products!$C$2:$C$21)</f>
        <v>Audio</v>
      </c>
      <c r="H150">
        <f>_xlfn.XLOOKUP(D150, Products!$A$2:$A$21, Products!$E$2:$E$21, 0)</f>
        <v>249</v>
      </c>
      <c r="I150">
        <f>_xlfn.XLOOKUP(D150, Products!$A$2:$A$21, Products!$F$2:$F$21,0)</f>
        <v>140</v>
      </c>
      <c r="J150" t="str">
        <f>_xlfn.XLOOKUP(C150, Stores!$A$2:$A$7, Stores!$D$2:$D$7)</f>
        <v>Sydney South</v>
      </c>
      <c r="K150">
        <f t="shared" si="4"/>
        <v>249</v>
      </c>
      <c r="L150">
        <f t="shared" si="5"/>
        <v>109</v>
      </c>
    </row>
    <row r="151" spans="1:12">
      <c r="A151" t="s">
        <v>189</v>
      </c>
      <c r="B151" s="2">
        <v>46224</v>
      </c>
      <c r="C151" t="s">
        <v>13</v>
      </c>
      <c r="D151" t="s">
        <v>54</v>
      </c>
      <c r="E151">
        <v>1</v>
      </c>
      <c r="F151" t="str">
        <f>_xlfn.XLOOKUP(D151, Products!$A$2:$A$21, Products!$B$2:$B$21, "Not Found")</f>
        <v>55in TV</v>
      </c>
      <c r="G151" t="str">
        <f>_xlfn.XLOOKUP(D151, Products!$A$2:$A$21, Products!$C$2:$C$21)</f>
        <v>TV</v>
      </c>
      <c r="H151">
        <f>_xlfn.XLOOKUP(D151, Products!$A$2:$A$21, Products!$E$2:$E$21, 0)</f>
        <v>1299</v>
      </c>
      <c r="I151">
        <f>_xlfn.XLOOKUP(D151, Products!$A$2:$A$21, Products!$F$2:$F$21,0)</f>
        <v>980</v>
      </c>
      <c r="J151" t="str">
        <f>_xlfn.XLOOKUP(C151, Stores!$A$2:$A$7, Stores!$D$2:$D$7)</f>
        <v>Sydney West</v>
      </c>
      <c r="K151">
        <f t="shared" si="4"/>
        <v>1299</v>
      </c>
      <c r="L151">
        <f t="shared" si="5"/>
        <v>319</v>
      </c>
    </row>
    <row r="152" spans="1:12">
      <c r="A152" t="s">
        <v>190</v>
      </c>
      <c r="B152" s="2">
        <v>46224</v>
      </c>
      <c r="C152" t="s">
        <v>22</v>
      </c>
      <c r="D152" t="s">
        <v>165</v>
      </c>
      <c r="E152">
        <v>1</v>
      </c>
      <c r="F152" t="str">
        <f>_xlfn.XLOOKUP(D152, Products!$A$2:$A$21, Products!$B$2:$B$21, "Not Found")</f>
        <v>Smartwatch</v>
      </c>
      <c r="G152" t="str">
        <f>_xlfn.XLOOKUP(D152, Products!$A$2:$A$21, Products!$C$2:$C$21)</f>
        <v>Phones</v>
      </c>
      <c r="H152">
        <f>_xlfn.XLOOKUP(D152, Products!$A$2:$A$21, Products!$E$2:$E$21, 0)</f>
        <v>649</v>
      </c>
      <c r="I152">
        <f>_xlfn.XLOOKUP(D152, Products!$A$2:$A$21, Products!$F$2:$F$21,0)</f>
        <v>480</v>
      </c>
      <c r="J152" t="str">
        <f>_xlfn.XLOOKUP(C152, Stores!$A$2:$A$7, Stores!$D$2:$D$7)</f>
        <v>Sydney West</v>
      </c>
      <c r="K152">
        <f t="shared" si="4"/>
        <v>649</v>
      </c>
      <c r="L152">
        <f t="shared" si="5"/>
        <v>169</v>
      </c>
    </row>
    <row r="153" spans="1:12">
      <c r="A153" t="s">
        <v>191</v>
      </c>
      <c r="B153" s="2">
        <v>46224</v>
      </c>
      <c r="C153" t="s">
        <v>22</v>
      </c>
      <c r="D153" t="s">
        <v>81</v>
      </c>
      <c r="E153">
        <v>1</v>
      </c>
      <c r="F153" t="str">
        <f>_xlfn.XLOOKUP(D153, Products!$A$2:$A$21, Products!$B$2:$B$21, "Not Found")</f>
        <v>Laptop 16in</v>
      </c>
      <c r="G153" t="str">
        <f>_xlfn.XLOOKUP(D153, Products!$A$2:$A$21, Products!$C$2:$C$21)</f>
        <v>Computers</v>
      </c>
      <c r="H153">
        <f>_xlfn.XLOOKUP(D153, Products!$A$2:$A$21, Products!$E$2:$E$21, 0)</f>
        <v>1799</v>
      </c>
      <c r="I153">
        <f>_xlfn.XLOOKUP(D153, Products!$A$2:$A$21, Products!$F$2:$F$21,0)</f>
        <v>1390</v>
      </c>
      <c r="J153" t="str">
        <f>_xlfn.XLOOKUP(C153, Stores!$A$2:$A$7, Stores!$D$2:$D$7)</f>
        <v>Sydney West</v>
      </c>
      <c r="K153">
        <f t="shared" si="4"/>
        <v>1799</v>
      </c>
      <c r="L153">
        <f t="shared" si="5"/>
        <v>409</v>
      </c>
    </row>
    <row r="154" spans="1:12">
      <c r="A154" t="s">
        <v>192</v>
      </c>
      <c r="B154" s="2">
        <v>46224</v>
      </c>
      <c r="C154" t="s">
        <v>22</v>
      </c>
      <c r="D154" t="s">
        <v>32</v>
      </c>
      <c r="E154">
        <v>1</v>
      </c>
      <c r="F154" t="str">
        <f>_xlfn.XLOOKUP(D154, Products!$A$2:$A$21, Products!$B$2:$B$21, "Not Found")</f>
        <v>USB-C Charger</v>
      </c>
      <c r="G154" t="str">
        <f>_xlfn.XLOOKUP(D154, Products!$A$2:$A$21, Products!$C$2:$C$21)</f>
        <v>Accessories</v>
      </c>
      <c r="H154">
        <f>_xlfn.XLOOKUP(D154, Products!$A$2:$A$21, Products!$E$2:$E$21, 0)</f>
        <v>49</v>
      </c>
      <c r="I154">
        <f>_xlfn.XLOOKUP(D154, Products!$A$2:$A$21, Products!$F$2:$F$21,0)</f>
        <v>14</v>
      </c>
      <c r="J154" t="str">
        <f>_xlfn.XLOOKUP(C154, Stores!$A$2:$A$7, Stores!$D$2:$D$7)</f>
        <v>Sydney West</v>
      </c>
      <c r="K154">
        <f t="shared" si="4"/>
        <v>49</v>
      </c>
      <c r="L154">
        <f t="shared" si="5"/>
        <v>35</v>
      </c>
    </row>
    <row r="155" spans="1:12">
      <c r="A155" t="s">
        <v>193</v>
      </c>
      <c r="B155" s="2">
        <v>46224</v>
      </c>
      <c r="C155" t="s">
        <v>16</v>
      </c>
      <c r="D155" t="s">
        <v>14</v>
      </c>
      <c r="E155">
        <v>1</v>
      </c>
      <c r="F155" t="str">
        <f>_xlfn.XLOOKUP(D155, Products!$A$2:$A$21, Products!$B$2:$B$21, "Not Found")</f>
        <v>Gaming Mouse</v>
      </c>
      <c r="G155" t="str">
        <f>_xlfn.XLOOKUP(D155, Products!$A$2:$A$21, Products!$C$2:$C$21)</f>
        <v>Accessories</v>
      </c>
      <c r="H155">
        <f>_xlfn.XLOOKUP(D155, Products!$A$2:$A$21, Products!$E$2:$E$21, 0)</f>
        <v>89</v>
      </c>
      <c r="I155">
        <f>_xlfn.XLOOKUP(D155, Products!$A$2:$A$21, Products!$F$2:$F$21,0)</f>
        <v>41</v>
      </c>
      <c r="J155" t="str">
        <f>_xlfn.XLOOKUP(C155, Stores!$A$2:$A$7, Stores!$D$2:$D$7)</f>
        <v>Sydney East</v>
      </c>
      <c r="K155">
        <f t="shared" si="4"/>
        <v>89</v>
      </c>
      <c r="L155">
        <f t="shared" si="5"/>
        <v>48</v>
      </c>
    </row>
    <row r="156" spans="1:12">
      <c r="A156" t="s">
        <v>194</v>
      </c>
      <c r="B156" s="2">
        <v>46224</v>
      </c>
      <c r="C156" t="s">
        <v>13</v>
      </c>
      <c r="D156" t="s">
        <v>17</v>
      </c>
      <c r="E156">
        <v>1</v>
      </c>
      <c r="F156" t="str">
        <f>_xlfn.XLOOKUP(D156, Products!$A$2:$A$21, Products!$B$2:$B$21, "Not Found")</f>
        <v>Wireless Earbuds</v>
      </c>
      <c r="G156" t="str">
        <f>_xlfn.XLOOKUP(D156, Products!$A$2:$A$21, Products!$C$2:$C$21)</f>
        <v>Audio</v>
      </c>
      <c r="H156">
        <f>_xlfn.XLOOKUP(D156, Products!$A$2:$A$21, Products!$E$2:$E$21, 0)</f>
        <v>249</v>
      </c>
      <c r="I156">
        <f>_xlfn.XLOOKUP(D156, Products!$A$2:$A$21, Products!$F$2:$F$21,0)</f>
        <v>140</v>
      </c>
      <c r="J156" t="str">
        <f>_xlfn.XLOOKUP(C156, Stores!$A$2:$A$7, Stores!$D$2:$D$7)</f>
        <v>Sydney West</v>
      </c>
      <c r="K156">
        <f t="shared" si="4"/>
        <v>249</v>
      </c>
      <c r="L156">
        <f t="shared" si="5"/>
        <v>109</v>
      </c>
    </row>
    <row r="157" spans="1:12">
      <c r="A157" t="s">
        <v>195</v>
      </c>
      <c r="B157" s="2">
        <v>46224</v>
      </c>
      <c r="C157" t="s">
        <v>22</v>
      </c>
      <c r="D157" t="s">
        <v>14</v>
      </c>
      <c r="E157">
        <v>1</v>
      </c>
      <c r="F157" t="str">
        <f>_xlfn.XLOOKUP(D157, Products!$A$2:$A$21, Products!$B$2:$B$21, "Not Found")</f>
        <v>Gaming Mouse</v>
      </c>
      <c r="G157" t="str">
        <f>_xlfn.XLOOKUP(D157, Products!$A$2:$A$21, Products!$C$2:$C$21)</f>
        <v>Accessories</v>
      </c>
      <c r="H157">
        <f>_xlfn.XLOOKUP(D157, Products!$A$2:$A$21, Products!$E$2:$E$21, 0)</f>
        <v>89</v>
      </c>
      <c r="I157">
        <f>_xlfn.XLOOKUP(D157, Products!$A$2:$A$21, Products!$F$2:$F$21,0)</f>
        <v>41</v>
      </c>
      <c r="J157" t="str">
        <f>_xlfn.XLOOKUP(C157, Stores!$A$2:$A$7, Stores!$D$2:$D$7)</f>
        <v>Sydney West</v>
      </c>
      <c r="K157">
        <f t="shared" si="4"/>
        <v>89</v>
      </c>
      <c r="L157">
        <f t="shared" si="5"/>
        <v>48</v>
      </c>
    </row>
    <row r="158" spans="1:12">
      <c r="A158" t="s">
        <v>196</v>
      </c>
      <c r="B158" s="2">
        <v>46224</v>
      </c>
      <c r="C158" t="s">
        <v>16</v>
      </c>
      <c r="D158" t="s">
        <v>146</v>
      </c>
      <c r="E158">
        <v>2</v>
      </c>
      <c r="F158" t="str">
        <f>_xlfn.XLOOKUP(D158, Products!$A$2:$A$21, Products!$B$2:$B$21, "Not Found")</f>
        <v>Game Console</v>
      </c>
      <c r="G158" t="str">
        <f>_xlfn.XLOOKUP(D158, Products!$A$2:$A$21, Products!$C$2:$C$21)</f>
        <v>Gaming</v>
      </c>
      <c r="H158">
        <f>_xlfn.XLOOKUP(D158, Products!$A$2:$A$21, Products!$E$2:$E$21, 0)</f>
        <v>499</v>
      </c>
      <c r="I158">
        <f>_xlfn.XLOOKUP(D158, Products!$A$2:$A$21, Products!$F$2:$F$21,0)</f>
        <v>420</v>
      </c>
      <c r="J158" t="str">
        <f>_xlfn.XLOOKUP(C158, Stores!$A$2:$A$7, Stores!$D$2:$D$7)</f>
        <v>Sydney East</v>
      </c>
      <c r="K158">
        <f t="shared" si="4"/>
        <v>998</v>
      </c>
      <c r="L158">
        <f t="shared" si="5"/>
        <v>158</v>
      </c>
    </row>
    <row r="159" spans="1:12">
      <c r="A159" t="s">
        <v>197</v>
      </c>
      <c r="B159" s="2">
        <v>46224</v>
      </c>
      <c r="C159" t="s">
        <v>22</v>
      </c>
      <c r="D159" t="s">
        <v>32</v>
      </c>
      <c r="E159">
        <v>1</v>
      </c>
      <c r="F159" t="str">
        <f>_xlfn.XLOOKUP(D159, Products!$A$2:$A$21, Products!$B$2:$B$21, "Not Found")</f>
        <v>USB-C Charger</v>
      </c>
      <c r="G159" t="str">
        <f>_xlfn.XLOOKUP(D159, Products!$A$2:$A$21, Products!$C$2:$C$21)</f>
        <v>Accessories</v>
      </c>
      <c r="H159">
        <f>_xlfn.XLOOKUP(D159, Products!$A$2:$A$21, Products!$E$2:$E$21, 0)</f>
        <v>49</v>
      </c>
      <c r="I159">
        <f>_xlfn.XLOOKUP(D159, Products!$A$2:$A$21, Products!$F$2:$F$21,0)</f>
        <v>14</v>
      </c>
      <c r="J159" t="str">
        <f>_xlfn.XLOOKUP(C159, Stores!$A$2:$A$7, Stores!$D$2:$D$7)</f>
        <v>Sydney West</v>
      </c>
      <c r="K159">
        <f t="shared" si="4"/>
        <v>49</v>
      </c>
      <c r="L159">
        <f t="shared" si="5"/>
        <v>35</v>
      </c>
    </row>
    <row r="160" spans="1:12">
      <c r="A160" t="s">
        <v>198</v>
      </c>
      <c r="B160" s="2">
        <v>46225</v>
      </c>
      <c r="C160" t="s">
        <v>16</v>
      </c>
      <c r="D160" t="s">
        <v>32</v>
      </c>
      <c r="E160">
        <v>1</v>
      </c>
      <c r="F160" t="str">
        <f>_xlfn.XLOOKUP(D160, Products!$A$2:$A$21, Products!$B$2:$B$21, "Not Found")</f>
        <v>USB-C Charger</v>
      </c>
      <c r="G160" t="str">
        <f>_xlfn.XLOOKUP(D160, Products!$A$2:$A$21, Products!$C$2:$C$21)</f>
        <v>Accessories</v>
      </c>
      <c r="H160">
        <f>_xlfn.XLOOKUP(D160, Products!$A$2:$A$21, Products!$E$2:$E$21, 0)</f>
        <v>49</v>
      </c>
      <c r="I160">
        <f>_xlfn.XLOOKUP(D160, Products!$A$2:$A$21, Products!$F$2:$F$21,0)</f>
        <v>14</v>
      </c>
      <c r="J160" t="str">
        <f>_xlfn.XLOOKUP(C160, Stores!$A$2:$A$7, Stores!$D$2:$D$7)</f>
        <v>Sydney East</v>
      </c>
      <c r="K160">
        <f t="shared" si="4"/>
        <v>49</v>
      </c>
      <c r="L160">
        <f t="shared" si="5"/>
        <v>35</v>
      </c>
    </row>
    <row r="161" spans="1:12">
      <c r="A161" t="s">
        <v>199</v>
      </c>
      <c r="B161" s="2">
        <v>46225</v>
      </c>
      <c r="C161" t="s">
        <v>16</v>
      </c>
      <c r="D161" t="s">
        <v>29</v>
      </c>
      <c r="E161">
        <v>4</v>
      </c>
      <c r="F161" t="str">
        <f>_xlfn.XLOOKUP(D161, Products!$A$2:$A$21, Products!$B$2:$B$21, "Not Found")</f>
        <v>Phone Case</v>
      </c>
      <c r="G161" t="str">
        <f>_xlfn.XLOOKUP(D161, Products!$A$2:$A$21, Products!$C$2:$C$21)</f>
        <v>Accessories</v>
      </c>
      <c r="H161">
        <f>_xlfn.XLOOKUP(D161, Products!$A$2:$A$21, Products!$E$2:$E$21, 0)</f>
        <v>39</v>
      </c>
      <c r="I161">
        <f>_xlfn.XLOOKUP(D161, Products!$A$2:$A$21, Products!$F$2:$F$21,0)</f>
        <v>9</v>
      </c>
      <c r="J161" t="str">
        <f>_xlfn.XLOOKUP(C161, Stores!$A$2:$A$7, Stores!$D$2:$D$7)</f>
        <v>Sydney East</v>
      </c>
      <c r="K161">
        <f t="shared" si="4"/>
        <v>156</v>
      </c>
      <c r="L161">
        <f t="shared" si="5"/>
        <v>120</v>
      </c>
    </row>
    <row r="162" spans="1:12">
      <c r="A162" t="s">
        <v>200</v>
      </c>
      <c r="B162" s="2">
        <v>46225</v>
      </c>
      <c r="C162" t="s">
        <v>13</v>
      </c>
      <c r="D162" t="s">
        <v>23</v>
      </c>
      <c r="E162">
        <v>2</v>
      </c>
      <c r="F162" t="str">
        <f>_xlfn.XLOOKUP(D162, Products!$A$2:$A$21, Products!$B$2:$B$21, "Not Found")</f>
        <v>Video Game</v>
      </c>
      <c r="G162" t="str">
        <f>_xlfn.XLOOKUP(D162, Products!$A$2:$A$21, Products!$C$2:$C$21)</f>
        <v>Gaming</v>
      </c>
      <c r="H162">
        <f>_xlfn.XLOOKUP(D162, Products!$A$2:$A$21, Products!$E$2:$E$21, 0)</f>
        <v>79</v>
      </c>
      <c r="I162">
        <f>_xlfn.XLOOKUP(D162, Products!$A$2:$A$21, Products!$F$2:$F$21,0)</f>
        <v>52</v>
      </c>
      <c r="J162" t="str">
        <f>_xlfn.XLOOKUP(C162, Stores!$A$2:$A$7, Stores!$D$2:$D$7)</f>
        <v>Sydney West</v>
      </c>
      <c r="K162">
        <f t="shared" si="4"/>
        <v>158</v>
      </c>
      <c r="L162">
        <f t="shared" si="5"/>
        <v>54</v>
      </c>
    </row>
    <row r="163" spans="1:12">
      <c r="A163" t="s">
        <v>201</v>
      </c>
      <c r="B163" s="2">
        <v>46225</v>
      </c>
      <c r="C163" t="s">
        <v>25</v>
      </c>
      <c r="D163" t="s">
        <v>17</v>
      </c>
      <c r="E163">
        <v>1</v>
      </c>
      <c r="F163" t="str">
        <f>_xlfn.XLOOKUP(D163, Products!$A$2:$A$21, Products!$B$2:$B$21, "Not Found")</f>
        <v>Wireless Earbuds</v>
      </c>
      <c r="G163" t="str">
        <f>_xlfn.XLOOKUP(D163, Products!$A$2:$A$21, Products!$C$2:$C$21)</f>
        <v>Audio</v>
      </c>
      <c r="H163">
        <f>_xlfn.XLOOKUP(D163, Products!$A$2:$A$21, Products!$E$2:$E$21, 0)</f>
        <v>249</v>
      </c>
      <c r="I163">
        <f>_xlfn.XLOOKUP(D163, Products!$A$2:$A$21, Products!$F$2:$F$21,0)</f>
        <v>140</v>
      </c>
      <c r="J163" t="str">
        <f>_xlfn.XLOOKUP(C163, Stores!$A$2:$A$7, Stores!$D$2:$D$7)</f>
        <v>Sydney South</v>
      </c>
      <c r="K163">
        <f t="shared" si="4"/>
        <v>249</v>
      </c>
      <c r="L163">
        <f t="shared" si="5"/>
        <v>109</v>
      </c>
    </row>
    <row r="164" spans="1:12">
      <c r="A164" t="s">
        <v>202</v>
      </c>
      <c r="B164" s="2">
        <v>46225</v>
      </c>
      <c r="C164" t="s">
        <v>22</v>
      </c>
      <c r="D164" t="s">
        <v>23</v>
      </c>
      <c r="E164">
        <v>1</v>
      </c>
      <c r="F164" t="str">
        <f>_xlfn.XLOOKUP(D164, Products!$A$2:$A$21, Products!$B$2:$B$21, "Not Found")</f>
        <v>Video Game</v>
      </c>
      <c r="G164" t="str">
        <f>_xlfn.XLOOKUP(D164, Products!$A$2:$A$21, Products!$C$2:$C$21)</f>
        <v>Gaming</v>
      </c>
      <c r="H164">
        <f>_xlfn.XLOOKUP(D164, Products!$A$2:$A$21, Products!$E$2:$E$21, 0)</f>
        <v>79</v>
      </c>
      <c r="I164">
        <f>_xlfn.XLOOKUP(D164, Products!$A$2:$A$21, Products!$F$2:$F$21,0)</f>
        <v>52</v>
      </c>
      <c r="J164" t="str">
        <f>_xlfn.XLOOKUP(C164, Stores!$A$2:$A$7, Stores!$D$2:$D$7)</f>
        <v>Sydney West</v>
      </c>
      <c r="K164">
        <f t="shared" si="4"/>
        <v>79</v>
      </c>
      <c r="L164">
        <f t="shared" si="5"/>
        <v>27</v>
      </c>
    </row>
    <row r="165" spans="1:12">
      <c r="A165" t="s">
        <v>203</v>
      </c>
      <c r="B165" s="2">
        <v>46225</v>
      </c>
      <c r="C165" t="s">
        <v>19</v>
      </c>
      <c r="D165" t="s">
        <v>37</v>
      </c>
      <c r="E165">
        <v>2</v>
      </c>
      <c r="F165" t="str">
        <f>_xlfn.XLOOKUP(D165, Products!$A$2:$A$21, Products!$B$2:$B$21, "Not Found")</f>
        <v>Console Controller</v>
      </c>
      <c r="G165" t="str">
        <f>_xlfn.XLOOKUP(D165, Products!$A$2:$A$21, Products!$C$2:$C$21)</f>
        <v>Gaming</v>
      </c>
      <c r="H165">
        <f>_xlfn.XLOOKUP(D165, Products!$A$2:$A$21, Products!$E$2:$E$21, 0)</f>
        <v>99</v>
      </c>
      <c r="I165">
        <f>_xlfn.XLOOKUP(D165, Products!$A$2:$A$21, Products!$F$2:$F$21,0)</f>
        <v>58</v>
      </c>
      <c r="J165" t="str">
        <f>_xlfn.XLOOKUP(C165, Stores!$A$2:$A$7, Stores!$D$2:$D$7)</f>
        <v>Sydney North</v>
      </c>
      <c r="K165">
        <f t="shared" si="4"/>
        <v>198</v>
      </c>
      <c r="L165">
        <f t="shared" si="5"/>
        <v>82</v>
      </c>
    </row>
    <row r="166" spans="1:12">
      <c r="A166" t="s">
        <v>204</v>
      </c>
      <c r="B166" s="2">
        <v>46225</v>
      </c>
      <c r="C166" t="s">
        <v>51</v>
      </c>
      <c r="D166" t="s">
        <v>29</v>
      </c>
      <c r="E166">
        <v>1</v>
      </c>
      <c r="F166" t="str">
        <f>_xlfn.XLOOKUP(D166, Products!$A$2:$A$21, Products!$B$2:$B$21, "Not Found")</f>
        <v>Phone Case</v>
      </c>
      <c r="G166" t="str">
        <f>_xlfn.XLOOKUP(D166, Products!$A$2:$A$21, Products!$C$2:$C$21)</f>
        <v>Accessories</v>
      </c>
      <c r="H166">
        <f>_xlfn.XLOOKUP(D166, Products!$A$2:$A$21, Products!$E$2:$E$21, 0)</f>
        <v>39</v>
      </c>
      <c r="I166">
        <f>_xlfn.XLOOKUP(D166, Products!$A$2:$A$21, Products!$F$2:$F$21,0)</f>
        <v>9</v>
      </c>
      <c r="J166" t="str">
        <f>_xlfn.XLOOKUP(C166, Stores!$A$2:$A$7, Stores!$D$2:$D$7)</f>
        <v>Sydney South</v>
      </c>
      <c r="K166">
        <f t="shared" si="4"/>
        <v>39</v>
      </c>
      <c r="L166">
        <f t="shared" si="5"/>
        <v>30</v>
      </c>
    </row>
    <row r="167" spans="1:12">
      <c r="A167" t="s">
        <v>205</v>
      </c>
      <c r="B167" s="2">
        <v>46226</v>
      </c>
      <c r="C167" t="s">
        <v>19</v>
      </c>
      <c r="D167" t="s">
        <v>29</v>
      </c>
      <c r="E167">
        <v>1</v>
      </c>
      <c r="F167" t="str">
        <f>_xlfn.XLOOKUP(D167, Products!$A$2:$A$21, Products!$B$2:$B$21, "Not Found")</f>
        <v>Phone Case</v>
      </c>
      <c r="G167" t="str">
        <f>_xlfn.XLOOKUP(D167, Products!$A$2:$A$21, Products!$C$2:$C$21)</f>
        <v>Accessories</v>
      </c>
      <c r="H167">
        <f>_xlfn.XLOOKUP(D167, Products!$A$2:$A$21, Products!$E$2:$E$21, 0)</f>
        <v>39</v>
      </c>
      <c r="I167">
        <f>_xlfn.XLOOKUP(D167, Products!$A$2:$A$21, Products!$F$2:$F$21,0)</f>
        <v>9</v>
      </c>
      <c r="J167" t="str">
        <f>_xlfn.XLOOKUP(C167, Stores!$A$2:$A$7, Stores!$D$2:$D$7)</f>
        <v>Sydney North</v>
      </c>
      <c r="K167">
        <f t="shared" si="4"/>
        <v>39</v>
      </c>
      <c r="L167">
        <f t="shared" si="5"/>
        <v>30</v>
      </c>
    </row>
    <row r="168" spans="1:12">
      <c r="A168" t="s">
        <v>206</v>
      </c>
      <c r="B168" s="2">
        <v>46226</v>
      </c>
      <c r="C168" t="s">
        <v>19</v>
      </c>
      <c r="D168" t="s">
        <v>23</v>
      </c>
      <c r="E168">
        <v>1</v>
      </c>
      <c r="F168" t="str">
        <f>_xlfn.XLOOKUP(D168, Products!$A$2:$A$21, Products!$B$2:$B$21, "Not Found")</f>
        <v>Video Game</v>
      </c>
      <c r="G168" t="str">
        <f>_xlfn.XLOOKUP(D168, Products!$A$2:$A$21, Products!$C$2:$C$21)</f>
        <v>Gaming</v>
      </c>
      <c r="H168">
        <f>_xlfn.XLOOKUP(D168, Products!$A$2:$A$21, Products!$E$2:$E$21, 0)</f>
        <v>79</v>
      </c>
      <c r="I168">
        <f>_xlfn.XLOOKUP(D168, Products!$A$2:$A$21, Products!$F$2:$F$21,0)</f>
        <v>52</v>
      </c>
      <c r="J168" t="str">
        <f>_xlfn.XLOOKUP(C168, Stores!$A$2:$A$7, Stores!$D$2:$D$7)</f>
        <v>Sydney North</v>
      </c>
      <c r="K168">
        <f t="shared" si="4"/>
        <v>79</v>
      </c>
      <c r="L168">
        <f t="shared" si="5"/>
        <v>27</v>
      </c>
    </row>
    <row r="169" spans="1:12">
      <c r="A169" t="s">
        <v>207</v>
      </c>
      <c r="B169" s="2">
        <v>46227</v>
      </c>
      <c r="C169" t="s">
        <v>22</v>
      </c>
      <c r="D169" t="s">
        <v>17</v>
      </c>
      <c r="E169">
        <v>1</v>
      </c>
      <c r="F169" t="str">
        <f>_xlfn.XLOOKUP(D169, Products!$A$2:$A$21, Products!$B$2:$B$21, "Not Found")</f>
        <v>Wireless Earbuds</v>
      </c>
      <c r="G169" t="str">
        <f>_xlfn.XLOOKUP(D169, Products!$A$2:$A$21, Products!$C$2:$C$21)</f>
        <v>Audio</v>
      </c>
      <c r="H169">
        <f>_xlfn.XLOOKUP(D169, Products!$A$2:$A$21, Products!$E$2:$E$21, 0)</f>
        <v>249</v>
      </c>
      <c r="I169">
        <f>_xlfn.XLOOKUP(D169, Products!$A$2:$A$21, Products!$F$2:$F$21,0)</f>
        <v>140</v>
      </c>
      <c r="J169" t="str">
        <f>_xlfn.XLOOKUP(C169, Stores!$A$2:$A$7, Stores!$D$2:$D$7)</f>
        <v>Sydney West</v>
      </c>
      <c r="K169">
        <f t="shared" si="4"/>
        <v>249</v>
      </c>
      <c r="L169">
        <f t="shared" si="5"/>
        <v>109</v>
      </c>
    </row>
    <row r="170" spans="1:12">
      <c r="A170" t="s">
        <v>208</v>
      </c>
      <c r="B170" s="2">
        <v>46227</v>
      </c>
      <c r="C170" t="s">
        <v>16</v>
      </c>
      <c r="D170" t="s">
        <v>44</v>
      </c>
      <c r="E170">
        <v>1</v>
      </c>
      <c r="F170" t="str">
        <f>_xlfn.XLOOKUP(D170, Products!$A$2:$A$21, Products!$B$2:$B$21, "Not Found")</f>
        <v>Smartphone 128GB</v>
      </c>
      <c r="G170" t="str">
        <f>_xlfn.XLOOKUP(D170, Products!$A$2:$A$21, Products!$C$2:$C$21)</f>
        <v>Phones</v>
      </c>
      <c r="H170">
        <f>_xlfn.XLOOKUP(D170, Products!$A$2:$A$21, Products!$E$2:$E$21, 0)</f>
        <v>1099</v>
      </c>
      <c r="I170">
        <f>_xlfn.XLOOKUP(D170, Products!$A$2:$A$21, Products!$F$2:$F$21,0)</f>
        <v>860</v>
      </c>
      <c r="J170" t="str">
        <f>_xlfn.XLOOKUP(C170, Stores!$A$2:$A$7, Stores!$D$2:$D$7)</f>
        <v>Sydney East</v>
      </c>
      <c r="K170">
        <f t="shared" si="4"/>
        <v>1099</v>
      </c>
      <c r="L170">
        <f t="shared" si="5"/>
        <v>239</v>
      </c>
    </row>
    <row r="171" spans="1:12">
      <c r="A171" t="s">
        <v>209</v>
      </c>
      <c r="B171" s="2">
        <v>46227</v>
      </c>
      <c r="C171" t="s">
        <v>13</v>
      </c>
      <c r="D171" t="s">
        <v>23</v>
      </c>
      <c r="E171">
        <v>1</v>
      </c>
      <c r="F171" t="str">
        <f>_xlfn.XLOOKUP(D171, Products!$A$2:$A$21, Products!$B$2:$B$21, "Not Found")</f>
        <v>Video Game</v>
      </c>
      <c r="G171" t="str">
        <f>_xlfn.XLOOKUP(D171, Products!$A$2:$A$21, Products!$C$2:$C$21)</f>
        <v>Gaming</v>
      </c>
      <c r="H171">
        <f>_xlfn.XLOOKUP(D171, Products!$A$2:$A$21, Products!$E$2:$E$21, 0)</f>
        <v>79</v>
      </c>
      <c r="I171">
        <f>_xlfn.XLOOKUP(D171, Products!$A$2:$A$21, Products!$F$2:$F$21,0)</f>
        <v>52</v>
      </c>
      <c r="J171" t="str">
        <f>_xlfn.XLOOKUP(C171, Stores!$A$2:$A$7, Stores!$D$2:$D$7)</f>
        <v>Sydney West</v>
      </c>
      <c r="K171">
        <f t="shared" si="4"/>
        <v>79</v>
      </c>
      <c r="L171">
        <f t="shared" si="5"/>
        <v>27</v>
      </c>
    </row>
    <row r="172" spans="1:12">
      <c r="A172" t="s">
        <v>210</v>
      </c>
      <c r="B172" s="2">
        <v>46227</v>
      </c>
      <c r="C172" t="s">
        <v>13</v>
      </c>
      <c r="D172" t="s">
        <v>44</v>
      </c>
      <c r="E172">
        <v>1</v>
      </c>
      <c r="F172" t="str">
        <f>_xlfn.XLOOKUP(D172, Products!$A$2:$A$21, Products!$B$2:$B$21, "Not Found")</f>
        <v>Smartphone 128GB</v>
      </c>
      <c r="G172" t="str">
        <f>_xlfn.XLOOKUP(D172, Products!$A$2:$A$21, Products!$C$2:$C$21)</f>
        <v>Phones</v>
      </c>
      <c r="H172">
        <f>_xlfn.XLOOKUP(D172, Products!$A$2:$A$21, Products!$E$2:$E$21, 0)</f>
        <v>1099</v>
      </c>
      <c r="I172">
        <f>_xlfn.XLOOKUP(D172, Products!$A$2:$A$21, Products!$F$2:$F$21,0)</f>
        <v>860</v>
      </c>
      <c r="J172" t="str">
        <f>_xlfn.XLOOKUP(C172, Stores!$A$2:$A$7, Stores!$D$2:$D$7)</f>
        <v>Sydney West</v>
      </c>
      <c r="K172">
        <f t="shared" si="4"/>
        <v>1099</v>
      </c>
      <c r="L172">
        <f t="shared" si="5"/>
        <v>239</v>
      </c>
    </row>
    <row r="173" spans="1:12">
      <c r="A173" t="s">
        <v>211</v>
      </c>
      <c r="B173" s="2">
        <v>46227</v>
      </c>
      <c r="C173" t="s">
        <v>51</v>
      </c>
      <c r="D173" t="s">
        <v>32</v>
      </c>
      <c r="E173">
        <v>2</v>
      </c>
      <c r="F173" t="str">
        <f>_xlfn.XLOOKUP(D173, Products!$A$2:$A$21, Products!$B$2:$B$21, "Not Found")</f>
        <v>USB-C Charger</v>
      </c>
      <c r="G173" t="str">
        <f>_xlfn.XLOOKUP(D173, Products!$A$2:$A$21, Products!$C$2:$C$21)</f>
        <v>Accessories</v>
      </c>
      <c r="H173">
        <f>_xlfn.XLOOKUP(D173, Products!$A$2:$A$21, Products!$E$2:$E$21, 0)</f>
        <v>49</v>
      </c>
      <c r="I173">
        <f>_xlfn.XLOOKUP(D173, Products!$A$2:$A$21, Products!$F$2:$F$21,0)</f>
        <v>14</v>
      </c>
      <c r="J173" t="str">
        <f>_xlfn.XLOOKUP(C173, Stores!$A$2:$A$7, Stores!$D$2:$D$7)</f>
        <v>Sydney South</v>
      </c>
      <c r="K173">
        <f t="shared" si="4"/>
        <v>98</v>
      </c>
      <c r="L173">
        <f t="shared" si="5"/>
        <v>70</v>
      </c>
    </row>
    <row r="174" spans="1:12">
      <c r="A174" t="s">
        <v>212</v>
      </c>
      <c r="B174" s="2">
        <v>46227</v>
      </c>
      <c r="C174" t="s">
        <v>13</v>
      </c>
      <c r="D174" t="s">
        <v>14</v>
      </c>
      <c r="E174">
        <v>1</v>
      </c>
      <c r="F174" t="str">
        <f>_xlfn.XLOOKUP(D174, Products!$A$2:$A$21, Products!$B$2:$B$21, "Not Found")</f>
        <v>Gaming Mouse</v>
      </c>
      <c r="G174" t="str">
        <f>_xlfn.XLOOKUP(D174, Products!$A$2:$A$21, Products!$C$2:$C$21)</f>
        <v>Accessories</v>
      </c>
      <c r="H174">
        <f>_xlfn.XLOOKUP(D174, Products!$A$2:$A$21, Products!$E$2:$E$21, 0)</f>
        <v>89</v>
      </c>
      <c r="I174">
        <f>_xlfn.XLOOKUP(D174, Products!$A$2:$A$21, Products!$F$2:$F$21,0)</f>
        <v>41</v>
      </c>
      <c r="J174" t="str">
        <f>_xlfn.XLOOKUP(C174, Stores!$A$2:$A$7, Stores!$D$2:$D$7)</f>
        <v>Sydney West</v>
      </c>
      <c r="K174">
        <f t="shared" si="4"/>
        <v>89</v>
      </c>
      <c r="L174">
        <f t="shared" si="5"/>
        <v>48</v>
      </c>
    </row>
    <row r="175" spans="1:12">
      <c r="A175" t="s">
        <v>213</v>
      </c>
      <c r="B175" s="2">
        <v>46227</v>
      </c>
      <c r="C175" t="s">
        <v>19</v>
      </c>
      <c r="D175" t="s">
        <v>20</v>
      </c>
      <c r="E175">
        <v>1</v>
      </c>
      <c r="F175" t="str">
        <f>_xlfn.XLOOKUP(D175, Products!$A$2:$A$21, Products!$B$2:$B$21, "Not Found")</f>
        <v>Bluetooth Speaker</v>
      </c>
      <c r="G175" t="str">
        <f>_xlfn.XLOOKUP(D175, Products!$A$2:$A$21, Products!$C$2:$C$21)</f>
        <v>Audio</v>
      </c>
      <c r="H175">
        <f>_xlfn.XLOOKUP(D175, Products!$A$2:$A$21, Products!$E$2:$E$21, 0)</f>
        <v>179</v>
      </c>
      <c r="I175">
        <f>_xlfn.XLOOKUP(D175, Products!$A$2:$A$21, Products!$F$2:$F$21,0)</f>
        <v>95</v>
      </c>
      <c r="J175" t="str">
        <f>_xlfn.XLOOKUP(C175, Stores!$A$2:$A$7, Stores!$D$2:$D$7)</f>
        <v>Sydney North</v>
      </c>
      <c r="K175">
        <f t="shared" si="4"/>
        <v>179</v>
      </c>
      <c r="L175">
        <f t="shared" si="5"/>
        <v>84</v>
      </c>
    </row>
    <row r="176" spans="1:12">
      <c r="A176" t="s">
        <v>214</v>
      </c>
      <c r="B176" s="2">
        <v>46227</v>
      </c>
      <c r="C176" t="s">
        <v>22</v>
      </c>
      <c r="D176" t="s">
        <v>146</v>
      </c>
      <c r="E176">
        <v>1</v>
      </c>
      <c r="F176" t="str">
        <f>_xlfn.XLOOKUP(D176, Products!$A$2:$A$21, Products!$B$2:$B$21, "Not Found")</f>
        <v>Game Console</v>
      </c>
      <c r="G176" t="str">
        <f>_xlfn.XLOOKUP(D176, Products!$A$2:$A$21, Products!$C$2:$C$21)</f>
        <v>Gaming</v>
      </c>
      <c r="H176">
        <f>_xlfn.XLOOKUP(D176, Products!$A$2:$A$21, Products!$E$2:$E$21, 0)</f>
        <v>499</v>
      </c>
      <c r="I176">
        <f>_xlfn.XLOOKUP(D176, Products!$A$2:$A$21, Products!$F$2:$F$21,0)</f>
        <v>420</v>
      </c>
      <c r="J176" t="str">
        <f>_xlfn.XLOOKUP(C176, Stores!$A$2:$A$7, Stores!$D$2:$D$7)</f>
        <v>Sydney West</v>
      </c>
      <c r="K176">
        <f t="shared" si="4"/>
        <v>499</v>
      </c>
      <c r="L176">
        <f t="shared" si="5"/>
        <v>79</v>
      </c>
    </row>
    <row r="177" spans="1:12">
      <c r="A177" t="s">
        <v>215</v>
      </c>
      <c r="B177" s="2">
        <v>46227</v>
      </c>
      <c r="C177" t="s">
        <v>22</v>
      </c>
      <c r="D177" t="s">
        <v>29</v>
      </c>
      <c r="E177">
        <v>3</v>
      </c>
      <c r="F177" t="str">
        <f>_xlfn.XLOOKUP(D177, Products!$A$2:$A$21, Products!$B$2:$B$21, "Not Found")</f>
        <v>Phone Case</v>
      </c>
      <c r="G177" t="str">
        <f>_xlfn.XLOOKUP(D177, Products!$A$2:$A$21, Products!$C$2:$C$21)</f>
        <v>Accessories</v>
      </c>
      <c r="H177">
        <f>_xlfn.XLOOKUP(D177, Products!$A$2:$A$21, Products!$E$2:$E$21, 0)</f>
        <v>39</v>
      </c>
      <c r="I177">
        <f>_xlfn.XLOOKUP(D177, Products!$A$2:$A$21, Products!$F$2:$F$21,0)</f>
        <v>9</v>
      </c>
      <c r="J177" t="str">
        <f>_xlfn.XLOOKUP(C177, Stores!$A$2:$A$7, Stores!$D$2:$D$7)</f>
        <v>Sydney West</v>
      </c>
      <c r="K177">
        <f t="shared" si="4"/>
        <v>117</v>
      </c>
      <c r="L177">
        <f t="shared" si="5"/>
        <v>90</v>
      </c>
    </row>
    <row r="178" spans="1:12">
      <c r="A178" t="s">
        <v>216</v>
      </c>
      <c r="B178" s="2">
        <v>46227</v>
      </c>
      <c r="C178" t="s">
        <v>19</v>
      </c>
      <c r="D178" t="s">
        <v>29</v>
      </c>
      <c r="E178">
        <v>2</v>
      </c>
      <c r="F178" t="str">
        <f>_xlfn.XLOOKUP(D178, Products!$A$2:$A$21, Products!$B$2:$B$21, "Not Found")</f>
        <v>Phone Case</v>
      </c>
      <c r="G178" t="str">
        <f>_xlfn.XLOOKUP(D178, Products!$A$2:$A$21, Products!$C$2:$C$21)</f>
        <v>Accessories</v>
      </c>
      <c r="H178">
        <f>_xlfn.XLOOKUP(D178, Products!$A$2:$A$21, Products!$E$2:$E$21, 0)</f>
        <v>39</v>
      </c>
      <c r="I178">
        <f>_xlfn.XLOOKUP(D178, Products!$A$2:$A$21, Products!$F$2:$F$21,0)</f>
        <v>9</v>
      </c>
      <c r="J178" t="str">
        <f>_xlfn.XLOOKUP(C178, Stores!$A$2:$A$7, Stores!$D$2:$D$7)</f>
        <v>Sydney North</v>
      </c>
      <c r="K178">
        <f t="shared" si="4"/>
        <v>78</v>
      </c>
      <c r="L178">
        <f t="shared" si="5"/>
        <v>60</v>
      </c>
    </row>
    <row r="179" spans="1:12">
      <c r="A179" t="s">
        <v>217</v>
      </c>
      <c r="B179" s="2">
        <v>46227</v>
      </c>
      <c r="C179" t="s">
        <v>25</v>
      </c>
      <c r="D179" t="s">
        <v>29</v>
      </c>
      <c r="E179">
        <v>1</v>
      </c>
      <c r="F179" t="str">
        <f>_xlfn.XLOOKUP(D179, Products!$A$2:$A$21, Products!$B$2:$B$21, "Not Found")</f>
        <v>Phone Case</v>
      </c>
      <c r="G179" t="str">
        <f>_xlfn.XLOOKUP(D179, Products!$A$2:$A$21, Products!$C$2:$C$21)</f>
        <v>Accessories</v>
      </c>
      <c r="H179">
        <f>_xlfn.XLOOKUP(D179, Products!$A$2:$A$21, Products!$E$2:$E$21, 0)</f>
        <v>39</v>
      </c>
      <c r="I179">
        <f>_xlfn.XLOOKUP(D179, Products!$A$2:$A$21, Products!$F$2:$F$21,0)</f>
        <v>9</v>
      </c>
      <c r="J179" t="str">
        <f>_xlfn.XLOOKUP(C179, Stores!$A$2:$A$7, Stores!$D$2:$D$7)</f>
        <v>Sydney South</v>
      </c>
      <c r="K179">
        <f t="shared" si="4"/>
        <v>39</v>
      </c>
      <c r="L179">
        <f t="shared" si="5"/>
        <v>30</v>
      </c>
    </row>
    <row r="180" spans="1:12">
      <c r="A180" t="s">
        <v>218</v>
      </c>
      <c r="B180" s="2">
        <v>46227</v>
      </c>
      <c r="C180" t="s">
        <v>51</v>
      </c>
      <c r="D180" t="s">
        <v>44</v>
      </c>
      <c r="E180">
        <v>1</v>
      </c>
      <c r="F180" t="str">
        <f>_xlfn.XLOOKUP(D180, Products!$A$2:$A$21, Products!$B$2:$B$21, "Not Found")</f>
        <v>Smartphone 128GB</v>
      </c>
      <c r="G180" t="str">
        <f>_xlfn.XLOOKUP(D180, Products!$A$2:$A$21, Products!$C$2:$C$21)</f>
        <v>Phones</v>
      </c>
      <c r="H180">
        <f>_xlfn.XLOOKUP(D180, Products!$A$2:$A$21, Products!$E$2:$E$21, 0)</f>
        <v>1099</v>
      </c>
      <c r="I180">
        <f>_xlfn.XLOOKUP(D180, Products!$A$2:$A$21, Products!$F$2:$F$21,0)</f>
        <v>860</v>
      </c>
      <c r="J180" t="str">
        <f>_xlfn.XLOOKUP(C180, Stores!$A$2:$A$7, Stores!$D$2:$D$7)</f>
        <v>Sydney South</v>
      </c>
      <c r="K180">
        <f t="shared" si="4"/>
        <v>1099</v>
      </c>
      <c r="L180">
        <f t="shared" si="5"/>
        <v>239</v>
      </c>
    </row>
    <row r="181" spans="1:12">
      <c r="A181" t="s">
        <v>219</v>
      </c>
      <c r="B181" s="2">
        <v>46227</v>
      </c>
      <c r="C181" t="s">
        <v>51</v>
      </c>
      <c r="D181" t="s">
        <v>48</v>
      </c>
      <c r="E181">
        <v>1</v>
      </c>
      <c r="F181" t="str">
        <f>_xlfn.XLOOKUP(D181, Products!$A$2:$A$21, Products!$B$2:$B$21, "Not Found")</f>
        <v>Tablet 11in</v>
      </c>
      <c r="G181" t="str">
        <f>_xlfn.XLOOKUP(D181, Products!$A$2:$A$21, Products!$C$2:$C$21)</f>
        <v>Computers</v>
      </c>
      <c r="H181">
        <f>_xlfn.XLOOKUP(D181, Products!$A$2:$A$21, Products!$E$2:$E$21, 0)</f>
        <v>899</v>
      </c>
      <c r="I181">
        <f>_xlfn.XLOOKUP(D181, Products!$A$2:$A$21, Products!$F$2:$F$21,0)</f>
        <v>690</v>
      </c>
      <c r="J181" t="str">
        <f>_xlfn.XLOOKUP(C181, Stores!$A$2:$A$7, Stores!$D$2:$D$7)</f>
        <v>Sydney South</v>
      </c>
      <c r="K181">
        <f t="shared" si="4"/>
        <v>899</v>
      </c>
      <c r="L181">
        <f t="shared" si="5"/>
        <v>209</v>
      </c>
    </row>
    <row r="182" spans="1:12">
      <c r="A182" t="s">
        <v>220</v>
      </c>
      <c r="B182" s="2">
        <v>46228</v>
      </c>
      <c r="C182" t="s">
        <v>13</v>
      </c>
      <c r="D182" t="s">
        <v>37</v>
      </c>
      <c r="E182">
        <v>1</v>
      </c>
      <c r="F182" t="str">
        <f>_xlfn.XLOOKUP(D182, Products!$A$2:$A$21, Products!$B$2:$B$21, "Not Found")</f>
        <v>Console Controller</v>
      </c>
      <c r="G182" t="str">
        <f>_xlfn.XLOOKUP(D182, Products!$A$2:$A$21, Products!$C$2:$C$21)</f>
        <v>Gaming</v>
      </c>
      <c r="H182">
        <f>_xlfn.XLOOKUP(D182, Products!$A$2:$A$21, Products!$E$2:$E$21, 0)</f>
        <v>99</v>
      </c>
      <c r="I182">
        <f>_xlfn.XLOOKUP(D182, Products!$A$2:$A$21, Products!$F$2:$F$21,0)</f>
        <v>58</v>
      </c>
      <c r="J182" t="str">
        <f>_xlfn.XLOOKUP(C182, Stores!$A$2:$A$7, Stores!$D$2:$D$7)</f>
        <v>Sydney West</v>
      </c>
      <c r="K182">
        <f t="shared" si="4"/>
        <v>99</v>
      </c>
      <c r="L182">
        <f t="shared" si="5"/>
        <v>41</v>
      </c>
    </row>
    <row r="183" spans="1:12">
      <c r="A183" t="s">
        <v>221</v>
      </c>
      <c r="B183" s="2">
        <v>46228</v>
      </c>
      <c r="C183" t="s">
        <v>22</v>
      </c>
      <c r="D183" t="s">
        <v>32</v>
      </c>
      <c r="E183">
        <v>1</v>
      </c>
      <c r="F183" t="str">
        <f>_xlfn.XLOOKUP(D183, Products!$A$2:$A$21, Products!$B$2:$B$21, "Not Found")</f>
        <v>USB-C Charger</v>
      </c>
      <c r="G183" t="str">
        <f>_xlfn.XLOOKUP(D183, Products!$A$2:$A$21, Products!$C$2:$C$21)</f>
        <v>Accessories</v>
      </c>
      <c r="H183">
        <f>_xlfn.XLOOKUP(D183, Products!$A$2:$A$21, Products!$E$2:$E$21, 0)</f>
        <v>49</v>
      </c>
      <c r="I183">
        <f>_xlfn.XLOOKUP(D183, Products!$A$2:$A$21, Products!$F$2:$F$21,0)</f>
        <v>14</v>
      </c>
      <c r="J183" t="str">
        <f>_xlfn.XLOOKUP(C183, Stores!$A$2:$A$7, Stores!$D$2:$D$7)</f>
        <v>Sydney West</v>
      </c>
      <c r="K183">
        <f t="shared" si="4"/>
        <v>49</v>
      </c>
      <c r="L183">
        <f t="shared" si="5"/>
        <v>35</v>
      </c>
    </row>
    <row r="184" spans="1:12">
      <c r="A184" t="s">
        <v>222</v>
      </c>
      <c r="B184" s="2">
        <v>46228</v>
      </c>
      <c r="C184" t="s">
        <v>16</v>
      </c>
      <c r="D184" t="s">
        <v>48</v>
      </c>
      <c r="E184">
        <v>1</v>
      </c>
      <c r="F184" t="str">
        <f>_xlfn.XLOOKUP(D184, Products!$A$2:$A$21, Products!$B$2:$B$21, "Not Found")</f>
        <v>Tablet 11in</v>
      </c>
      <c r="G184" t="str">
        <f>_xlfn.XLOOKUP(D184, Products!$A$2:$A$21, Products!$C$2:$C$21)</f>
        <v>Computers</v>
      </c>
      <c r="H184">
        <f>_xlfn.XLOOKUP(D184, Products!$A$2:$A$21, Products!$E$2:$E$21, 0)</f>
        <v>899</v>
      </c>
      <c r="I184">
        <f>_xlfn.XLOOKUP(D184, Products!$A$2:$A$21, Products!$F$2:$F$21,0)</f>
        <v>690</v>
      </c>
      <c r="J184" t="str">
        <f>_xlfn.XLOOKUP(C184, Stores!$A$2:$A$7, Stores!$D$2:$D$7)</f>
        <v>Sydney East</v>
      </c>
      <c r="K184">
        <f t="shared" si="4"/>
        <v>899</v>
      </c>
      <c r="L184">
        <f t="shared" si="5"/>
        <v>209</v>
      </c>
    </row>
    <row r="185" spans="1:12">
      <c r="A185" t="s">
        <v>223</v>
      </c>
      <c r="B185" s="2">
        <v>46228</v>
      </c>
      <c r="C185" t="s">
        <v>13</v>
      </c>
      <c r="D185" t="s">
        <v>224</v>
      </c>
      <c r="E185">
        <v>2</v>
      </c>
      <c r="F185" t="str">
        <f>_xlfn.XLOOKUP(D185, Products!$A$2:$A$21, Products!$B$2:$B$21, "Not Found")</f>
        <v>Not Found</v>
      </c>
      <c r="G185" t="e">
        <f>_xlfn.XLOOKUP(D185, Products!$A$2:$A$21, Products!$C$2:$C$21)</f>
        <v>#N/A</v>
      </c>
      <c r="H185">
        <f>_xlfn.XLOOKUP(D185, Products!$A$2:$A$21, Products!$E$2:$E$21, 0)</f>
        <v>0</v>
      </c>
      <c r="I185">
        <f>_xlfn.XLOOKUP(D185, Products!$A$2:$A$21, Products!$F$2:$F$21,0)</f>
        <v>0</v>
      </c>
      <c r="J185" t="str">
        <f>_xlfn.XLOOKUP(C185, Stores!$A$2:$A$7, Stores!$D$2:$D$7)</f>
        <v>Sydney West</v>
      </c>
      <c r="K185">
        <f t="shared" si="4"/>
        <v>0</v>
      </c>
      <c r="L185">
        <f t="shared" si="5"/>
        <v>0</v>
      </c>
    </row>
    <row r="186" spans="1:12">
      <c r="A186" t="s">
        <v>225</v>
      </c>
      <c r="B186" s="2">
        <v>46228</v>
      </c>
      <c r="C186" t="s">
        <v>13</v>
      </c>
      <c r="D186" t="s">
        <v>29</v>
      </c>
      <c r="E186">
        <v>2</v>
      </c>
      <c r="F186" t="str">
        <f>_xlfn.XLOOKUP(D186, Products!$A$2:$A$21, Products!$B$2:$B$21, "Not Found")</f>
        <v>Phone Case</v>
      </c>
      <c r="G186" t="str">
        <f>_xlfn.XLOOKUP(D186, Products!$A$2:$A$21, Products!$C$2:$C$21)</f>
        <v>Accessories</v>
      </c>
      <c r="H186">
        <f>_xlfn.XLOOKUP(D186, Products!$A$2:$A$21, Products!$E$2:$E$21, 0)</f>
        <v>39</v>
      </c>
      <c r="I186">
        <f>_xlfn.XLOOKUP(D186, Products!$A$2:$A$21, Products!$F$2:$F$21,0)</f>
        <v>9</v>
      </c>
      <c r="J186" t="str">
        <f>_xlfn.XLOOKUP(C186, Stores!$A$2:$A$7, Stores!$D$2:$D$7)</f>
        <v>Sydney West</v>
      </c>
      <c r="K186">
        <f t="shared" si="4"/>
        <v>78</v>
      </c>
      <c r="L186">
        <f t="shared" si="5"/>
        <v>60</v>
      </c>
    </row>
    <row r="187" spans="1:12">
      <c r="A187" t="s">
        <v>226</v>
      </c>
      <c r="B187" s="2">
        <v>46228</v>
      </c>
      <c r="C187" t="s">
        <v>25</v>
      </c>
      <c r="D187" t="s">
        <v>48</v>
      </c>
      <c r="E187">
        <v>1</v>
      </c>
      <c r="F187" t="str">
        <f>_xlfn.XLOOKUP(D187, Products!$A$2:$A$21, Products!$B$2:$B$21, "Not Found")</f>
        <v>Tablet 11in</v>
      </c>
      <c r="G187" t="str">
        <f>_xlfn.XLOOKUP(D187, Products!$A$2:$A$21, Products!$C$2:$C$21)</f>
        <v>Computers</v>
      </c>
      <c r="H187">
        <f>_xlfn.XLOOKUP(D187, Products!$A$2:$A$21, Products!$E$2:$E$21, 0)</f>
        <v>899</v>
      </c>
      <c r="I187">
        <f>_xlfn.XLOOKUP(D187, Products!$A$2:$A$21, Products!$F$2:$F$21,0)</f>
        <v>690</v>
      </c>
      <c r="J187" t="str">
        <f>_xlfn.XLOOKUP(C187, Stores!$A$2:$A$7, Stores!$D$2:$D$7)</f>
        <v>Sydney South</v>
      </c>
      <c r="K187">
        <f t="shared" si="4"/>
        <v>899</v>
      </c>
      <c r="L187">
        <f t="shared" si="5"/>
        <v>209</v>
      </c>
    </row>
    <row r="188" spans="1:12">
      <c r="A188" t="s">
        <v>227</v>
      </c>
      <c r="B188" s="2">
        <v>46228</v>
      </c>
      <c r="C188" t="s">
        <v>51</v>
      </c>
      <c r="D188" t="s">
        <v>37</v>
      </c>
      <c r="E188">
        <v>2</v>
      </c>
      <c r="F188" t="str">
        <f>_xlfn.XLOOKUP(D188, Products!$A$2:$A$21, Products!$B$2:$B$21, "Not Found")</f>
        <v>Console Controller</v>
      </c>
      <c r="G188" t="str">
        <f>_xlfn.XLOOKUP(D188, Products!$A$2:$A$21, Products!$C$2:$C$21)</f>
        <v>Gaming</v>
      </c>
      <c r="H188">
        <f>_xlfn.XLOOKUP(D188, Products!$A$2:$A$21, Products!$E$2:$E$21, 0)</f>
        <v>99</v>
      </c>
      <c r="I188">
        <f>_xlfn.XLOOKUP(D188, Products!$A$2:$A$21, Products!$F$2:$F$21,0)</f>
        <v>58</v>
      </c>
      <c r="J188" t="str">
        <f>_xlfn.XLOOKUP(C188, Stores!$A$2:$A$7, Stores!$D$2:$D$7)</f>
        <v>Sydney South</v>
      </c>
      <c r="K188">
        <f t="shared" si="4"/>
        <v>198</v>
      </c>
      <c r="L188">
        <f t="shared" si="5"/>
        <v>82</v>
      </c>
    </row>
    <row r="189" spans="1:12">
      <c r="A189" t="s">
        <v>228</v>
      </c>
      <c r="B189" s="2">
        <v>46229</v>
      </c>
      <c r="C189" t="s">
        <v>13</v>
      </c>
      <c r="D189" t="s">
        <v>20</v>
      </c>
      <c r="E189">
        <v>1</v>
      </c>
      <c r="F189" t="str">
        <f>_xlfn.XLOOKUP(D189, Products!$A$2:$A$21, Products!$B$2:$B$21, "Not Found")</f>
        <v>Bluetooth Speaker</v>
      </c>
      <c r="G189" t="str">
        <f>_xlfn.XLOOKUP(D189, Products!$A$2:$A$21, Products!$C$2:$C$21)</f>
        <v>Audio</v>
      </c>
      <c r="H189">
        <f>_xlfn.XLOOKUP(D189, Products!$A$2:$A$21, Products!$E$2:$E$21, 0)</f>
        <v>179</v>
      </c>
      <c r="I189">
        <f>_xlfn.XLOOKUP(D189, Products!$A$2:$A$21, Products!$F$2:$F$21,0)</f>
        <v>95</v>
      </c>
      <c r="J189" t="str">
        <f>_xlfn.XLOOKUP(C189, Stores!$A$2:$A$7, Stores!$D$2:$D$7)</f>
        <v>Sydney West</v>
      </c>
      <c r="K189">
        <f t="shared" si="4"/>
        <v>179</v>
      </c>
      <c r="L189">
        <f t="shared" si="5"/>
        <v>84</v>
      </c>
    </row>
    <row r="190" spans="1:12">
      <c r="A190" t="s">
        <v>229</v>
      </c>
      <c r="B190" s="2">
        <v>46229</v>
      </c>
      <c r="C190" t="s">
        <v>16</v>
      </c>
      <c r="D190" t="s">
        <v>14</v>
      </c>
      <c r="E190">
        <v>1</v>
      </c>
      <c r="F190" t="str">
        <f>_xlfn.XLOOKUP(D190, Products!$A$2:$A$21, Products!$B$2:$B$21, "Not Found")</f>
        <v>Gaming Mouse</v>
      </c>
      <c r="G190" t="str">
        <f>_xlfn.XLOOKUP(D190, Products!$A$2:$A$21, Products!$C$2:$C$21)</f>
        <v>Accessories</v>
      </c>
      <c r="H190">
        <f>_xlfn.XLOOKUP(D190, Products!$A$2:$A$21, Products!$E$2:$E$21, 0)</f>
        <v>89</v>
      </c>
      <c r="I190">
        <f>_xlfn.XLOOKUP(D190, Products!$A$2:$A$21, Products!$F$2:$F$21,0)</f>
        <v>41</v>
      </c>
      <c r="J190" t="str">
        <f>_xlfn.XLOOKUP(C190, Stores!$A$2:$A$7, Stores!$D$2:$D$7)</f>
        <v>Sydney East</v>
      </c>
      <c r="K190">
        <f t="shared" si="4"/>
        <v>89</v>
      </c>
      <c r="L190">
        <f t="shared" si="5"/>
        <v>48</v>
      </c>
    </row>
    <row r="191" spans="1:12">
      <c r="A191" t="s">
        <v>230</v>
      </c>
      <c r="B191" s="2">
        <v>46229</v>
      </c>
      <c r="C191" t="s">
        <v>13</v>
      </c>
      <c r="D191" t="s">
        <v>37</v>
      </c>
      <c r="E191">
        <v>1</v>
      </c>
      <c r="F191" t="str">
        <f>_xlfn.XLOOKUP(D191, Products!$A$2:$A$21, Products!$B$2:$B$21, "Not Found")</f>
        <v>Console Controller</v>
      </c>
      <c r="G191" t="str">
        <f>_xlfn.XLOOKUP(D191, Products!$A$2:$A$21, Products!$C$2:$C$21)</f>
        <v>Gaming</v>
      </c>
      <c r="H191">
        <f>_xlfn.XLOOKUP(D191, Products!$A$2:$A$21, Products!$E$2:$E$21, 0)</f>
        <v>99</v>
      </c>
      <c r="I191">
        <f>_xlfn.XLOOKUP(D191, Products!$A$2:$A$21, Products!$F$2:$F$21,0)</f>
        <v>58</v>
      </c>
      <c r="J191" t="str">
        <f>_xlfn.XLOOKUP(C191, Stores!$A$2:$A$7, Stores!$D$2:$D$7)</f>
        <v>Sydney West</v>
      </c>
      <c r="K191">
        <f t="shared" si="4"/>
        <v>99</v>
      </c>
      <c r="L191">
        <f t="shared" si="5"/>
        <v>41</v>
      </c>
    </row>
    <row r="192" spans="1:12">
      <c r="A192" t="s">
        <v>231</v>
      </c>
      <c r="B192" s="2">
        <v>46229</v>
      </c>
      <c r="C192" t="s">
        <v>16</v>
      </c>
      <c r="D192" t="s">
        <v>52</v>
      </c>
      <c r="E192">
        <v>1</v>
      </c>
      <c r="F192" t="str">
        <f>_xlfn.XLOOKUP(D192, Products!$A$2:$A$21, Products!$B$2:$B$21, "Not Found")</f>
        <v>Mech Keyboard</v>
      </c>
      <c r="G192" t="str">
        <f>_xlfn.XLOOKUP(D192, Products!$A$2:$A$21, Products!$C$2:$C$21)</f>
        <v>Accessories</v>
      </c>
      <c r="H192">
        <f>_xlfn.XLOOKUP(D192, Products!$A$2:$A$21, Products!$E$2:$E$21, 0)</f>
        <v>149</v>
      </c>
      <c r="I192">
        <f>_xlfn.XLOOKUP(D192, Products!$A$2:$A$21, Products!$F$2:$F$21,0)</f>
        <v>72</v>
      </c>
      <c r="J192" t="str">
        <f>_xlfn.XLOOKUP(C192, Stores!$A$2:$A$7, Stores!$D$2:$D$7)</f>
        <v>Sydney East</v>
      </c>
      <c r="K192">
        <f t="shared" si="4"/>
        <v>149</v>
      </c>
      <c r="L192">
        <f t="shared" si="5"/>
        <v>77</v>
      </c>
    </row>
    <row r="193" spans="1:12">
      <c r="A193" t="s">
        <v>232</v>
      </c>
      <c r="B193" s="2">
        <v>46229</v>
      </c>
      <c r="C193" t="s">
        <v>13</v>
      </c>
      <c r="D193" t="s">
        <v>17</v>
      </c>
      <c r="E193">
        <v>1</v>
      </c>
      <c r="F193" t="str">
        <f>_xlfn.XLOOKUP(D193, Products!$A$2:$A$21, Products!$B$2:$B$21, "Not Found")</f>
        <v>Wireless Earbuds</v>
      </c>
      <c r="G193" t="str">
        <f>_xlfn.XLOOKUP(D193, Products!$A$2:$A$21, Products!$C$2:$C$21)</f>
        <v>Audio</v>
      </c>
      <c r="H193">
        <f>_xlfn.XLOOKUP(D193, Products!$A$2:$A$21, Products!$E$2:$E$21, 0)</f>
        <v>249</v>
      </c>
      <c r="I193">
        <f>_xlfn.XLOOKUP(D193, Products!$A$2:$A$21, Products!$F$2:$F$21,0)</f>
        <v>140</v>
      </c>
      <c r="J193" t="str">
        <f>_xlfn.XLOOKUP(C193, Stores!$A$2:$A$7, Stores!$D$2:$D$7)</f>
        <v>Sydney West</v>
      </c>
      <c r="K193">
        <f t="shared" si="4"/>
        <v>249</v>
      </c>
      <c r="L193">
        <f t="shared" si="5"/>
        <v>109</v>
      </c>
    </row>
    <row r="194" spans="1:12">
      <c r="A194" t="s">
        <v>233</v>
      </c>
      <c r="B194" s="2">
        <v>46229</v>
      </c>
      <c r="C194" t="s">
        <v>51</v>
      </c>
      <c r="D194" t="s">
        <v>29</v>
      </c>
      <c r="E194">
        <v>2</v>
      </c>
      <c r="F194" t="str">
        <f>_xlfn.XLOOKUP(D194, Products!$A$2:$A$21, Products!$B$2:$B$21, "Not Found")</f>
        <v>Phone Case</v>
      </c>
      <c r="G194" t="str">
        <f>_xlfn.XLOOKUP(D194, Products!$A$2:$A$21, Products!$C$2:$C$21)</f>
        <v>Accessories</v>
      </c>
      <c r="H194">
        <f>_xlfn.XLOOKUP(D194, Products!$A$2:$A$21, Products!$E$2:$E$21, 0)</f>
        <v>39</v>
      </c>
      <c r="I194">
        <f>_xlfn.XLOOKUP(D194, Products!$A$2:$A$21, Products!$F$2:$F$21,0)</f>
        <v>9</v>
      </c>
      <c r="J194" t="str">
        <f>_xlfn.XLOOKUP(C194, Stores!$A$2:$A$7, Stores!$D$2:$D$7)</f>
        <v>Sydney South</v>
      </c>
      <c r="K194">
        <f t="shared" si="4"/>
        <v>78</v>
      </c>
      <c r="L194">
        <f t="shared" si="5"/>
        <v>60</v>
      </c>
    </row>
    <row r="195" spans="1:12">
      <c r="A195" t="s">
        <v>234</v>
      </c>
      <c r="B195" s="2">
        <v>46229</v>
      </c>
      <c r="C195" t="s">
        <v>51</v>
      </c>
      <c r="D195" t="s">
        <v>63</v>
      </c>
      <c r="E195">
        <v>1</v>
      </c>
      <c r="F195" t="str">
        <f>_xlfn.XLOOKUP(D195, Products!$A$2:$A$21, Products!$B$2:$B$21, "Not Found")</f>
        <v>27in Monitor</v>
      </c>
      <c r="G195" t="str">
        <f>_xlfn.XLOOKUP(D195, Products!$A$2:$A$21, Products!$C$2:$C$21)</f>
        <v>Computers</v>
      </c>
      <c r="H195">
        <f>_xlfn.XLOOKUP(D195, Products!$A$2:$A$21, Products!$E$2:$E$21, 0)</f>
        <v>399</v>
      </c>
      <c r="I195">
        <f>_xlfn.XLOOKUP(D195, Products!$A$2:$A$21, Products!$F$2:$F$21,0)</f>
        <v>290</v>
      </c>
      <c r="J195" t="str">
        <f>_xlfn.XLOOKUP(C195, Stores!$A$2:$A$7, Stores!$D$2:$D$7)</f>
        <v>Sydney South</v>
      </c>
      <c r="K195">
        <f t="shared" ref="K195:K258" si="6" xml:space="preserve"> E195*H195</f>
        <v>399</v>
      </c>
      <c r="L195">
        <f t="shared" ref="L195:L258" si="7" xml:space="preserve"> K195 - (E195 * I195)</f>
        <v>109</v>
      </c>
    </row>
    <row r="196" spans="1:12">
      <c r="A196" t="s">
        <v>235</v>
      </c>
      <c r="B196" s="2">
        <v>46230</v>
      </c>
      <c r="C196" t="s">
        <v>25</v>
      </c>
      <c r="D196" t="s">
        <v>23</v>
      </c>
      <c r="E196">
        <v>1</v>
      </c>
      <c r="F196" t="str">
        <f>_xlfn.XLOOKUP(D196, Products!$A$2:$A$21, Products!$B$2:$B$21, "Not Found")</f>
        <v>Video Game</v>
      </c>
      <c r="G196" t="str">
        <f>_xlfn.XLOOKUP(D196, Products!$A$2:$A$21, Products!$C$2:$C$21)</f>
        <v>Gaming</v>
      </c>
      <c r="H196">
        <f>_xlfn.XLOOKUP(D196, Products!$A$2:$A$21, Products!$E$2:$E$21, 0)</f>
        <v>79</v>
      </c>
      <c r="I196">
        <f>_xlfn.XLOOKUP(D196, Products!$A$2:$A$21, Products!$F$2:$F$21,0)</f>
        <v>52</v>
      </c>
      <c r="J196" t="str">
        <f>_xlfn.XLOOKUP(C196, Stores!$A$2:$A$7, Stores!$D$2:$D$7)</f>
        <v>Sydney South</v>
      </c>
      <c r="K196">
        <f t="shared" si="6"/>
        <v>79</v>
      </c>
      <c r="L196">
        <f t="shared" si="7"/>
        <v>27</v>
      </c>
    </row>
    <row r="197" spans="1:12">
      <c r="A197" t="s">
        <v>236</v>
      </c>
      <c r="B197" s="2">
        <v>46230</v>
      </c>
      <c r="C197" t="s">
        <v>19</v>
      </c>
      <c r="D197" t="s">
        <v>29</v>
      </c>
      <c r="E197">
        <v>1</v>
      </c>
      <c r="F197" t="str">
        <f>_xlfn.XLOOKUP(D197, Products!$A$2:$A$21, Products!$B$2:$B$21, "Not Found")</f>
        <v>Phone Case</v>
      </c>
      <c r="G197" t="str">
        <f>_xlfn.XLOOKUP(D197, Products!$A$2:$A$21, Products!$C$2:$C$21)</f>
        <v>Accessories</v>
      </c>
      <c r="H197">
        <f>_xlfn.XLOOKUP(D197, Products!$A$2:$A$21, Products!$E$2:$E$21, 0)</f>
        <v>39</v>
      </c>
      <c r="I197">
        <f>_xlfn.XLOOKUP(D197, Products!$A$2:$A$21, Products!$F$2:$F$21,0)</f>
        <v>9</v>
      </c>
      <c r="J197" t="str">
        <f>_xlfn.XLOOKUP(C197, Stores!$A$2:$A$7, Stores!$D$2:$D$7)</f>
        <v>Sydney North</v>
      </c>
      <c r="K197">
        <f t="shared" si="6"/>
        <v>39</v>
      </c>
      <c r="L197">
        <f t="shared" si="7"/>
        <v>30</v>
      </c>
    </row>
    <row r="198" spans="1:12">
      <c r="A198" t="s">
        <v>237</v>
      </c>
      <c r="B198" s="2">
        <v>46230</v>
      </c>
      <c r="C198" t="s">
        <v>25</v>
      </c>
      <c r="D198" t="s">
        <v>63</v>
      </c>
      <c r="E198">
        <v>2</v>
      </c>
      <c r="F198" t="str">
        <f>_xlfn.XLOOKUP(D198, Products!$A$2:$A$21, Products!$B$2:$B$21, "Not Found")</f>
        <v>27in Monitor</v>
      </c>
      <c r="G198" t="str">
        <f>_xlfn.XLOOKUP(D198, Products!$A$2:$A$21, Products!$C$2:$C$21)</f>
        <v>Computers</v>
      </c>
      <c r="H198">
        <f>_xlfn.XLOOKUP(D198, Products!$A$2:$A$21, Products!$E$2:$E$21, 0)</f>
        <v>399</v>
      </c>
      <c r="I198">
        <f>_xlfn.XLOOKUP(D198, Products!$A$2:$A$21, Products!$F$2:$F$21,0)</f>
        <v>290</v>
      </c>
      <c r="J198" t="str">
        <f>_xlfn.XLOOKUP(C198, Stores!$A$2:$A$7, Stores!$D$2:$D$7)</f>
        <v>Sydney South</v>
      </c>
      <c r="K198">
        <f t="shared" si="6"/>
        <v>798</v>
      </c>
      <c r="L198">
        <f t="shared" si="7"/>
        <v>218</v>
      </c>
    </row>
    <row r="199" spans="1:12">
      <c r="A199" t="s">
        <v>238</v>
      </c>
      <c r="B199" s="2">
        <v>46230</v>
      </c>
      <c r="C199" t="s">
        <v>51</v>
      </c>
      <c r="D199" t="s">
        <v>20</v>
      </c>
      <c r="E199">
        <v>3</v>
      </c>
      <c r="F199" t="str">
        <f>_xlfn.XLOOKUP(D199, Products!$A$2:$A$21, Products!$B$2:$B$21, "Not Found")</f>
        <v>Bluetooth Speaker</v>
      </c>
      <c r="G199" t="str">
        <f>_xlfn.XLOOKUP(D199, Products!$A$2:$A$21, Products!$C$2:$C$21)</f>
        <v>Audio</v>
      </c>
      <c r="H199">
        <f>_xlfn.XLOOKUP(D199, Products!$A$2:$A$21, Products!$E$2:$E$21, 0)</f>
        <v>179</v>
      </c>
      <c r="I199">
        <f>_xlfn.XLOOKUP(D199, Products!$A$2:$A$21, Products!$F$2:$F$21,0)</f>
        <v>95</v>
      </c>
      <c r="J199" t="str">
        <f>_xlfn.XLOOKUP(C199, Stores!$A$2:$A$7, Stores!$D$2:$D$7)</f>
        <v>Sydney South</v>
      </c>
      <c r="K199">
        <f t="shared" si="6"/>
        <v>537</v>
      </c>
      <c r="L199">
        <f t="shared" si="7"/>
        <v>252</v>
      </c>
    </row>
    <row r="200" spans="1:12">
      <c r="A200" t="s">
        <v>239</v>
      </c>
      <c r="B200" s="2">
        <v>46230</v>
      </c>
      <c r="C200" t="s">
        <v>16</v>
      </c>
      <c r="D200" t="s">
        <v>32</v>
      </c>
      <c r="E200">
        <v>1</v>
      </c>
      <c r="F200" t="str">
        <f>_xlfn.XLOOKUP(D200, Products!$A$2:$A$21, Products!$B$2:$B$21, "Not Found")</f>
        <v>USB-C Charger</v>
      </c>
      <c r="G200" t="str">
        <f>_xlfn.XLOOKUP(D200, Products!$A$2:$A$21, Products!$C$2:$C$21)</f>
        <v>Accessories</v>
      </c>
      <c r="H200">
        <f>_xlfn.XLOOKUP(D200, Products!$A$2:$A$21, Products!$E$2:$E$21, 0)</f>
        <v>49</v>
      </c>
      <c r="I200">
        <f>_xlfn.XLOOKUP(D200, Products!$A$2:$A$21, Products!$F$2:$F$21,0)</f>
        <v>14</v>
      </c>
      <c r="J200" t="str">
        <f>_xlfn.XLOOKUP(C200, Stores!$A$2:$A$7, Stores!$D$2:$D$7)</f>
        <v>Sydney East</v>
      </c>
      <c r="K200">
        <f t="shared" si="6"/>
        <v>49</v>
      </c>
      <c r="L200">
        <f t="shared" si="7"/>
        <v>35</v>
      </c>
    </row>
    <row r="201" spans="1:12">
      <c r="A201" t="s">
        <v>240</v>
      </c>
      <c r="B201" s="2">
        <v>46230</v>
      </c>
      <c r="C201" t="s">
        <v>13</v>
      </c>
      <c r="D201" t="s">
        <v>20</v>
      </c>
      <c r="E201">
        <v>1</v>
      </c>
      <c r="F201" t="str">
        <f>_xlfn.XLOOKUP(D201, Products!$A$2:$A$21, Products!$B$2:$B$21, "Not Found")</f>
        <v>Bluetooth Speaker</v>
      </c>
      <c r="G201" t="str">
        <f>_xlfn.XLOOKUP(D201, Products!$A$2:$A$21, Products!$C$2:$C$21)</f>
        <v>Audio</v>
      </c>
      <c r="H201">
        <f>_xlfn.XLOOKUP(D201, Products!$A$2:$A$21, Products!$E$2:$E$21, 0)</f>
        <v>179</v>
      </c>
      <c r="I201">
        <f>_xlfn.XLOOKUP(D201, Products!$A$2:$A$21, Products!$F$2:$F$21,0)</f>
        <v>95</v>
      </c>
      <c r="J201" t="str">
        <f>_xlfn.XLOOKUP(C201, Stores!$A$2:$A$7, Stores!$D$2:$D$7)</f>
        <v>Sydney West</v>
      </c>
      <c r="K201">
        <f t="shared" si="6"/>
        <v>179</v>
      </c>
      <c r="L201">
        <f t="shared" si="7"/>
        <v>84</v>
      </c>
    </row>
    <row r="202" spans="1:12">
      <c r="A202" t="s">
        <v>241</v>
      </c>
      <c r="B202" s="2">
        <v>46231</v>
      </c>
      <c r="C202" t="s">
        <v>22</v>
      </c>
      <c r="D202" t="s">
        <v>29</v>
      </c>
      <c r="E202">
        <v>1</v>
      </c>
      <c r="F202" t="str">
        <f>_xlfn.XLOOKUP(D202, Products!$A$2:$A$21, Products!$B$2:$B$21, "Not Found")</f>
        <v>Phone Case</v>
      </c>
      <c r="G202" t="str">
        <f>_xlfn.XLOOKUP(D202, Products!$A$2:$A$21, Products!$C$2:$C$21)</f>
        <v>Accessories</v>
      </c>
      <c r="H202">
        <f>_xlfn.XLOOKUP(D202, Products!$A$2:$A$21, Products!$E$2:$E$21, 0)</f>
        <v>39</v>
      </c>
      <c r="I202">
        <f>_xlfn.XLOOKUP(D202, Products!$A$2:$A$21, Products!$F$2:$F$21,0)</f>
        <v>9</v>
      </c>
      <c r="J202" t="str">
        <f>_xlfn.XLOOKUP(C202, Stores!$A$2:$A$7, Stores!$D$2:$D$7)</f>
        <v>Sydney West</v>
      </c>
      <c r="K202">
        <f t="shared" si="6"/>
        <v>39</v>
      </c>
      <c r="L202">
        <f t="shared" si="7"/>
        <v>30</v>
      </c>
    </row>
    <row r="203" spans="1:12">
      <c r="A203" t="s">
        <v>242</v>
      </c>
      <c r="B203" s="2">
        <v>46231</v>
      </c>
      <c r="C203" t="s">
        <v>22</v>
      </c>
      <c r="D203" t="s">
        <v>23</v>
      </c>
      <c r="E203">
        <v>1</v>
      </c>
      <c r="F203" t="str">
        <f>_xlfn.XLOOKUP(D203, Products!$A$2:$A$21, Products!$B$2:$B$21, "Not Found")</f>
        <v>Video Game</v>
      </c>
      <c r="G203" t="str">
        <f>_xlfn.XLOOKUP(D203, Products!$A$2:$A$21, Products!$C$2:$C$21)</f>
        <v>Gaming</v>
      </c>
      <c r="H203">
        <f>_xlfn.XLOOKUP(D203, Products!$A$2:$A$21, Products!$E$2:$E$21, 0)</f>
        <v>79</v>
      </c>
      <c r="I203">
        <f>_xlfn.XLOOKUP(D203, Products!$A$2:$A$21, Products!$F$2:$F$21,0)</f>
        <v>52</v>
      </c>
      <c r="J203" t="str">
        <f>_xlfn.XLOOKUP(C203, Stores!$A$2:$A$7, Stores!$D$2:$D$7)</f>
        <v>Sydney West</v>
      </c>
      <c r="K203">
        <f t="shared" si="6"/>
        <v>79</v>
      </c>
      <c r="L203">
        <f t="shared" si="7"/>
        <v>27</v>
      </c>
    </row>
    <row r="204" spans="1:12">
      <c r="A204" t="s">
        <v>243</v>
      </c>
      <c r="B204" s="2">
        <v>46231</v>
      </c>
      <c r="C204" t="s">
        <v>25</v>
      </c>
      <c r="D204" t="s">
        <v>20</v>
      </c>
      <c r="E204">
        <v>1</v>
      </c>
      <c r="F204" t="str">
        <f>_xlfn.XLOOKUP(D204, Products!$A$2:$A$21, Products!$B$2:$B$21, "Not Found")</f>
        <v>Bluetooth Speaker</v>
      </c>
      <c r="G204" t="str">
        <f>_xlfn.XLOOKUP(D204, Products!$A$2:$A$21, Products!$C$2:$C$21)</f>
        <v>Audio</v>
      </c>
      <c r="H204">
        <f>_xlfn.XLOOKUP(D204, Products!$A$2:$A$21, Products!$E$2:$E$21, 0)</f>
        <v>179</v>
      </c>
      <c r="I204">
        <f>_xlfn.XLOOKUP(D204, Products!$A$2:$A$21, Products!$F$2:$F$21,0)</f>
        <v>95</v>
      </c>
      <c r="J204" t="str">
        <f>_xlfn.XLOOKUP(C204, Stores!$A$2:$A$7, Stores!$D$2:$D$7)</f>
        <v>Sydney South</v>
      </c>
      <c r="K204">
        <f t="shared" si="6"/>
        <v>179</v>
      </c>
      <c r="L204">
        <f t="shared" si="7"/>
        <v>84</v>
      </c>
    </row>
    <row r="205" spans="1:12">
      <c r="A205" t="s">
        <v>244</v>
      </c>
      <c r="B205" s="2">
        <v>46231</v>
      </c>
      <c r="C205" t="s">
        <v>25</v>
      </c>
      <c r="D205" t="s">
        <v>52</v>
      </c>
      <c r="E205">
        <v>1</v>
      </c>
      <c r="F205" t="str">
        <f>_xlfn.XLOOKUP(D205, Products!$A$2:$A$21, Products!$B$2:$B$21, "Not Found")</f>
        <v>Mech Keyboard</v>
      </c>
      <c r="G205" t="str">
        <f>_xlfn.XLOOKUP(D205, Products!$A$2:$A$21, Products!$C$2:$C$21)</f>
        <v>Accessories</v>
      </c>
      <c r="H205">
        <f>_xlfn.XLOOKUP(D205, Products!$A$2:$A$21, Products!$E$2:$E$21, 0)</f>
        <v>149</v>
      </c>
      <c r="I205">
        <f>_xlfn.XLOOKUP(D205, Products!$A$2:$A$21, Products!$F$2:$F$21,0)</f>
        <v>72</v>
      </c>
      <c r="J205" t="str">
        <f>_xlfn.XLOOKUP(C205, Stores!$A$2:$A$7, Stores!$D$2:$D$7)</f>
        <v>Sydney South</v>
      </c>
      <c r="K205">
        <f t="shared" si="6"/>
        <v>149</v>
      </c>
      <c r="L205">
        <f t="shared" si="7"/>
        <v>77</v>
      </c>
    </row>
    <row r="206" spans="1:12">
      <c r="A206" t="s">
        <v>245</v>
      </c>
      <c r="B206" s="2">
        <v>46231</v>
      </c>
      <c r="C206" t="s">
        <v>25</v>
      </c>
      <c r="D206" t="s">
        <v>93</v>
      </c>
      <c r="E206">
        <v>3</v>
      </c>
      <c r="F206" t="str">
        <f>_xlfn.XLOOKUP(D206, Products!$A$2:$A$21, Products!$B$2:$B$21, "Not Found")</f>
        <v>Smartphone 256GB</v>
      </c>
      <c r="G206" t="str">
        <f>_xlfn.XLOOKUP(D206, Products!$A$2:$A$21, Products!$C$2:$C$21)</f>
        <v>Phones</v>
      </c>
      <c r="H206">
        <f>_xlfn.XLOOKUP(D206, Products!$A$2:$A$21, Products!$E$2:$E$21, 0)</f>
        <v>1499</v>
      </c>
      <c r="I206">
        <f>_xlfn.XLOOKUP(D206, Products!$A$2:$A$21, Products!$F$2:$F$21,0)</f>
        <v>1180</v>
      </c>
      <c r="J206" t="str">
        <f>_xlfn.XLOOKUP(C206, Stores!$A$2:$A$7, Stores!$D$2:$D$7)</f>
        <v>Sydney South</v>
      </c>
      <c r="K206">
        <f t="shared" si="6"/>
        <v>4497</v>
      </c>
      <c r="L206">
        <f t="shared" si="7"/>
        <v>957</v>
      </c>
    </row>
    <row r="207" spans="1:12">
      <c r="A207" t="s">
        <v>246</v>
      </c>
      <c r="B207" s="2">
        <v>46231</v>
      </c>
      <c r="C207" t="s">
        <v>22</v>
      </c>
      <c r="D207" t="s">
        <v>61</v>
      </c>
      <c r="E207">
        <v>1</v>
      </c>
      <c r="F207" t="str">
        <f>_xlfn.XLOOKUP(D207, Products!$A$2:$A$21, Products!$B$2:$B$21, "Not Found")</f>
        <v>Soundbar</v>
      </c>
      <c r="G207" t="str">
        <f>_xlfn.XLOOKUP(D207, Products!$A$2:$A$21, Products!$C$2:$C$21)</f>
        <v>Audio</v>
      </c>
      <c r="H207">
        <f>_xlfn.XLOOKUP(D207, Products!$A$2:$A$21, Products!$E$2:$E$21, 0)</f>
        <v>699</v>
      </c>
      <c r="I207">
        <f>_xlfn.XLOOKUP(D207, Products!$A$2:$A$21, Products!$F$2:$F$21,0)</f>
        <v>450</v>
      </c>
      <c r="J207" t="str">
        <f>_xlfn.XLOOKUP(C207, Stores!$A$2:$A$7, Stores!$D$2:$D$7)</f>
        <v>Sydney West</v>
      </c>
      <c r="K207">
        <f t="shared" si="6"/>
        <v>699</v>
      </c>
      <c r="L207">
        <f t="shared" si="7"/>
        <v>249</v>
      </c>
    </row>
    <row r="208" spans="1:12">
      <c r="A208" t="s">
        <v>247</v>
      </c>
      <c r="B208" s="2">
        <v>46232</v>
      </c>
      <c r="C208" t="s">
        <v>25</v>
      </c>
      <c r="D208" t="s">
        <v>146</v>
      </c>
      <c r="E208">
        <v>1</v>
      </c>
      <c r="F208" t="str">
        <f>_xlfn.XLOOKUP(D208, Products!$A$2:$A$21, Products!$B$2:$B$21, "Not Found")</f>
        <v>Game Console</v>
      </c>
      <c r="G208" t="str">
        <f>_xlfn.XLOOKUP(D208, Products!$A$2:$A$21, Products!$C$2:$C$21)</f>
        <v>Gaming</v>
      </c>
      <c r="H208">
        <f>_xlfn.XLOOKUP(D208, Products!$A$2:$A$21, Products!$E$2:$E$21, 0)</f>
        <v>499</v>
      </c>
      <c r="I208">
        <f>_xlfn.XLOOKUP(D208, Products!$A$2:$A$21, Products!$F$2:$F$21,0)</f>
        <v>420</v>
      </c>
      <c r="J208" t="str">
        <f>_xlfn.XLOOKUP(C208, Stores!$A$2:$A$7, Stores!$D$2:$D$7)</f>
        <v>Sydney South</v>
      </c>
      <c r="K208">
        <f t="shared" si="6"/>
        <v>499</v>
      </c>
      <c r="L208">
        <f t="shared" si="7"/>
        <v>79</v>
      </c>
    </row>
    <row r="209" spans="1:12">
      <c r="A209" t="s">
        <v>248</v>
      </c>
      <c r="B209" s="2">
        <v>46232</v>
      </c>
      <c r="C209" t="s">
        <v>13</v>
      </c>
      <c r="D209" t="s">
        <v>63</v>
      </c>
      <c r="E209">
        <v>1</v>
      </c>
      <c r="F209" t="str">
        <f>_xlfn.XLOOKUP(D209, Products!$A$2:$A$21, Products!$B$2:$B$21, "Not Found")</f>
        <v>27in Monitor</v>
      </c>
      <c r="G209" t="str">
        <f>_xlfn.XLOOKUP(D209, Products!$A$2:$A$21, Products!$C$2:$C$21)</f>
        <v>Computers</v>
      </c>
      <c r="H209">
        <f>_xlfn.XLOOKUP(D209, Products!$A$2:$A$21, Products!$E$2:$E$21, 0)</f>
        <v>399</v>
      </c>
      <c r="I209">
        <f>_xlfn.XLOOKUP(D209, Products!$A$2:$A$21, Products!$F$2:$F$21,0)</f>
        <v>290</v>
      </c>
      <c r="J209" t="str">
        <f>_xlfn.XLOOKUP(C209, Stores!$A$2:$A$7, Stores!$D$2:$D$7)</f>
        <v>Sydney West</v>
      </c>
      <c r="K209">
        <f t="shared" si="6"/>
        <v>399</v>
      </c>
      <c r="L209">
        <f t="shared" si="7"/>
        <v>109</v>
      </c>
    </row>
    <row r="210" spans="1:12">
      <c r="A210" t="s">
        <v>249</v>
      </c>
      <c r="B210" s="2">
        <v>46232</v>
      </c>
      <c r="C210" t="s">
        <v>51</v>
      </c>
      <c r="D210" t="s">
        <v>100</v>
      </c>
      <c r="E210">
        <v>3</v>
      </c>
      <c r="F210" t="str">
        <f>_xlfn.XLOOKUP(D210, Products!$A$2:$A$21, Products!$B$2:$B$21, "Not Found")</f>
        <v>Laptop 14in</v>
      </c>
      <c r="G210" t="str">
        <f>_xlfn.XLOOKUP(D210, Products!$A$2:$A$21, Products!$C$2:$C$21)</f>
        <v>Computers</v>
      </c>
      <c r="H210">
        <f>_xlfn.XLOOKUP(D210, Products!$A$2:$A$21, Products!$E$2:$E$21, 0)</f>
        <v>1199</v>
      </c>
      <c r="I210">
        <f>_xlfn.XLOOKUP(D210, Products!$A$2:$A$21, Products!$F$2:$F$21,0)</f>
        <v>930</v>
      </c>
      <c r="J210" t="str">
        <f>_xlfn.XLOOKUP(C210, Stores!$A$2:$A$7, Stores!$D$2:$D$7)</f>
        <v>Sydney South</v>
      </c>
      <c r="K210">
        <f t="shared" si="6"/>
        <v>3597</v>
      </c>
      <c r="L210">
        <f t="shared" si="7"/>
        <v>807</v>
      </c>
    </row>
    <row r="211" spans="1:12">
      <c r="A211" t="s">
        <v>250</v>
      </c>
      <c r="B211" s="2">
        <v>46233</v>
      </c>
      <c r="C211" t="s">
        <v>22</v>
      </c>
      <c r="D211" t="s">
        <v>52</v>
      </c>
      <c r="E211">
        <v>1</v>
      </c>
      <c r="F211" t="str">
        <f>_xlfn.XLOOKUP(D211, Products!$A$2:$A$21, Products!$B$2:$B$21, "Not Found")</f>
        <v>Mech Keyboard</v>
      </c>
      <c r="G211" t="str">
        <f>_xlfn.XLOOKUP(D211, Products!$A$2:$A$21, Products!$C$2:$C$21)</f>
        <v>Accessories</v>
      </c>
      <c r="H211">
        <f>_xlfn.XLOOKUP(D211, Products!$A$2:$A$21, Products!$E$2:$E$21, 0)</f>
        <v>149</v>
      </c>
      <c r="I211">
        <f>_xlfn.XLOOKUP(D211, Products!$A$2:$A$21, Products!$F$2:$F$21,0)</f>
        <v>72</v>
      </c>
      <c r="J211" t="str">
        <f>_xlfn.XLOOKUP(C211, Stores!$A$2:$A$7, Stores!$D$2:$D$7)</f>
        <v>Sydney West</v>
      </c>
      <c r="K211">
        <f t="shared" si="6"/>
        <v>149</v>
      </c>
      <c r="L211">
        <f t="shared" si="7"/>
        <v>77</v>
      </c>
    </row>
    <row r="212" spans="1:12">
      <c r="A212" t="s">
        <v>251</v>
      </c>
      <c r="B212" s="2">
        <v>46233</v>
      </c>
      <c r="C212" t="s">
        <v>13</v>
      </c>
      <c r="D212" t="s">
        <v>32</v>
      </c>
      <c r="E212">
        <v>2</v>
      </c>
      <c r="F212" t="str">
        <f>_xlfn.XLOOKUP(D212, Products!$A$2:$A$21, Products!$B$2:$B$21, "Not Found")</f>
        <v>USB-C Charger</v>
      </c>
      <c r="G212" t="str">
        <f>_xlfn.XLOOKUP(D212, Products!$A$2:$A$21, Products!$C$2:$C$21)</f>
        <v>Accessories</v>
      </c>
      <c r="H212">
        <f>_xlfn.XLOOKUP(D212, Products!$A$2:$A$21, Products!$E$2:$E$21, 0)</f>
        <v>49</v>
      </c>
      <c r="I212">
        <f>_xlfn.XLOOKUP(D212, Products!$A$2:$A$21, Products!$F$2:$F$21,0)</f>
        <v>14</v>
      </c>
      <c r="J212" t="str">
        <f>_xlfn.XLOOKUP(C212, Stores!$A$2:$A$7, Stores!$D$2:$D$7)</f>
        <v>Sydney West</v>
      </c>
      <c r="K212">
        <f t="shared" si="6"/>
        <v>98</v>
      </c>
      <c r="L212">
        <f t="shared" si="7"/>
        <v>70</v>
      </c>
    </row>
    <row r="213" spans="1:12">
      <c r="A213" t="s">
        <v>252</v>
      </c>
      <c r="B213" s="2">
        <v>46233</v>
      </c>
      <c r="C213" t="s">
        <v>16</v>
      </c>
      <c r="D213" t="s">
        <v>93</v>
      </c>
      <c r="E213">
        <v>1</v>
      </c>
      <c r="F213" t="str">
        <f>_xlfn.XLOOKUP(D213, Products!$A$2:$A$21, Products!$B$2:$B$21, "Not Found")</f>
        <v>Smartphone 256GB</v>
      </c>
      <c r="G213" t="str">
        <f>_xlfn.XLOOKUP(D213, Products!$A$2:$A$21, Products!$C$2:$C$21)</f>
        <v>Phones</v>
      </c>
      <c r="H213">
        <f>_xlfn.XLOOKUP(D213, Products!$A$2:$A$21, Products!$E$2:$E$21, 0)</f>
        <v>1499</v>
      </c>
      <c r="I213">
        <f>_xlfn.XLOOKUP(D213, Products!$A$2:$A$21, Products!$F$2:$F$21,0)</f>
        <v>1180</v>
      </c>
      <c r="J213" t="str">
        <f>_xlfn.XLOOKUP(C213, Stores!$A$2:$A$7, Stores!$D$2:$D$7)</f>
        <v>Sydney East</v>
      </c>
      <c r="K213">
        <f t="shared" si="6"/>
        <v>1499</v>
      </c>
      <c r="L213">
        <f t="shared" si="7"/>
        <v>319</v>
      </c>
    </row>
    <row r="214" spans="1:12">
      <c r="A214" t="s">
        <v>253</v>
      </c>
      <c r="B214" s="2">
        <v>46233</v>
      </c>
      <c r="C214" t="s">
        <v>25</v>
      </c>
      <c r="D214" t="s">
        <v>23</v>
      </c>
      <c r="E214">
        <v>1</v>
      </c>
      <c r="F214" t="str">
        <f>_xlfn.XLOOKUP(D214, Products!$A$2:$A$21, Products!$B$2:$B$21, "Not Found")</f>
        <v>Video Game</v>
      </c>
      <c r="G214" t="str">
        <f>_xlfn.XLOOKUP(D214, Products!$A$2:$A$21, Products!$C$2:$C$21)</f>
        <v>Gaming</v>
      </c>
      <c r="H214">
        <f>_xlfn.XLOOKUP(D214, Products!$A$2:$A$21, Products!$E$2:$E$21, 0)</f>
        <v>79</v>
      </c>
      <c r="I214">
        <f>_xlfn.XLOOKUP(D214, Products!$A$2:$A$21, Products!$F$2:$F$21,0)</f>
        <v>52</v>
      </c>
      <c r="J214" t="str">
        <f>_xlfn.XLOOKUP(C214, Stores!$A$2:$A$7, Stores!$D$2:$D$7)</f>
        <v>Sydney South</v>
      </c>
      <c r="K214">
        <f t="shared" si="6"/>
        <v>79</v>
      </c>
      <c r="L214">
        <f t="shared" si="7"/>
        <v>27</v>
      </c>
    </row>
    <row r="215" spans="1:12">
      <c r="A215" t="s">
        <v>254</v>
      </c>
      <c r="B215" s="2">
        <v>46233</v>
      </c>
      <c r="C215" t="s">
        <v>16</v>
      </c>
      <c r="D215" t="s">
        <v>32</v>
      </c>
      <c r="E215">
        <v>1</v>
      </c>
      <c r="F215" t="str">
        <f>_xlfn.XLOOKUP(D215, Products!$A$2:$A$21, Products!$B$2:$B$21, "Not Found")</f>
        <v>USB-C Charger</v>
      </c>
      <c r="G215" t="str">
        <f>_xlfn.XLOOKUP(D215, Products!$A$2:$A$21, Products!$C$2:$C$21)</f>
        <v>Accessories</v>
      </c>
      <c r="H215">
        <f>_xlfn.XLOOKUP(D215, Products!$A$2:$A$21, Products!$E$2:$E$21, 0)</f>
        <v>49</v>
      </c>
      <c r="I215">
        <f>_xlfn.XLOOKUP(D215, Products!$A$2:$A$21, Products!$F$2:$F$21,0)</f>
        <v>14</v>
      </c>
      <c r="J215" t="str">
        <f>_xlfn.XLOOKUP(C215, Stores!$A$2:$A$7, Stores!$D$2:$D$7)</f>
        <v>Sydney East</v>
      </c>
      <c r="K215">
        <f t="shared" si="6"/>
        <v>49</v>
      </c>
      <c r="L215">
        <f t="shared" si="7"/>
        <v>35</v>
      </c>
    </row>
    <row r="216" spans="1:12">
      <c r="A216" t="s">
        <v>255</v>
      </c>
      <c r="B216" s="2">
        <v>46234</v>
      </c>
      <c r="C216" t="s">
        <v>22</v>
      </c>
      <c r="D216" t="s">
        <v>32</v>
      </c>
      <c r="E216">
        <v>2</v>
      </c>
      <c r="F216" t="str">
        <f>_xlfn.XLOOKUP(D216, Products!$A$2:$A$21, Products!$B$2:$B$21, "Not Found")</f>
        <v>USB-C Charger</v>
      </c>
      <c r="G216" t="str">
        <f>_xlfn.XLOOKUP(D216, Products!$A$2:$A$21, Products!$C$2:$C$21)</f>
        <v>Accessories</v>
      </c>
      <c r="H216">
        <f>_xlfn.XLOOKUP(D216, Products!$A$2:$A$21, Products!$E$2:$E$21, 0)</f>
        <v>49</v>
      </c>
      <c r="I216">
        <f>_xlfn.XLOOKUP(D216, Products!$A$2:$A$21, Products!$F$2:$F$21,0)</f>
        <v>14</v>
      </c>
      <c r="J216" t="str">
        <f>_xlfn.XLOOKUP(C216, Stores!$A$2:$A$7, Stores!$D$2:$D$7)</f>
        <v>Sydney West</v>
      </c>
      <c r="K216">
        <f t="shared" si="6"/>
        <v>98</v>
      </c>
      <c r="L216">
        <f t="shared" si="7"/>
        <v>70</v>
      </c>
    </row>
    <row r="217" spans="1:12">
      <c r="A217" t="s">
        <v>256</v>
      </c>
      <c r="B217" s="2">
        <v>46234</v>
      </c>
      <c r="C217" t="s">
        <v>16</v>
      </c>
      <c r="D217" t="s">
        <v>17</v>
      </c>
      <c r="E217">
        <v>1</v>
      </c>
      <c r="F217" t="str">
        <f>_xlfn.XLOOKUP(D217, Products!$A$2:$A$21, Products!$B$2:$B$21, "Not Found")</f>
        <v>Wireless Earbuds</v>
      </c>
      <c r="G217" t="str">
        <f>_xlfn.XLOOKUP(D217, Products!$A$2:$A$21, Products!$C$2:$C$21)</f>
        <v>Audio</v>
      </c>
      <c r="H217">
        <f>_xlfn.XLOOKUP(D217, Products!$A$2:$A$21, Products!$E$2:$E$21, 0)</f>
        <v>249</v>
      </c>
      <c r="I217">
        <f>_xlfn.XLOOKUP(D217, Products!$A$2:$A$21, Products!$F$2:$F$21,0)</f>
        <v>140</v>
      </c>
      <c r="J217" t="str">
        <f>_xlfn.XLOOKUP(C217, Stores!$A$2:$A$7, Stores!$D$2:$D$7)</f>
        <v>Sydney East</v>
      </c>
      <c r="K217">
        <f t="shared" si="6"/>
        <v>249</v>
      </c>
      <c r="L217">
        <f t="shared" si="7"/>
        <v>109</v>
      </c>
    </row>
    <row r="218" spans="1:12">
      <c r="A218" t="s">
        <v>257</v>
      </c>
      <c r="B218" s="2">
        <v>46234</v>
      </c>
      <c r="C218" t="s">
        <v>22</v>
      </c>
      <c r="D218" t="s">
        <v>20</v>
      </c>
      <c r="E218">
        <v>1</v>
      </c>
      <c r="F218" t="str">
        <f>_xlfn.XLOOKUP(D218, Products!$A$2:$A$21, Products!$B$2:$B$21, "Not Found")</f>
        <v>Bluetooth Speaker</v>
      </c>
      <c r="G218" t="str">
        <f>_xlfn.XLOOKUP(D218, Products!$A$2:$A$21, Products!$C$2:$C$21)</f>
        <v>Audio</v>
      </c>
      <c r="H218">
        <f>_xlfn.XLOOKUP(D218, Products!$A$2:$A$21, Products!$E$2:$E$21, 0)</f>
        <v>179</v>
      </c>
      <c r="I218">
        <f>_xlfn.XLOOKUP(D218, Products!$A$2:$A$21, Products!$F$2:$F$21,0)</f>
        <v>95</v>
      </c>
      <c r="J218" t="str">
        <f>_xlfn.XLOOKUP(C218, Stores!$A$2:$A$7, Stores!$D$2:$D$7)</f>
        <v>Sydney West</v>
      </c>
      <c r="K218">
        <f t="shared" si="6"/>
        <v>179</v>
      </c>
      <c r="L218">
        <f t="shared" si="7"/>
        <v>84</v>
      </c>
    </row>
    <row r="219" spans="1:12">
      <c r="A219" t="s">
        <v>258</v>
      </c>
      <c r="B219" s="2">
        <v>46235</v>
      </c>
      <c r="C219" t="s">
        <v>22</v>
      </c>
      <c r="D219" t="s">
        <v>32</v>
      </c>
      <c r="E219">
        <v>1</v>
      </c>
      <c r="F219" t="str">
        <f>_xlfn.XLOOKUP(D219, Products!$A$2:$A$21, Products!$B$2:$B$21, "Not Found")</f>
        <v>USB-C Charger</v>
      </c>
      <c r="G219" t="str">
        <f>_xlfn.XLOOKUP(D219, Products!$A$2:$A$21, Products!$C$2:$C$21)</f>
        <v>Accessories</v>
      </c>
      <c r="H219">
        <f>_xlfn.XLOOKUP(D219, Products!$A$2:$A$21, Products!$E$2:$E$21, 0)</f>
        <v>49</v>
      </c>
      <c r="I219">
        <f>_xlfn.XLOOKUP(D219, Products!$A$2:$A$21, Products!$F$2:$F$21,0)</f>
        <v>14</v>
      </c>
      <c r="J219" t="str">
        <f>_xlfn.XLOOKUP(C219, Stores!$A$2:$A$7, Stores!$D$2:$D$7)</f>
        <v>Sydney West</v>
      </c>
      <c r="K219">
        <f t="shared" si="6"/>
        <v>49</v>
      </c>
      <c r="L219">
        <f t="shared" si="7"/>
        <v>35</v>
      </c>
    </row>
    <row r="220" spans="1:12">
      <c r="A220" t="s">
        <v>259</v>
      </c>
      <c r="B220" s="2">
        <v>46235</v>
      </c>
      <c r="C220" t="s">
        <v>22</v>
      </c>
      <c r="D220" t="s">
        <v>29</v>
      </c>
      <c r="E220">
        <v>1</v>
      </c>
      <c r="F220" t="str">
        <f>_xlfn.XLOOKUP(D220, Products!$A$2:$A$21, Products!$B$2:$B$21, "Not Found")</f>
        <v>Phone Case</v>
      </c>
      <c r="G220" t="str">
        <f>_xlfn.XLOOKUP(D220, Products!$A$2:$A$21, Products!$C$2:$C$21)</f>
        <v>Accessories</v>
      </c>
      <c r="H220">
        <f>_xlfn.XLOOKUP(D220, Products!$A$2:$A$21, Products!$E$2:$E$21, 0)</f>
        <v>39</v>
      </c>
      <c r="I220">
        <f>_xlfn.XLOOKUP(D220, Products!$A$2:$A$21, Products!$F$2:$F$21,0)</f>
        <v>9</v>
      </c>
      <c r="J220" t="str">
        <f>_xlfn.XLOOKUP(C220, Stores!$A$2:$A$7, Stores!$D$2:$D$7)</f>
        <v>Sydney West</v>
      </c>
      <c r="K220">
        <f t="shared" si="6"/>
        <v>39</v>
      </c>
      <c r="L220">
        <f t="shared" si="7"/>
        <v>30</v>
      </c>
    </row>
    <row r="221" spans="1:12">
      <c r="A221" t="s">
        <v>260</v>
      </c>
      <c r="B221" s="2">
        <v>46235</v>
      </c>
      <c r="C221" t="s">
        <v>19</v>
      </c>
      <c r="D221" t="s">
        <v>23</v>
      </c>
      <c r="E221">
        <v>1</v>
      </c>
      <c r="F221" t="str">
        <f>_xlfn.XLOOKUP(D221, Products!$A$2:$A$21, Products!$B$2:$B$21, "Not Found")</f>
        <v>Video Game</v>
      </c>
      <c r="G221" t="str">
        <f>_xlfn.XLOOKUP(D221, Products!$A$2:$A$21, Products!$C$2:$C$21)</f>
        <v>Gaming</v>
      </c>
      <c r="H221">
        <f>_xlfn.XLOOKUP(D221, Products!$A$2:$A$21, Products!$E$2:$E$21, 0)</f>
        <v>79</v>
      </c>
      <c r="I221">
        <f>_xlfn.XLOOKUP(D221, Products!$A$2:$A$21, Products!$F$2:$F$21,0)</f>
        <v>52</v>
      </c>
      <c r="J221" t="str">
        <f>_xlfn.XLOOKUP(C221, Stores!$A$2:$A$7, Stores!$D$2:$D$7)</f>
        <v>Sydney North</v>
      </c>
      <c r="K221">
        <f t="shared" si="6"/>
        <v>79</v>
      </c>
      <c r="L221">
        <f t="shared" si="7"/>
        <v>27</v>
      </c>
    </row>
    <row r="222" spans="1:12">
      <c r="A222" t="s">
        <v>261</v>
      </c>
      <c r="B222" s="2">
        <v>46235</v>
      </c>
      <c r="C222" t="s">
        <v>51</v>
      </c>
      <c r="D222" t="s">
        <v>17</v>
      </c>
      <c r="E222">
        <v>1</v>
      </c>
      <c r="F222" t="str">
        <f>_xlfn.XLOOKUP(D222, Products!$A$2:$A$21, Products!$B$2:$B$21, "Not Found")</f>
        <v>Wireless Earbuds</v>
      </c>
      <c r="G222" t="str">
        <f>_xlfn.XLOOKUP(D222, Products!$A$2:$A$21, Products!$C$2:$C$21)</f>
        <v>Audio</v>
      </c>
      <c r="H222">
        <f>_xlfn.XLOOKUP(D222, Products!$A$2:$A$21, Products!$E$2:$E$21, 0)</f>
        <v>249</v>
      </c>
      <c r="I222">
        <f>_xlfn.XLOOKUP(D222, Products!$A$2:$A$21, Products!$F$2:$F$21,0)</f>
        <v>140</v>
      </c>
      <c r="J222" t="str">
        <f>_xlfn.XLOOKUP(C222, Stores!$A$2:$A$7, Stores!$D$2:$D$7)</f>
        <v>Sydney South</v>
      </c>
      <c r="K222">
        <f t="shared" si="6"/>
        <v>249</v>
      </c>
      <c r="L222">
        <f t="shared" si="7"/>
        <v>109</v>
      </c>
    </row>
    <row r="223" spans="1:12">
      <c r="A223" t="s">
        <v>262</v>
      </c>
      <c r="B223" s="2">
        <v>46235</v>
      </c>
      <c r="C223" t="s">
        <v>22</v>
      </c>
      <c r="D223" t="s">
        <v>17</v>
      </c>
      <c r="E223">
        <v>1</v>
      </c>
      <c r="F223" t="str">
        <f>_xlfn.XLOOKUP(D223, Products!$A$2:$A$21, Products!$B$2:$B$21, "Not Found")</f>
        <v>Wireless Earbuds</v>
      </c>
      <c r="G223" t="str">
        <f>_xlfn.XLOOKUP(D223, Products!$A$2:$A$21, Products!$C$2:$C$21)</f>
        <v>Audio</v>
      </c>
      <c r="H223">
        <f>_xlfn.XLOOKUP(D223, Products!$A$2:$A$21, Products!$E$2:$E$21, 0)</f>
        <v>249</v>
      </c>
      <c r="I223">
        <f>_xlfn.XLOOKUP(D223, Products!$A$2:$A$21, Products!$F$2:$F$21,0)</f>
        <v>140</v>
      </c>
      <c r="J223" t="str">
        <f>_xlfn.XLOOKUP(C223, Stores!$A$2:$A$7, Stores!$D$2:$D$7)</f>
        <v>Sydney West</v>
      </c>
      <c r="K223">
        <f t="shared" si="6"/>
        <v>249</v>
      </c>
      <c r="L223">
        <f t="shared" si="7"/>
        <v>109</v>
      </c>
    </row>
    <row r="224" spans="1:12">
      <c r="A224" t="s">
        <v>263</v>
      </c>
      <c r="B224" s="2">
        <v>46235</v>
      </c>
      <c r="C224" t="s">
        <v>19</v>
      </c>
      <c r="D224" t="s">
        <v>37</v>
      </c>
      <c r="E224">
        <v>1</v>
      </c>
      <c r="F224" t="str">
        <f>_xlfn.XLOOKUP(D224, Products!$A$2:$A$21, Products!$B$2:$B$21, "Not Found")</f>
        <v>Console Controller</v>
      </c>
      <c r="G224" t="str">
        <f>_xlfn.XLOOKUP(D224, Products!$A$2:$A$21, Products!$C$2:$C$21)</f>
        <v>Gaming</v>
      </c>
      <c r="H224">
        <f>_xlfn.XLOOKUP(D224, Products!$A$2:$A$21, Products!$E$2:$E$21, 0)</f>
        <v>99</v>
      </c>
      <c r="I224">
        <f>_xlfn.XLOOKUP(D224, Products!$A$2:$A$21, Products!$F$2:$F$21,0)</f>
        <v>58</v>
      </c>
      <c r="J224" t="str">
        <f>_xlfn.XLOOKUP(C224, Stores!$A$2:$A$7, Stores!$D$2:$D$7)</f>
        <v>Sydney North</v>
      </c>
      <c r="K224">
        <f t="shared" si="6"/>
        <v>99</v>
      </c>
      <c r="L224">
        <f t="shared" si="7"/>
        <v>41</v>
      </c>
    </row>
    <row r="225" spans="1:12">
      <c r="A225" t="s">
        <v>264</v>
      </c>
      <c r="B225" s="2">
        <v>46235</v>
      </c>
      <c r="C225" t="s">
        <v>22</v>
      </c>
      <c r="D225" t="s">
        <v>52</v>
      </c>
      <c r="E225">
        <v>1</v>
      </c>
      <c r="F225" t="str">
        <f>_xlfn.XLOOKUP(D225, Products!$A$2:$A$21, Products!$B$2:$B$21, "Not Found")</f>
        <v>Mech Keyboard</v>
      </c>
      <c r="G225" t="str">
        <f>_xlfn.XLOOKUP(D225, Products!$A$2:$A$21, Products!$C$2:$C$21)</f>
        <v>Accessories</v>
      </c>
      <c r="H225">
        <f>_xlfn.XLOOKUP(D225, Products!$A$2:$A$21, Products!$E$2:$E$21, 0)</f>
        <v>149</v>
      </c>
      <c r="I225">
        <f>_xlfn.XLOOKUP(D225, Products!$A$2:$A$21, Products!$F$2:$F$21,0)</f>
        <v>72</v>
      </c>
      <c r="J225" t="str">
        <f>_xlfn.XLOOKUP(C225, Stores!$A$2:$A$7, Stores!$D$2:$D$7)</f>
        <v>Sydney West</v>
      </c>
      <c r="K225">
        <f t="shared" si="6"/>
        <v>149</v>
      </c>
      <c r="L225">
        <f t="shared" si="7"/>
        <v>77</v>
      </c>
    </row>
    <row r="226" spans="1:12">
      <c r="A226" t="s">
        <v>265</v>
      </c>
      <c r="B226" s="2">
        <v>46235</v>
      </c>
      <c r="C226" t="s">
        <v>19</v>
      </c>
      <c r="D226" t="s">
        <v>29</v>
      </c>
      <c r="E226">
        <v>2</v>
      </c>
      <c r="F226" t="str">
        <f>_xlfn.XLOOKUP(D226, Products!$A$2:$A$21, Products!$B$2:$B$21, "Not Found")</f>
        <v>Phone Case</v>
      </c>
      <c r="G226" t="str">
        <f>_xlfn.XLOOKUP(D226, Products!$A$2:$A$21, Products!$C$2:$C$21)</f>
        <v>Accessories</v>
      </c>
      <c r="H226">
        <f>_xlfn.XLOOKUP(D226, Products!$A$2:$A$21, Products!$E$2:$E$21, 0)</f>
        <v>39</v>
      </c>
      <c r="I226">
        <f>_xlfn.XLOOKUP(D226, Products!$A$2:$A$21, Products!$F$2:$F$21,0)</f>
        <v>9</v>
      </c>
      <c r="J226" t="str">
        <f>_xlfn.XLOOKUP(C226, Stores!$A$2:$A$7, Stores!$D$2:$D$7)</f>
        <v>Sydney North</v>
      </c>
      <c r="K226">
        <f t="shared" si="6"/>
        <v>78</v>
      </c>
      <c r="L226">
        <f t="shared" si="7"/>
        <v>60</v>
      </c>
    </row>
    <row r="227" spans="1:12">
      <c r="A227" t="s">
        <v>266</v>
      </c>
      <c r="B227" s="2">
        <v>46235</v>
      </c>
      <c r="C227" t="s">
        <v>19</v>
      </c>
      <c r="D227" t="s">
        <v>23</v>
      </c>
      <c r="E227">
        <v>3</v>
      </c>
      <c r="F227" t="str">
        <f>_xlfn.XLOOKUP(D227, Products!$A$2:$A$21, Products!$B$2:$B$21, "Not Found")</f>
        <v>Video Game</v>
      </c>
      <c r="G227" t="str">
        <f>_xlfn.XLOOKUP(D227, Products!$A$2:$A$21, Products!$C$2:$C$21)</f>
        <v>Gaming</v>
      </c>
      <c r="H227">
        <f>_xlfn.XLOOKUP(D227, Products!$A$2:$A$21, Products!$E$2:$E$21, 0)</f>
        <v>79</v>
      </c>
      <c r="I227">
        <f>_xlfn.XLOOKUP(D227, Products!$A$2:$A$21, Products!$F$2:$F$21,0)</f>
        <v>52</v>
      </c>
      <c r="J227" t="str">
        <f>_xlfn.XLOOKUP(C227, Stores!$A$2:$A$7, Stores!$D$2:$D$7)</f>
        <v>Sydney North</v>
      </c>
      <c r="K227">
        <f t="shared" si="6"/>
        <v>237</v>
      </c>
      <c r="L227">
        <f t="shared" si="7"/>
        <v>81</v>
      </c>
    </row>
    <row r="228" spans="1:12">
      <c r="A228" t="s">
        <v>267</v>
      </c>
      <c r="B228" s="2">
        <v>46236</v>
      </c>
      <c r="C228" t="s">
        <v>16</v>
      </c>
      <c r="D228" t="s">
        <v>37</v>
      </c>
      <c r="E228">
        <v>1</v>
      </c>
      <c r="F228" t="str">
        <f>_xlfn.XLOOKUP(D228, Products!$A$2:$A$21, Products!$B$2:$B$21, "Not Found")</f>
        <v>Console Controller</v>
      </c>
      <c r="G228" t="str">
        <f>_xlfn.XLOOKUP(D228, Products!$A$2:$A$21, Products!$C$2:$C$21)</f>
        <v>Gaming</v>
      </c>
      <c r="H228">
        <f>_xlfn.XLOOKUP(D228, Products!$A$2:$A$21, Products!$E$2:$E$21, 0)</f>
        <v>99</v>
      </c>
      <c r="I228">
        <f>_xlfn.XLOOKUP(D228, Products!$A$2:$A$21, Products!$F$2:$F$21,0)</f>
        <v>58</v>
      </c>
      <c r="J228" t="str">
        <f>_xlfn.XLOOKUP(C228, Stores!$A$2:$A$7, Stores!$D$2:$D$7)</f>
        <v>Sydney East</v>
      </c>
      <c r="K228">
        <f t="shared" si="6"/>
        <v>99</v>
      </c>
      <c r="L228">
        <f t="shared" si="7"/>
        <v>41</v>
      </c>
    </row>
    <row r="229" spans="1:12">
      <c r="A229" t="s">
        <v>268</v>
      </c>
      <c r="B229" s="2">
        <v>46236</v>
      </c>
      <c r="C229" t="s">
        <v>13</v>
      </c>
      <c r="D229" t="s">
        <v>32</v>
      </c>
      <c r="E229">
        <v>1</v>
      </c>
      <c r="F229" t="str">
        <f>_xlfn.XLOOKUP(D229, Products!$A$2:$A$21, Products!$B$2:$B$21, "Not Found")</f>
        <v>USB-C Charger</v>
      </c>
      <c r="G229" t="str">
        <f>_xlfn.XLOOKUP(D229, Products!$A$2:$A$21, Products!$C$2:$C$21)</f>
        <v>Accessories</v>
      </c>
      <c r="H229">
        <f>_xlfn.XLOOKUP(D229, Products!$A$2:$A$21, Products!$E$2:$E$21, 0)</f>
        <v>49</v>
      </c>
      <c r="I229">
        <f>_xlfn.XLOOKUP(D229, Products!$A$2:$A$21, Products!$F$2:$F$21,0)</f>
        <v>14</v>
      </c>
      <c r="J229" t="str">
        <f>_xlfn.XLOOKUP(C229, Stores!$A$2:$A$7, Stores!$D$2:$D$7)</f>
        <v>Sydney West</v>
      </c>
      <c r="K229">
        <f t="shared" si="6"/>
        <v>49</v>
      </c>
      <c r="L229">
        <f t="shared" si="7"/>
        <v>35</v>
      </c>
    </row>
    <row r="230" spans="1:12">
      <c r="A230" t="s">
        <v>269</v>
      </c>
      <c r="B230" s="2">
        <v>46236</v>
      </c>
      <c r="C230" t="s">
        <v>13</v>
      </c>
      <c r="D230" t="s">
        <v>37</v>
      </c>
      <c r="E230">
        <v>1</v>
      </c>
      <c r="F230" t="str">
        <f>_xlfn.XLOOKUP(D230, Products!$A$2:$A$21, Products!$B$2:$B$21, "Not Found")</f>
        <v>Console Controller</v>
      </c>
      <c r="G230" t="str">
        <f>_xlfn.XLOOKUP(D230, Products!$A$2:$A$21, Products!$C$2:$C$21)</f>
        <v>Gaming</v>
      </c>
      <c r="H230">
        <f>_xlfn.XLOOKUP(D230, Products!$A$2:$A$21, Products!$E$2:$E$21, 0)</f>
        <v>99</v>
      </c>
      <c r="I230">
        <f>_xlfn.XLOOKUP(D230, Products!$A$2:$A$21, Products!$F$2:$F$21,0)</f>
        <v>58</v>
      </c>
      <c r="J230" t="str">
        <f>_xlfn.XLOOKUP(C230, Stores!$A$2:$A$7, Stores!$D$2:$D$7)</f>
        <v>Sydney West</v>
      </c>
      <c r="K230">
        <f t="shared" si="6"/>
        <v>99</v>
      </c>
      <c r="L230">
        <f t="shared" si="7"/>
        <v>41</v>
      </c>
    </row>
    <row r="231" spans="1:12">
      <c r="A231" t="s">
        <v>270</v>
      </c>
      <c r="B231" s="2">
        <v>46236</v>
      </c>
      <c r="C231" t="s">
        <v>19</v>
      </c>
      <c r="D231" t="s">
        <v>100</v>
      </c>
      <c r="E231">
        <v>1</v>
      </c>
      <c r="F231" t="str">
        <f>_xlfn.XLOOKUP(D231, Products!$A$2:$A$21, Products!$B$2:$B$21, "Not Found")</f>
        <v>Laptop 14in</v>
      </c>
      <c r="G231" t="str">
        <f>_xlfn.XLOOKUP(D231, Products!$A$2:$A$21, Products!$C$2:$C$21)</f>
        <v>Computers</v>
      </c>
      <c r="H231">
        <f>_xlfn.XLOOKUP(D231, Products!$A$2:$A$21, Products!$E$2:$E$21, 0)</f>
        <v>1199</v>
      </c>
      <c r="I231">
        <f>_xlfn.XLOOKUP(D231, Products!$A$2:$A$21, Products!$F$2:$F$21,0)</f>
        <v>930</v>
      </c>
      <c r="J231" t="str">
        <f>_xlfn.XLOOKUP(C231, Stores!$A$2:$A$7, Stores!$D$2:$D$7)</f>
        <v>Sydney North</v>
      </c>
      <c r="K231">
        <f t="shared" si="6"/>
        <v>1199</v>
      </c>
      <c r="L231">
        <f t="shared" si="7"/>
        <v>269</v>
      </c>
    </row>
    <row r="232" spans="1:12">
      <c r="A232" t="s">
        <v>271</v>
      </c>
      <c r="B232" s="2">
        <v>46236</v>
      </c>
      <c r="C232" t="s">
        <v>51</v>
      </c>
      <c r="D232" t="s">
        <v>93</v>
      </c>
      <c r="E232">
        <v>1</v>
      </c>
      <c r="F232" t="str">
        <f>_xlfn.XLOOKUP(D232, Products!$A$2:$A$21, Products!$B$2:$B$21, "Not Found")</f>
        <v>Smartphone 256GB</v>
      </c>
      <c r="G232" t="str">
        <f>_xlfn.XLOOKUP(D232, Products!$A$2:$A$21, Products!$C$2:$C$21)</f>
        <v>Phones</v>
      </c>
      <c r="H232">
        <f>_xlfn.XLOOKUP(D232, Products!$A$2:$A$21, Products!$E$2:$E$21, 0)</f>
        <v>1499</v>
      </c>
      <c r="I232">
        <f>_xlfn.XLOOKUP(D232, Products!$A$2:$A$21, Products!$F$2:$F$21,0)</f>
        <v>1180</v>
      </c>
      <c r="J232" t="str">
        <f>_xlfn.XLOOKUP(C232, Stores!$A$2:$A$7, Stores!$D$2:$D$7)</f>
        <v>Sydney South</v>
      </c>
      <c r="K232">
        <f t="shared" si="6"/>
        <v>1499</v>
      </c>
      <c r="L232">
        <f t="shared" si="7"/>
        <v>319</v>
      </c>
    </row>
    <row r="233" spans="1:12">
      <c r="A233" t="s">
        <v>272</v>
      </c>
      <c r="B233" s="2">
        <v>46236</v>
      </c>
      <c r="C233" t="s">
        <v>22</v>
      </c>
      <c r="D233" t="s">
        <v>44</v>
      </c>
      <c r="E233">
        <v>1</v>
      </c>
      <c r="F233" t="str">
        <f>_xlfn.XLOOKUP(D233, Products!$A$2:$A$21, Products!$B$2:$B$21, "Not Found")</f>
        <v>Smartphone 128GB</v>
      </c>
      <c r="G233" t="str">
        <f>_xlfn.XLOOKUP(D233, Products!$A$2:$A$21, Products!$C$2:$C$21)</f>
        <v>Phones</v>
      </c>
      <c r="H233">
        <f>_xlfn.XLOOKUP(D233, Products!$A$2:$A$21, Products!$E$2:$E$21, 0)</f>
        <v>1099</v>
      </c>
      <c r="I233">
        <f>_xlfn.XLOOKUP(D233, Products!$A$2:$A$21, Products!$F$2:$F$21,0)</f>
        <v>860</v>
      </c>
      <c r="J233" t="str">
        <f>_xlfn.XLOOKUP(C233, Stores!$A$2:$A$7, Stores!$D$2:$D$7)</f>
        <v>Sydney West</v>
      </c>
      <c r="K233">
        <f t="shared" si="6"/>
        <v>1099</v>
      </c>
      <c r="L233">
        <f t="shared" si="7"/>
        <v>239</v>
      </c>
    </row>
    <row r="234" spans="1:12">
      <c r="A234" t="s">
        <v>273</v>
      </c>
      <c r="B234" s="2">
        <v>46236</v>
      </c>
      <c r="C234" t="s">
        <v>19</v>
      </c>
      <c r="D234" t="s">
        <v>29</v>
      </c>
      <c r="E234">
        <v>1</v>
      </c>
      <c r="F234" t="str">
        <f>_xlfn.XLOOKUP(D234, Products!$A$2:$A$21, Products!$B$2:$B$21, "Not Found")</f>
        <v>Phone Case</v>
      </c>
      <c r="G234" t="str">
        <f>_xlfn.XLOOKUP(D234, Products!$A$2:$A$21, Products!$C$2:$C$21)</f>
        <v>Accessories</v>
      </c>
      <c r="H234">
        <f>_xlfn.XLOOKUP(D234, Products!$A$2:$A$21, Products!$E$2:$E$21, 0)</f>
        <v>39</v>
      </c>
      <c r="I234">
        <f>_xlfn.XLOOKUP(D234, Products!$A$2:$A$21, Products!$F$2:$F$21,0)</f>
        <v>9</v>
      </c>
      <c r="J234" t="str">
        <f>_xlfn.XLOOKUP(C234, Stores!$A$2:$A$7, Stores!$D$2:$D$7)</f>
        <v>Sydney North</v>
      </c>
      <c r="K234">
        <f t="shared" si="6"/>
        <v>39</v>
      </c>
      <c r="L234">
        <f t="shared" si="7"/>
        <v>30</v>
      </c>
    </row>
    <row r="235" spans="1:12">
      <c r="A235" t="s">
        <v>274</v>
      </c>
      <c r="B235" s="2">
        <v>46236</v>
      </c>
      <c r="C235" t="s">
        <v>25</v>
      </c>
      <c r="D235" t="s">
        <v>29</v>
      </c>
      <c r="E235">
        <v>1</v>
      </c>
      <c r="F235" t="str">
        <f>_xlfn.XLOOKUP(D235, Products!$A$2:$A$21, Products!$B$2:$B$21, "Not Found")</f>
        <v>Phone Case</v>
      </c>
      <c r="G235" t="str">
        <f>_xlfn.XLOOKUP(D235, Products!$A$2:$A$21, Products!$C$2:$C$21)</f>
        <v>Accessories</v>
      </c>
      <c r="H235">
        <f>_xlfn.XLOOKUP(D235, Products!$A$2:$A$21, Products!$E$2:$E$21, 0)</f>
        <v>39</v>
      </c>
      <c r="I235">
        <f>_xlfn.XLOOKUP(D235, Products!$A$2:$A$21, Products!$F$2:$F$21,0)</f>
        <v>9</v>
      </c>
      <c r="J235" t="str">
        <f>_xlfn.XLOOKUP(C235, Stores!$A$2:$A$7, Stores!$D$2:$D$7)</f>
        <v>Sydney South</v>
      </c>
      <c r="K235">
        <f t="shared" si="6"/>
        <v>39</v>
      </c>
      <c r="L235">
        <f t="shared" si="7"/>
        <v>30</v>
      </c>
    </row>
    <row r="236" spans="1:12">
      <c r="A236" t="s">
        <v>275</v>
      </c>
      <c r="B236" s="2">
        <v>46236</v>
      </c>
      <c r="C236" t="s">
        <v>51</v>
      </c>
      <c r="D236" t="s">
        <v>17</v>
      </c>
      <c r="E236">
        <v>2</v>
      </c>
      <c r="F236" t="str">
        <f>_xlfn.XLOOKUP(D236, Products!$A$2:$A$21, Products!$B$2:$B$21, "Not Found")</f>
        <v>Wireless Earbuds</v>
      </c>
      <c r="G236" t="str">
        <f>_xlfn.XLOOKUP(D236, Products!$A$2:$A$21, Products!$C$2:$C$21)</f>
        <v>Audio</v>
      </c>
      <c r="H236">
        <f>_xlfn.XLOOKUP(D236, Products!$A$2:$A$21, Products!$E$2:$E$21, 0)</f>
        <v>249</v>
      </c>
      <c r="I236">
        <f>_xlfn.XLOOKUP(D236, Products!$A$2:$A$21, Products!$F$2:$F$21,0)</f>
        <v>140</v>
      </c>
      <c r="J236" t="str">
        <f>_xlfn.XLOOKUP(C236, Stores!$A$2:$A$7, Stores!$D$2:$D$7)</f>
        <v>Sydney South</v>
      </c>
      <c r="K236">
        <f t="shared" si="6"/>
        <v>498</v>
      </c>
      <c r="L236">
        <f t="shared" si="7"/>
        <v>218</v>
      </c>
    </row>
    <row r="237" spans="1:12">
      <c r="A237" t="s">
        <v>276</v>
      </c>
      <c r="B237" s="2">
        <v>46236</v>
      </c>
      <c r="C237" t="s">
        <v>16</v>
      </c>
      <c r="D237" t="s">
        <v>63</v>
      </c>
      <c r="E237">
        <v>1</v>
      </c>
      <c r="F237" t="str">
        <f>_xlfn.XLOOKUP(D237, Products!$A$2:$A$21, Products!$B$2:$B$21, "Not Found")</f>
        <v>27in Monitor</v>
      </c>
      <c r="G237" t="str">
        <f>_xlfn.XLOOKUP(D237, Products!$A$2:$A$21, Products!$C$2:$C$21)</f>
        <v>Computers</v>
      </c>
      <c r="H237">
        <f>_xlfn.XLOOKUP(D237, Products!$A$2:$A$21, Products!$E$2:$E$21, 0)</f>
        <v>399</v>
      </c>
      <c r="I237">
        <f>_xlfn.XLOOKUP(D237, Products!$A$2:$A$21, Products!$F$2:$F$21,0)</f>
        <v>290</v>
      </c>
      <c r="J237" t="str">
        <f>_xlfn.XLOOKUP(C237, Stores!$A$2:$A$7, Stores!$D$2:$D$7)</f>
        <v>Sydney East</v>
      </c>
      <c r="K237">
        <f t="shared" si="6"/>
        <v>399</v>
      </c>
      <c r="L237">
        <f t="shared" si="7"/>
        <v>109</v>
      </c>
    </row>
    <row r="238" spans="1:12">
      <c r="A238" t="s">
        <v>277</v>
      </c>
      <c r="B238" s="2">
        <v>46236</v>
      </c>
      <c r="C238" t="s">
        <v>51</v>
      </c>
      <c r="D238" t="s">
        <v>52</v>
      </c>
      <c r="E238">
        <v>1</v>
      </c>
      <c r="F238" t="str">
        <f>_xlfn.XLOOKUP(D238, Products!$A$2:$A$21, Products!$B$2:$B$21, "Not Found")</f>
        <v>Mech Keyboard</v>
      </c>
      <c r="G238" t="str">
        <f>_xlfn.XLOOKUP(D238, Products!$A$2:$A$21, Products!$C$2:$C$21)</f>
        <v>Accessories</v>
      </c>
      <c r="H238">
        <f>_xlfn.XLOOKUP(D238, Products!$A$2:$A$21, Products!$E$2:$E$21, 0)</f>
        <v>149</v>
      </c>
      <c r="I238">
        <f>_xlfn.XLOOKUP(D238, Products!$A$2:$A$21, Products!$F$2:$F$21,0)</f>
        <v>72</v>
      </c>
      <c r="J238" t="str">
        <f>_xlfn.XLOOKUP(C238, Stores!$A$2:$A$7, Stores!$D$2:$D$7)</f>
        <v>Sydney South</v>
      </c>
      <c r="K238">
        <f t="shared" si="6"/>
        <v>149</v>
      </c>
      <c r="L238">
        <f t="shared" si="7"/>
        <v>77</v>
      </c>
    </row>
    <row r="239" spans="1:12">
      <c r="A239" t="s">
        <v>278</v>
      </c>
      <c r="B239" s="2">
        <v>46237</v>
      </c>
      <c r="C239" t="s">
        <v>51</v>
      </c>
      <c r="D239" t="s">
        <v>54</v>
      </c>
      <c r="E239">
        <v>2</v>
      </c>
      <c r="F239" t="str">
        <f>_xlfn.XLOOKUP(D239, Products!$A$2:$A$21, Products!$B$2:$B$21, "Not Found")</f>
        <v>55in TV</v>
      </c>
      <c r="G239" t="str">
        <f>_xlfn.XLOOKUP(D239, Products!$A$2:$A$21, Products!$C$2:$C$21)</f>
        <v>TV</v>
      </c>
      <c r="H239">
        <f>_xlfn.XLOOKUP(D239, Products!$A$2:$A$21, Products!$E$2:$E$21, 0)</f>
        <v>1299</v>
      </c>
      <c r="I239">
        <f>_xlfn.XLOOKUP(D239, Products!$A$2:$A$21, Products!$F$2:$F$21,0)</f>
        <v>980</v>
      </c>
      <c r="J239" t="str">
        <f>_xlfn.XLOOKUP(C239, Stores!$A$2:$A$7, Stores!$D$2:$D$7)</f>
        <v>Sydney South</v>
      </c>
      <c r="K239">
        <f t="shared" si="6"/>
        <v>2598</v>
      </c>
      <c r="L239">
        <f t="shared" si="7"/>
        <v>638</v>
      </c>
    </row>
    <row r="240" spans="1:12">
      <c r="A240" t="s">
        <v>279</v>
      </c>
      <c r="B240" s="2">
        <v>46237</v>
      </c>
      <c r="C240" t="s">
        <v>25</v>
      </c>
      <c r="D240" t="s">
        <v>23</v>
      </c>
      <c r="E240">
        <v>1</v>
      </c>
      <c r="F240" t="str">
        <f>_xlfn.XLOOKUP(D240, Products!$A$2:$A$21, Products!$B$2:$B$21, "Not Found")</f>
        <v>Video Game</v>
      </c>
      <c r="G240" t="str">
        <f>_xlfn.XLOOKUP(D240, Products!$A$2:$A$21, Products!$C$2:$C$21)</f>
        <v>Gaming</v>
      </c>
      <c r="H240">
        <f>_xlfn.XLOOKUP(D240, Products!$A$2:$A$21, Products!$E$2:$E$21, 0)</f>
        <v>79</v>
      </c>
      <c r="I240">
        <f>_xlfn.XLOOKUP(D240, Products!$A$2:$A$21, Products!$F$2:$F$21,0)</f>
        <v>52</v>
      </c>
      <c r="J240" t="str">
        <f>_xlfn.XLOOKUP(C240, Stores!$A$2:$A$7, Stores!$D$2:$D$7)</f>
        <v>Sydney South</v>
      </c>
      <c r="K240">
        <f t="shared" si="6"/>
        <v>79</v>
      </c>
      <c r="L240">
        <f t="shared" si="7"/>
        <v>27</v>
      </c>
    </row>
    <row r="241" spans="1:12">
      <c r="A241" t="s">
        <v>280</v>
      </c>
      <c r="B241" s="2">
        <v>46237</v>
      </c>
      <c r="C241" t="s">
        <v>25</v>
      </c>
      <c r="D241" t="s">
        <v>37</v>
      </c>
      <c r="E241">
        <v>1</v>
      </c>
      <c r="F241" t="str">
        <f>_xlfn.XLOOKUP(D241, Products!$A$2:$A$21, Products!$B$2:$B$21, "Not Found")</f>
        <v>Console Controller</v>
      </c>
      <c r="G241" t="str">
        <f>_xlfn.XLOOKUP(D241, Products!$A$2:$A$21, Products!$C$2:$C$21)</f>
        <v>Gaming</v>
      </c>
      <c r="H241">
        <f>_xlfn.XLOOKUP(D241, Products!$A$2:$A$21, Products!$E$2:$E$21, 0)</f>
        <v>99</v>
      </c>
      <c r="I241">
        <f>_xlfn.XLOOKUP(D241, Products!$A$2:$A$21, Products!$F$2:$F$21,0)</f>
        <v>58</v>
      </c>
      <c r="J241" t="str">
        <f>_xlfn.XLOOKUP(C241, Stores!$A$2:$A$7, Stores!$D$2:$D$7)</f>
        <v>Sydney South</v>
      </c>
      <c r="K241">
        <f t="shared" si="6"/>
        <v>99</v>
      </c>
      <c r="L241">
        <f t="shared" si="7"/>
        <v>41</v>
      </c>
    </row>
    <row r="242" spans="1:12">
      <c r="A242" t="s">
        <v>281</v>
      </c>
      <c r="B242" s="2">
        <v>46237</v>
      </c>
      <c r="C242" t="s">
        <v>25</v>
      </c>
      <c r="D242" t="s">
        <v>54</v>
      </c>
      <c r="E242">
        <v>1</v>
      </c>
      <c r="F242" t="str">
        <f>_xlfn.XLOOKUP(D242, Products!$A$2:$A$21, Products!$B$2:$B$21, "Not Found")</f>
        <v>55in TV</v>
      </c>
      <c r="G242" t="str">
        <f>_xlfn.XLOOKUP(D242, Products!$A$2:$A$21, Products!$C$2:$C$21)</f>
        <v>TV</v>
      </c>
      <c r="H242">
        <f>_xlfn.XLOOKUP(D242, Products!$A$2:$A$21, Products!$E$2:$E$21, 0)</f>
        <v>1299</v>
      </c>
      <c r="I242">
        <f>_xlfn.XLOOKUP(D242, Products!$A$2:$A$21, Products!$F$2:$F$21,0)</f>
        <v>980</v>
      </c>
      <c r="J242" t="str">
        <f>_xlfn.XLOOKUP(C242, Stores!$A$2:$A$7, Stores!$D$2:$D$7)</f>
        <v>Sydney South</v>
      </c>
      <c r="K242">
        <f t="shared" si="6"/>
        <v>1299</v>
      </c>
      <c r="L242">
        <f t="shared" si="7"/>
        <v>319</v>
      </c>
    </row>
    <row r="243" spans="1:12">
      <c r="A243" t="s">
        <v>282</v>
      </c>
      <c r="B243" s="2">
        <v>46237</v>
      </c>
      <c r="C243" t="s">
        <v>19</v>
      </c>
      <c r="D243" t="s">
        <v>29</v>
      </c>
      <c r="E243">
        <v>4</v>
      </c>
      <c r="F243" t="str">
        <f>_xlfn.XLOOKUP(D243, Products!$A$2:$A$21, Products!$B$2:$B$21, "Not Found")</f>
        <v>Phone Case</v>
      </c>
      <c r="G243" t="str">
        <f>_xlfn.XLOOKUP(D243, Products!$A$2:$A$21, Products!$C$2:$C$21)</f>
        <v>Accessories</v>
      </c>
      <c r="H243">
        <f>_xlfn.XLOOKUP(D243, Products!$A$2:$A$21, Products!$E$2:$E$21, 0)</f>
        <v>39</v>
      </c>
      <c r="I243">
        <f>_xlfn.XLOOKUP(D243, Products!$A$2:$A$21, Products!$F$2:$F$21,0)</f>
        <v>9</v>
      </c>
      <c r="J243" t="str">
        <f>_xlfn.XLOOKUP(C243, Stores!$A$2:$A$7, Stores!$D$2:$D$7)</f>
        <v>Sydney North</v>
      </c>
      <c r="K243">
        <f t="shared" si="6"/>
        <v>156</v>
      </c>
      <c r="L243">
        <f t="shared" si="7"/>
        <v>120</v>
      </c>
    </row>
    <row r="244" spans="1:12">
      <c r="A244" t="s">
        <v>283</v>
      </c>
      <c r="B244" s="2">
        <v>46237</v>
      </c>
      <c r="C244" t="s">
        <v>13</v>
      </c>
      <c r="D244" t="s">
        <v>52</v>
      </c>
      <c r="E244">
        <v>4</v>
      </c>
      <c r="F244" t="str">
        <f>_xlfn.XLOOKUP(D244, Products!$A$2:$A$21, Products!$B$2:$B$21, "Not Found")</f>
        <v>Mech Keyboard</v>
      </c>
      <c r="G244" t="str">
        <f>_xlfn.XLOOKUP(D244, Products!$A$2:$A$21, Products!$C$2:$C$21)</f>
        <v>Accessories</v>
      </c>
      <c r="H244">
        <f>_xlfn.XLOOKUP(D244, Products!$A$2:$A$21, Products!$E$2:$E$21, 0)</f>
        <v>149</v>
      </c>
      <c r="I244">
        <f>_xlfn.XLOOKUP(D244, Products!$A$2:$A$21, Products!$F$2:$F$21,0)</f>
        <v>72</v>
      </c>
      <c r="J244" t="str">
        <f>_xlfn.XLOOKUP(C244, Stores!$A$2:$A$7, Stores!$D$2:$D$7)</f>
        <v>Sydney West</v>
      </c>
      <c r="K244">
        <f t="shared" si="6"/>
        <v>596</v>
      </c>
      <c r="L244">
        <f t="shared" si="7"/>
        <v>308</v>
      </c>
    </row>
    <row r="245" spans="1:12">
      <c r="A245" t="s">
        <v>284</v>
      </c>
      <c r="B245" s="2">
        <v>46237</v>
      </c>
      <c r="C245" t="s">
        <v>13</v>
      </c>
      <c r="D245" t="s">
        <v>48</v>
      </c>
      <c r="E245">
        <v>1</v>
      </c>
      <c r="F245" t="str">
        <f>_xlfn.XLOOKUP(D245, Products!$A$2:$A$21, Products!$B$2:$B$21, "Not Found")</f>
        <v>Tablet 11in</v>
      </c>
      <c r="G245" t="str">
        <f>_xlfn.XLOOKUP(D245, Products!$A$2:$A$21, Products!$C$2:$C$21)</f>
        <v>Computers</v>
      </c>
      <c r="H245">
        <f>_xlfn.XLOOKUP(D245, Products!$A$2:$A$21, Products!$E$2:$E$21, 0)</f>
        <v>899</v>
      </c>
      <c r="I245">
        <f>_xlfn.XLOOKUP(D245, Products!$A$2:$A$21, Products!$F$2:$F$21,0)</f>
        <v>690</v>
      </c>
      <c r="J245" t="str">
        <f>_xlfn.XLOOKUP(C245, Stores!$A$2:$A$7, Stores!$D$2:$D$7)</f>
        <v>Sydney West</v>
      </c>
      <c r="K245">
        <f t="shared" si="6"/>
        <v>899</v>
      </c>
      <c r="L245">
        <f t="shared" si="7"/>
        <v>209</v>
      </c>
    </row>
    <row r="246" spans="1:12">
      <c r="A246" t="s">
        <v>285</v>
      </c>
      <c r="B246" s="2">
        <v>46237</v>
      </c>
      <c r="C246" t="s">
        <v>25</v>
      </c>
      <c r="D246" t="s">
        <v>93</v>
      </c>
      <c r="E246">
        <v>1</v>
      </c>
      <c r="F246" t="str">
        <f>_xlfn.XLOOKUP(D246, Products!$A$2:$A$21, Products!$B$2:$B$21, "Not Found")</f>
        <v>Smartphone 256GB</v>
      </c>
      <c r="G246" t="str">
        <f>_xlfn.XLOOKUP(D246, Products!$A$2:$A$21, Products!$C$2:$C$21)</f>
        <v>Phones</v>
      </c>
      <c r="H246">
        <f>_xlfn.XLOOKUP(D246, Products!$A$2:$A$21, Products!$E$2:$E$21, 0)</f>
        <v>1499</v>
      </c>
      <c r="I246">
        <f>_xlfn.XLOOKUP(D246, Products!$A$2:$A$21, Products!$F$2:$F$21,0)</f>
        <v>1180</v>
      </c>
      <c r="J246" t="str">
        <f>_xlfn.XLOOKUP(C246, Stores!$A$2:$A$7, Stores!$D$2:$D$7)</f>
        <v>Sydney South</v>
      </c>
      <c r="K246">
        <f t="shared" si="6"/>
        <v>1499</v>
      </c>
      <c r="L246">
        <f t="shared" si="7"/>
        <v>319</v>
      </c>
    </row>
    <row r="247" spans="1:12">
      <c r="A247" t="s">
        <v>286</v>
      </c>
      <c r="B247" s="2">
        <v>46237</v>
      </c>
      <c r="C247" t="s">
        <v>19</v>
      </c>
      <c r="D247" t="s">
        <v>100</v>
      </c>
      <c r="E247">
        <v>1</v>
      </c>
      <c r="F247" t="str">
        <f>_xlfn.XLOOKUP(D247, Products!$A$2:$A$21, Products!$B$2:$B$21, "Not Found")</f>
        <v>Laptop 14in</v>
      </c>
      <c r="G247" t="str">
        <f>_xlfn.XLOOKUP(D247, Products!$A$2:$A$21, Products!$C$2:$C$21)</f>
        <v>Computers</v>
      </c>
      <c r="H247">
        <f>_xlfn.XLOOKUP(D247, Products!$A$2:$A$21, Products!$E$2:$E$21, 0)</f>
        <v>1199</v>
      </c>
      <c r="I247">
        <f>_xlfn.XLOOKUP(D247, Products!$A$2:$A$21, Products!$F$2:$F$21,0)</f>
        <v>930</v>
      </c>
      <c r="J247" t="str">
        <f>_xlfn.XLOOKUP(C247, Stores!$A$2:$A$7, Stores!$D$2:$D$7)</f>
        <v>Sydney North</v>
      </c>
      <c r="K247">
        <f t="shared" si="6"/>
        <v>1199</v>
      </c>
      <c r="L247">
        <f t="shared" si="7"/>
        <v>269</v>
      </c>
    </row>
    <row r="248" spans="1:12">
      <c r="A248" t="s">
        <v>287</v>
      </c>
      <c r="B248" s="2">
        <v>46237</v>
      </c>
      <c r="C248" t="s">
        <v>22</v>
      </c>
      <c r="D248" t="s">
        <v>14</v>
      </c>
      <c r="E248">
        <v>1</v>
      </c>
      <c r="F248" t="str">
        <f>_xlfn.XLOOKUP(D248, Products!$A$2:$A$21, Products!$B$2:$B$21, "Not Found")</f>
        <v>Gaming Mouse</v>
      </c>
      <c r="G248" t="str">
        <f>_xlfn.XLOOKUP(D248, Products!$A$2:$A$21, Products!$C$2:$C$21)</f>
        <v>Accessories</v>
      </c>
      <c r="H248">
        <f>_xlfn.XLOOKUP(D248, Products!$A$2:$A$21, Products!$E$2:$E$21, 0)</f>
        <v>89</v>
      </c>
      <c r="I248">
        <f>_xlfn.XLOOKUP(D248, Products!$A$2:$A$21, Products!$F$2:$F$21,0)</f>
        <v>41</v>
      </c>
      <c r="J248" t="str">
        <f>_xlfn.XLOOKUP(C248, Stores!$A$2:$A$7, Stores!$D$2:$D$7)</f>
        <v>Sydney West</v>
      </c>
      <c r="K248">
        <f t="shared" si="6"/>
        <v>89</v>
      </c>
      <c r="L248">
        <f t="shared" si="7"/>
        <v>48</v>
      </c>
    </row>
    <row r="249" spans="1:12">
      <c r="A249" t="s">
        <v>288</v>
      </c>
      <c r="B249" s="2">
        <v>46237</v>
      </c>
      <c r="C249" t="s">
        <v>51</v>
      </c>
      <c r="D249" t="s">
        <v>17</v>
      </c>
      <c r="E249">
        <v>1</v>
      </c>
      <c r="F249" t="str">
        <f>_xlfn.XLOOKUP(D249, Products!$A$2:$A$21, Products!$B$2:$B$21, "Not Found")</f>
        <v>Wireless Earbuds</v>
      </c>
      <c r="G249" t="str">
        <f>_xlfn.XLOOKUP(D249, Products!$A$2:$A$21, Products!$C$2:$C$21)</f>
        <v>Audio</v>
      </c>
      <c r="H249">
        <f>_xlfn.XLOOKUP(D249, Products!$A$2:$A$21, Products!$E$2:$E$21, 0)</f>
        <v>249</v>
      </c>
      <c r="I249">
        <f>_xlfn.XLOOKUP(D249, Products!$A$2:$A$21, Products!$F$2:$F$21,0)</f>
        <v>140</v>
      </c>
      <c r="J249" t="str">
        <f>_xlfn.XLOOKUP(C249, Stores!$A$2:$A$7, Stores!$D$2:$D$7)</f>
        <v>Sydney South</v>
      </c>
      <c r="K249">
        <f t="shared" si="6"/>
        <v>249</v>
      </c>
      <c r="L249">
        <f t="shared" si="7"/>
        <v>109</v>
      </c>
    </row>
    <row r="250" spans="1:12">
      <c r="A250" t="s">
        <v>289</v>
      </c>
      <c r="B250" s="2">
        <v>46238</v>
      </c>
      <c r="C250" t="s">
        <v>19</v>
      </c>
      <c r="D250" t="s">
        <v>52</v>
      </c>
      <c r="E250">
        <v>1</v>
      </c>
      <c r="F250" t="str">
        <f>_xlfn.XLOOKUP(D250, Products!$A$2:$A$21, Products!$B$2:$B$21, "Not Found")</f>
        <v>Mech Keyboard</v>
      </c>
      <c r="G250" t="str">
        <f>_xlfn.XLOOKUP(D250, Products!$A$2:$A$21, Products!$C$2:$C$21)</f>
        <v>Accessories</v>
      </c>
      <c r="H250">
        <f>_xlfn.XLOOKUP(D250, Products!$A$2:$A$21, Products!$E$2:$E$21, 0)</f>
        <v>149</v>
      </c>
      <c r="I250">
        <f>_xlfn.XLOOKUP(D250, Products!$A$2:$A$21, Products!$F$2:$F$21,0)</f>
        <v>72</v>
      </c>
      <c r="J250" t="str">
        <f>_xlfn.XLOOKUP(C250, Stores!$A$2:$A$7, Stores!$D$2:$D$7)</f>
        <v>Sydney North</v>
      </c>
      <c r="K250">
        <f t="shared" si="6"/>
        <v>149</v>
      </c>
      <c r="L250">
        <f t="shared" si="7"/>
        <v>77</v>
      </c>
    </row>
    <row r="251" spans="1:12">
      <c r="A251" t="s">
        <v>290</v>
      </c>
      <c r="B251" s="2">
        <v>46238</v>
      </c>
      <c r="C251" t="s">
        <v>25</v>
      </c>
      <c r="D251" t="s">
        <v>23</v>
      </c>
      <c r="E251">
        <v>3</v>
      </c>
      <c r="F251" t="str">
        <f>_xlfn.XLOOKUP(D251, Products!$A$2:$A$21, Products!$B$2:$B$21, "Not Found")</f>
        <v>Video Game</v>
      </c>
      <c r="G251" t="str">
        <f>_xlfn.XLOOKUP(D251, Products!$A$2:$A$21, Products!$C$2:$C$21)</f>
        <v>Gaming</v>
      </c>
      <c r="H251">
        <f>_xlfn.XLOOKUP(D251, Products!$A$2:$A$21, Products!$E$2:$E$21, 0)</f>
        <v>79</v>
      </c>
      <c r="I251">
        <f>_xlfn.XLOOKUP(D251, Products!$A$2:$A$21, Products!$F$2:$F$21,0)</f>
        <v>52</v>
      </c>
      <c r="J251" t="str">
        <f>_xlfn.XLOOKUP(C251, Stores!$A$2:$A$7, Stores!$D$2:$D$7)</f>
        <v>Sydney South</v>
      </c>
      <c r="K251">
        <f t="shared" si="6"/>
        <v>237</v>
      </c>
      <c r="L251">
        <f t="shared" si="7"/>
        <v>81</v>
      </c>
    </row>
    <row r="252" spans="1:12">
      <c r="A252" t="s">
        <v>291</v>
      </c>
      <c r="B252" s="2">
        <v>46239</v>
      </c>
      <c r="C252" t="s">
        <v>13</v>
      </c>
      <c r="D252" t="s">
        <v>52</v>
      </c>
      <c r="E252">
        <v>1</v>
      </c>
      <c r="F252" t="str">
        <f>_xlfn.XLOOKUP(D252, Products!$A$2:$A$21, Products!$B$2:$B$21, "Not Found")</f>
        <v>Mech Keyboard</v>
      </c>
      <c r="G252" t="str">
        <f>_xlfn.XLOOKUP(D252, Products!$A$2:$A$21, Products!$C$2:$C$21)</f>
        <v>Accessories</v>
      </c>
      <c r="H252">
        <f>_xlfn.XLOOKUP(D252, Products!$A$2:$A$21, Products!$E$2:$E$21, 0)</f>
        <v>149</v>
      </c>
      <c r="I252">
        <f>_xlfn.XLOOKUP(D252, Products!$A$2:$A$21, Products!$F$2:$F$21,0)</f>
        <v>72</v>
      </c>
      <c r="J252" t="str">
        <f>_xlfn.XLOOKUP(C252, Stores!$A$2:$A$7, Stores!$D$2:$D$7)</f>
        <v>Sydney West</v>
      </c>
      <c r="K252">
        <f t="shared" si="6"/>
        <v>149</v>
      </c>
      <c r="L252">
        <f t="shared" si="7"/>
        <v>77</v>
      </c>
    </row>
    <row r="253" spans="1:12">
      <c r="A253" t="s">
        <v>292</v>
      </c>
      <c r="B253" s="2">
        <v>46239</v>
      </c>
      <c r="C253" t="s">
        <v>22</v>
      </c>
      <c r="D253" t="s">
        <v>32</v>
      </c>
      <c r="E253">
        <v>2</v>
      </c>
      <c r="F253" t="str">
        <f>_xlfn.XLOOKUP(D253, Products!$A$2:$A$21, Products!$B$2:$B$21, "Not Found")</f>
        <v>USB-C Charger</v>
      </c>
      <c r="G253" t="str">
        <f>_xlfn.XLOOKUP(D253, Products!$A$2:$A$21, Products!$C$2:$C$21)</f>
        <v>Accessories</v>
      </c>
      <c r="H253">
        <f>_xlfn.XLOOKUP(D253, Products!$A$2:$A$21, Products!$E$2:$E$21, 0)</f>
        <v>49</v>
      </c>
      <c r="I253">
        <f>_xlfn.XLOOKUP(D253, Products!$A$2:$A$21, Products!$F$2:$F$21,0)</f>
        <v>14</v>
      </c>
      <c r="J253" t="str">
        <f>_xlfn.XLOOKUP(C253, Stores!$A$2:$A$7, Stores!$D$2:$D$7)</f>
        <v>Sydney West</v>
      </c>
      <c r="K253">
        <f t="shared" si="6"/>
        <v>98</v>
      </c>
      <c r="L253">
        <f t="shared" si="7"/>
        <v>70</v>
      </c>
    </row>
    <row r="254" spans="1:12">
      <c r="A254" t="s">
        <v>293</v>
      </c>
      <c r="B254" s="2">
        <v>46239</v>
      </c>
      <c r="C254" t="s">
        <v>25</v>
      </c>
      <c r="D254" t="s">
        <v>20</v>
      </c>
      <c r="E254">
        <v>1</v>
      </c>
      <c r="F254" t="str">
        <f>_xlfn.XLOOKUP(D254, Products!$A$2:$A$21, Products!$B$2:$B$21, "Not Found")</f>
        <v>Bluetooth Speaker</v>
      </c>
      <c r="G254" t="str">
        <f>_xlfn.XLOOKUP(D254, Products!$A$2:$A$21, Products!$C$2:$C$21)</f>
        <v>Audio</v>
      </c>
      <c r="H254">
        <f>_xlfn.XLOOKUP(D254, Products!$A$2:$A$21, Products!$E$2:$E$21, 0)</f>
        <v>179</v>
      </c>
      <c r="I254">
        <f>_xlfn.XLOOKUP(D254, Products!$A$2:$A$21, Products!$F$2:$F$21,0)</f>
        <v>95</v>
      </c>
      <c r="J254" t="str">
        <f>_xlfn.XLOOKUP(C254, Stores!$A$2:$A$7, Stores!$D$2:$D$7)</f>
        <v>Sydney South</v>
      </c>
      <c r="K254">
        <f t="shared" si="6"/>
        <v>179</v>
      </c>
      <c r="L254">
        <f t="shared" si="7"/>
        <v>84</v>
      </c>
    </row>
    <row r="255" spans="1:12">
      <c r="A255" t="s">
        <v>294</v>
      </c>
      <c r="B255" s="2">
        <v>46239</v>
      </c>
      <c r="C255" t="s">
        <v>25</v>
      </c>
      <c r="D255" t="s">
        <v>29</v>
      </c>
      <c r="E255">
        <v>2</v>
      </c>
      <c r="F255" t="str">
        <f>_xlfn.XLOOKUP(D255, Products!$A$2:$A$21, Products!$B$2:$B$21, "Not Found")</f>
        <v>Phone Case</v>
      </c>
      <c r="G255" t="str">
        <f>_xlfn.XLOOKUP(D255, Products!$A$2:$A$21, Products!$C$2:$C$21)</f>
        <v>Accessories</v>
      </c>
      <c r="H255">
        <f>_xlfn.XLOOKUP(D255, Products!$A$2:$A$21, Products!$E$2:$E$21, 0)</f>
        <v>39</v>
      </c>
      <c r="I255">
        <f>_xlfn.XLOOKUP(D255, Products!$A$2:$A$21, Products!$F$2:$F$21,0)</f>
        <v>9</v>
      </c>
      <c r="J255" t="str">
        <f>_xlfn.XLOOKUP(C255, Stores!$A$2:$A$7, Stores!$D$2:$D$7)</f>
        <v>Sydney South</v>
      </c>
      <c r="K255">
        <f t="shared" si="6"/>
        <v>78</v>
      </c>
      <c r="L255">
        <f t="shared" si="7"/>
        <v>60</v>
      </c>
    </row>
    <row r="256" spans="1:12">
      <c r="A256" t="s">
        <v>295</v>
      </c>
      <c r="B256" s="2">
        <v>46239</v>
      </c>
      <c r="C256" t="s">
        <v>16</v>
      </c>
      <c r="D256" t="s">
        <v>52</v>
      </c>
      <c r="E256">
        <v>1</v>
      </c>
      <c r="F256" t="str">
        <f>_xlfn.XLOOKUP(D256, Products!$A$2:$A$21, Products!$B$2:$B$21, "Not Found")</f>
        <v>Mech Keyboard</v>
      </c>
      <c r="G256" t="str">
        <f>_xlfn.XLOOKUP(D256, Products!$A$2:$A$21, Products!$C$2:$C$21)</f>
        <v>Accessories</v>
      </c>
      <c r="H256">
        <f>_xlfn.XLOOKUP(D256, Products!$A$2:$A$21, Products!$E$2:$E$21, 0)</f>
        <v>149</v>
      </c>
      <c r="I256">
        <f>_xlfn.XLOOKUP(D256, Products!$A$2:$A$21, Products!$F$2:$F$21,0)</f>
        <v>72</v>
      </c>
      <c r="J256" t="str">
        <f>_xlfn.XLOOKUP(C256, Stores!$A$2:$A$7, Stores!$D$2:$D$7)</f>
        <v>Sydney East</v>
      </c>
      <c r="K256">
        <f t="shared" si="6"/>
        <v>149</v>
      </c>
      <c r="L256">
        <f t="shared" si="7"/>
        <v>77</v>
      </c>
    </row>
    <row r="257" spans="1:12">
      <c r="A257" t="s">
        <v>296</v>
      </c>
      <c r="B257" s="2">
        <v>46239</v>
      </c>
      <c r="C257" t="s">
        <v>19</v>
      </c>
      <c r="D257" t="s">
        <v>61</v>
      </c>
      <c r="E257">
        <v>1</v>
      </c>
      <c r="F257" t="str">
        <f>_xlfn.XLOOKUP(D257, Products!$A$2:$A$21, Products!$B$2:$B$21, "Not Found")</f>
        <v>Soundbar</v>
      </c>
      <c r="G257" t="str">
        <f>_xlfn.XLOOKUP(D257, Products!$A$2:$A$21, Products!$C$2:$C$21)</f>
        <v>Audio</v>
      </c>
      <c r="H257">
        <f>_xlfn.XLOOKUP(D257, Products!$A$2:$A$21, Products!$E$2:$E$21, 0)</f>
        <v>699</v>
      </c>
      <c r="I257">
        <f>_xlfn.XLOOKUP(D257, Products!$A$2:$A$21, Products!$F$2:$F$21,0)</f>
        <v>450</v>
      </c>
      <c r="J257" t="str">
        <f>_xlfn.XLOOKUP(C257, Stores!$A$2:$A$7, Stores!$D$2:$D$7)</f>
        <v>Sydney North</v>
      </c>
      <c r="K257">
        <f t="shared" si="6"/>
        <v>699</v>
      </c>
      <c r="L257">
        <f t="shared" si="7"/>
        <v>249</v>
      </c>
    </row>
    <row r="258" spans="1:12">
      <c r="A258" t="s">
        <v>297</v>
      </c>
      <c r="B258" s="2">
        <v>46240</v>
      </c>
      <c r="C258" t="s">
        <v>13</v>
      </c>
      <c r="D258" t="s">
        <v>20</v>
      </c>
      <c r="E258">
        <v>1</v>
      </c>
      <c r="F258" t="str">
        <f>_xlfn.XLOOKUP(D258, Products!$A$2:$A$21, Products!$B$2:$B$21, "Not Found")</f>
        <v>Bluetooth Speaker</v>
      </c>
      <c r="G258" t="str">
        <f>_xlfn.XLOOKUP(D258, Products!$A$2:$A$21, Products!$C$2:$C$21)</f>
        <v>Audio</v>
      </c>
      <c r="H258">
        <f>_xlfn.XLOOKUP(D258, Products!$A$2:$A$21, Products!$E$2:$E$21, 0)</f>
        <v>179</v>
      </c>
      <c r="I258">
        <f>_xlfn.XLOOKUP(D258, Products!$A$2:$A$21, Products!$F$2:$F$21,0)</f>
        <v>95</v>
      </c>
      <c r="J258" t="str">
        <f>_xlfn.XLOOKUP(C258, Stores!$A$2:$A$7, Stores!$D$2:$D$7)</f>
        <v>Sydney West</v>
      </c>
      <c r="K258">
        <f t="shared" si="6"/>
        <v>179</v>
      </c>
      <c r="L258">
        <f t="shared" si="7"/>
        <v>84</v>
      </c>
    </row>
    <row r="259" spans="1:12">
      <c r="A259" t="s">
        <v>298</v>
      </c>
      <c r="B259" s="2">
        <v>46240</v>
      </c>
      <c r="C259" t="s">
        <v>19</v>
      </c>
      <c r="D259" t="s">
        <v>20</v>
      </c>
      <c r="E259">
        <v>2</v>
      </c>
      <c r="F259" t="str">
        <f>_xlfn.XLOOKUP(D259, Products!$A$2:$A$21, Products!$B$2:$B$21, "Not Found")</f>
        <v>Bluetooth Speaker</v>
      </c>
      <c r="G259" t="str">
        <f>_xlfn.XLOOKUP(D259, Products!$A$2:$A$21, Products!$C$2:$C$21)</f>
        <v>Audio</v>
      </c>
      <c r="H259">
        <f>_xlfn.XLOOKUP(D259, Products!$A$2:$A$21, Products!$E$2:$E$21, 0)</f>
        <v>179</v>
      </c>
      <c r="I259">
        <f>_xlfn.XLOOKUP(D259, Products!$A$2:$A$21, Products!$F$2:$F$21,0)</f>
        <v>95</v>
      </c>
      <c r="J259" t="str">
        <f>_xlfn.XLOOKUP(C259, Stores!$A$2:$A$7, Stores!$D$2:$D$7)</f>
        <v>Sydney North</v>
      </c>
      <c r="K259">
        <f t="shared" ref="K259:K322" si="8" xml:space="preserve"> E259*H259</f>
        <v>358</v>
      </c>
      <c r="L259">
        <f t="shared" ref="L259:L322" si="9" xml:space="preserve"> K259 - (E259 * I259)</f>
        <v>168</v>
      </c>
    </row>
    <row r="260" spans="1:12">
      <c r="A260" t="s">
        <v>299</v>
      </c>
      <c r="B260" s="2">
        <v>46240</v>
      </c>
      <c r="C260" t="s">
        <v>19</v>
      </c>
      <c r="D260" t="s">
        <v>37</v>
      </c>
      <c r="E260">
        <v>1</v>
      </c>
      <c r="F260" t="str">
        <f>_xlfn.XLOOKUP(D260, Products!$A$2:$A$21, Products!$B$2:$B$21, "Not Found")</f>
        <v>Console Controller</v>
      </c>
      <c r="G260" t="str">
        <f>_xlfn.XLOOKUP(D260, Products!$A$2:$A$21, Products!$C$2:$C$21)</f>
        <v>Gaming</v>
      </c>
      <c r="H260">
        <f>_xlfn.XLOOKUP(D260, Products!$A$2:$A$21, Products!$E$2:$E$21, 0)</f>
        <v>99</v>
      </c>
      <c r="I260">
        <f>_xlfn.XLOOKUP(D260, Products!$A$2:$A$21, Products!$F$2:$F$21,0)</f>
        <v>58</v>
      </c>
      <c r="J260" t="str">
        <f>_xlfn.XLOOKUP(C260, Stores!$A$2:$A$7, Stores!$D$2:$D$7)</f>
        <v>Sydney North</v>
      </c>
      <c r="K260">
        <f t="shared" si="8"/>
        <v>99</v>
      </c>
      <c r="L260">
        <f t="shared" si="9"/>
        <v>41</v>
      </c>
    </row>
    <row r="261" spans="1:12">
      <c r="A261" t="s">
        <v>300</v>
      </c>
      <c r="B261" s="2">
        <v>46240</v>
      </c>
      <c r="C261" t="s">
        <v>19</v>
      </c>
      <c r="D261" t="s">
        <v>32</v>
      </c>
      <c r="E261">
        <v>1</v>
      </c>
      <c r="F261" t="str">
        <f>_xlfn.XLOOKUP(D261, Products!$A$2:$A$21, Products!$B$2:$B$21, "Not Found")</f>
        <v>USB-C Charger</v>
      </c>
      <c r="G261" t="str">
        <f>_xlfn.XLOOKUP(D261, Products!$A$2:$A$21, Products!$C$2:$C$21)</f>
        <v>Accessories</v>
      </c>
      <c r="H261">
        <f>_xlfn.XLOOKUP(D261, Products!$A$2:$A$21, Products!$E$2:$E$21, 0)</f>
        <v>49</v>
      </c>
      <c r="I261">
        <f>_xlfn.XLOOKUP(D261, Products!$A$2:$A$21, Products!$F$2:$F$21,0)</f>
        <v>14</v>
      </c>
      <c r="J261" t="str">
        <f>_xlfn.XLOOKUP(C261, Stores!$A$2:$A$7, Stores!$D$2:$D$7)</f>
        <v>Sydney North</v>
      </c>
      <c r="K261">
        <f t="shared" si="8"/>
        <v>49</v>
      </c>
      <c r="L261">
        <f t="shared" si="9"/>
        <v>35</v>
      </c>
    </row>
    <row r="262" spans="1:12">
      <c r="A262" t="s">
        <v>301</v>
      </c>
      <c r="B262" s="2">
        <v>46241</v>
      </c>
      <c r="C262" t="s">
        <v>19</v>
      </c>
      <c r="D262" t="s">
        <v>93</v>
      </c>
      <c r="E262">
        <v>2</v>
      </c>
      <c r="F262" t="str">
        <f>_xlfn.XLOOKUP(D262, Products!$A$2:$A$21, Products!$B$2:$B$21, "Not Found")</f>
        <v>Smartphone 256GB</v>
      </c>
      <c r="G262" t="str">
        <f>_xlfn.XLOOKUP(D262, Products!$A$2:$A$21, Products!$C$2:$C$21)</f>
        <v>Phones</v>
      </c>
      <c r="H262">
        <f>_xlfn.XLOOKUP(D262, Products!$A$2:$A$21, Products!$E$2:$E$21, 0)</f>
        <v>1499</v>
      </c>
      <c r="I262">
        <f>_xlfn.XLOOKUP(D262, Products!$A$2:$A$21, Products!$F$2:$F$21,0)</f>
        <v>1180</v>
      </c>
      <c r="J262" t="str">
        <f>_xlfn.XLOOKUP(C262, Stores!$A$2:$A$7, Stores!$D$2:$D$7)</f>
        <v>Sydney North</v>
      </c>
      <c r="K262">
        <f t="shared" si="8"/>
        <v>2998</v>
      </c>
      <c r="L262">
        <f t="shared" si="9"/>
        <v>638</v>
      </c>
    </row>
    <row r="263" spans="1:12">
      <c r="A263" t="s">
        <v>302</v>
      </c>
      <c r="B263" s="2">
        <v>46241</v>
      </c>
      <c r="C263" t="s">
        <v>25</v>
      </c>
      <c r="D263" t="s">
        <v>20</v>
      </c>
      <c r="E263">
        <v>1</v>
      </c>
      <c r="F263" t="str">
        <f>_xlfn.XLOOKUP(D263, Products!$A$2:$A$21, Products!$B$2:$B$21, "Not Found")</f>
        <v>Bluetooth Speaker</v>
      </c>
      <c r="G263" t="str">
        <f>_xlfn.XLOOKUP(D263, Products!$A$2:$A$21, Products!$C$2:$C$21)</f>
        <v>Audio</v>
      </c>
      <c r="H263">
        <f>_xlfn.XLOOKUP(D263, Products!$A$2:$A$21, Products!$E$2:$E$21, 0)</f>
        <v>179</v>
      </c>
      <c r="I263">
        <f>_xlfn.XLOOKUP(D263, Products!$A$2:$A$21, Products!$F$2:$F$21,0)</f>
        <v>95</v>
      </c>
      <c r="J263" t="str">
        <f>_xlfn.XLOOKUP(C263, Stores!$A$2:$A$7, Stores!$D$2:$D$7)</f>
        <v>Sydney South</v>
      </c>
      <c r="K263">
        <f t="shared" si="8"/>
        <v>179</v>
      </c>
      <c r="L263">
        <f t="shared" si="9"/>
        <v>84</v>
      </c>
    </row>
    <row r="264" spans="1:12">
      <c r="A264" t="s">
        <v>303</v>
      </c>
      <c r="B264" s="2">
        <v>46241</v>
      </c>
      <c r="C264" t="s">
        <v>16</v>
      </c>
      <c r="D264" t="s">
        <v>29</v>
      </c>
      <c r="E264">
        <v>2</v>
      </c>
      <c r="F264" t="str">
        <f>_xlfn.XLOOKUP(D264, Products!$A$2:$A$21, Products!$B$2:$B$21, "Not Found")</f>
        <v>Phone Case</v>
      </c>
      <c r="G264" t="str">
        <f>_xlfn.XLOOKUP(D264, Products!$A$2:$A$21, Products!$C$2:$C$21)</f>
        <v>Accessories</v>
      </c>
      <c r="H264">
        <f>_xlfn.XLOOKUP(D264, Products!$A$2:$A$21, Products!$E$2:$E$21, 0)</f>
        <v>39</v>
      </c>
      <c r="I264">
        <f>_xlfn.XLOOKUP(D264, Products!$A$2:$A$21, Products!$F$2:$F$21,0)</f>
        <v>9</v>
      </c>
      <c r="J264" t="str">
        <f>_xlfn.XLOOKUP(C264, Stores!$A$2:$A$7, Stores!$D$2:$D$7)</f>
        <v>Sydney East</v>
      </c>
      <c r="K264">
        <f t="shared" si="8"/>
        <v>78</v>
      </c>
      <c r="L264">
        <f t="shared" si="9"/>
        <v>60</v>
      </c>
    </row>
    <row r="265" spans="1:12">
      <c r="A265" t="s">
        <v>304</v>
      </c>
      <c r="B265" s="2">
        <v>46241</v>
      </c>
      <c r="C265" t="s">
        <v>16</v>
      </c>
      <c r="D265" t="s">
        <v>32</v>
      </c>
      <c r="E265">
        <v>1</v>
      </c>
      <c r="F265" t="str">
        <f>_xlfn.XLOOKUP(D265, Products!$A$2:$A$21, Products!$B$2:$B$21, "Not Found")</f>
        <v>USB-C Charger</v>
      </c>
      <c r="G265" t="str">
        <f>_xlfn.XLOOKUP(D265, Products!$A$2:$A$21, Products!$C$2:$C$21)</f>
        <v>Accessories</v>
      </c>
      <c r="H265">
        <f>_xlfn.XLOOKUP(D265, Products!$A$2:$A$21, Products!$E$2:$E$21, 0)</f>
        <v>49</v>
      </c>
      <c r="I265">
        <f>_xlfn.XLOOKUP(D265, Products!$A$2:$A$21, Products!$F$2:$F$21,0)</f>
        <v>14</v>
      </c>
      <c r="J265" t="str">
        <f>_xlfn.XLOOKUP(C265, Stores!$A$2:$A$7, Stores!$D$2:$D$7)</f>
        <v>Sydney East</v>
      </c>
      <c r="K265">
        <f t="shared" si="8"/>
        <v>49</v>
      </c>
      <c r="L265">
        <f t="shared" si="9"/>
        <v>35</v>
      </c>
    </row>
    <row r="266" spans="1:12">
      <c r="A266" t="s">
        <v>305</v>
      </c>
      <c r="B266" s="2">
        <v>46241</v>
      </c>
      <c r="C266" t="s">
        <v>16</v>
      </c>
      <c r="D266" t="s">
        <v>52</v>
      </c>
      <c r="E266">
        <v>1</v>
      </c>
      <c r="F266" t="str">
        <f>_xlfn.XLOOKUP(D266, Products!$A$2:$A$21, Products!$B$2:$B$21, "Not Found")</f>
        <v>Mech Keyboard</v>
      </c>
      <c r="G266" t="str">
        <f>_xlfn.XLOOKUP(D266, Products!$A$2:$A$21, Products!$C$2:$C$21)</f>
        <v>Accessories</v>
      </c>
      <c r="H266">
        <f>_xlfn.XLOOKUP(D266, Products!$A$2:$A$21, Products!$E$2:$E$21, 0)</f>
        <v>149</v>
      </c>
      <c r="I266">
        <f>_xlfn.XLOOKUP(D266, Products!$A$2:$A$21, Products!$F$2:$F$21,0)</f>
        <v>72</v>
      </c>
      <c r="J266" t="str">
        <f>_xlfn.XLOOKUP(C266, Stores!$A$2:$A$7, Stores!$D$2:$D$7)</f>
        <v>Sydney East</v>
      </c>
      <c r="K266">
        <f t="shared" si="8"/>
        <v>149</v>
      </c>
      <c r="L266">
        <f t="shared" si="9"/>
        <v>77</v>
      </c>
    </row>
    <row r="267" spans="1:12">
      <c r="A267" t="s">
        <v>306</v>
      </c>
      <c r="B267" s="2">
        <v>46242</v>
      </c>
      <c r="C267" t="s">
        <v>51</v>
      </c>
      <c r="D267" t="s">
        <v>32</v>
      </c>
      <c r="E267">
        <v>1</v>
      </c>
      <c r="F267" t="str">
        <f>_xlfn.XLOOKUP(D267, Products!$A$2:$A$21, Products!$B$2:$B$21, "Not Found")</f>
        <v>USB-C Charger</v>
      </c>
      <c r="G267" t="str">
        <f>_xlfn.XLOOKUP(D267, Products!$A$2:$A$21, Products!$C$2:$C$21)</f>
        <v>Accessories</v>
      </c>
      <c r="H267">
        <f>_xlfn.XLOOKUP(D267, Products!$A$2:$A$21, Products!$E$2:$E$21, 0)</f>
        <v>49</v>
      </c>
      <c r="I267">
        <f>_xlfn.XLOOKUP(D267, Products!$A$2:$A$21, Products!$F$2:$F$21,0)</f>
        <v>14</v>
      </c>
      <c r="J267" t="str">
        <f>_xlfn.XLOOKUP(C267, Stores!$A$2:$A$7, Stores!$D$2:$D$7)</f>
        <v>Sydney South</v>
      </c>
      <c r="K267">
        <f t="shared" si="8"/>
        <v>49</v>
      </c>
      <c r="L267">
        <f t="shared" si="9"/>
        <v>35</v>
      </c>
    </row>
    <row r="268" spans="1:12">
      <c r="A268" t="s">
        <v>307</v>
      </c>
      <c r="B268" s="2">
        <v>46242</v>
      </c>
      <c r="C268" t="s">
        <v>16</v>
      </c>
      <c r="D268" t="s">
        <v>20</v>
      </c>
      <c r="E268">
        <v>1</v>
      </c>
      <c r="F268" t="str">
        <f>_xlfn.XLOOKUP(D268, Products!$A$2:$A$21, Products!$B$2:$B$21, "Not Found")</f>
        <v>Bluetooth Speaker</v>
      </c>
      <c r="G268" t="str">
        <f>_xlfn.XLOOKUP(D268, Products!$A$2:$A$21, Products!$C$2:$C$21)</f>
        <v>Audio</v>
      </c>
      <c r="H268">
        <f>_xlfn.XLOOKUP(D268, Products!$A$2:$A$21, Products!$E$2:$E$21, 0)</f>
        <v>179</v>
      </c>
      <c r="I268">
        <f>_xlfn.XLOOKUP(D268, Products!$A$2:$A$21, Products!$F$2:$F$21,0)</f>
        <v>95</v>
      </c>
      <c r="J268" t="str">
        <f>_xlfn.XLOOKUP(C268, Stores!$A$2:$A$7, Stores!$D$2:$D$7)</f>
        <v>Sydney East</v>
      </c>
      <c r="K268">
        <f t="shared" si="8"/>
        <v>179</v>
      </c>
      <c r="L268">
        <f t="shared" si="9"/>
        <v>84</v>
      </c>
    </row>
    <row r="269" spans="1:12">
      <c r="A269" t="s">
        <v>308</v>
      </c>
      <c r="B269" s="2">
        <v>46242</v>
      </c>
      <c r="C269" t="s">
        <v>22</v>
      </c>
      <c r="D269" t="s">
        <v>52</v>
      </c>
      <c r="E269">
        <v>2</v>
      </c>
      <c r="F269" t="str">
        <f>_xlfn.XLOOKUP(D269, Products!$A$2:$A$21, Products!$B$2:$B$21, "Not Found")</f>
        <v>Mech Keyboard</v>
      </c>
      <c r="G269" t="str">
        <f>_xlfn.XLOOKUP(D269, Products!$A$2:$A$21, Products!$C$2:$C$21)</f>
        <v>Accessories</v>
      </c>
      <c r="H269">
        <f>_xlfn.XLOOKUP(D269, Products!$A$2:$A$21, Products!$E$2:$E$21, 0)</f>
        <v>149</v>
      </c>
      <c r="I269">
        <f>_xlfn.XLOOKUP(D269, Products!$A$2:$A$21, Products!$F$2:$F$21,0)</f>
        <v>72</v>
      </c>
      <c r="J269" t="str">
        <f>_xlfn.XLOOKUP(C269, Stores!$A$2:$A$7, Stores!$D$2:$D$7)</f>
        <v>Sydney West</v>
      </c>
      <c r="K269">
        <f t="shared" si="8"/>
        <v>298</v>
      </c>
      <c r="L269">
        <f t="shared" si="9"/>
        <v>154</v>
      </c>
    </row>
    <row r="270" spans="1:12">
      <c r="A270" t="s">
        <v>309</v>
      </c>
      <c r="B270" s="2">
        <v>46242</v>
      </c>
      <c r="C270" t="s">
        <v>25</v>
      </c>
      <c r="D270" t="s">
        <v>14</v>
      </c>
      <c r="E270">
        <v>1</v>
      </c>
      <c r="F270" t="str">
        <f>_xlfn.XLOOKUP(D270, Products!$A$2:$A$21, Products!$B$2:$B$21, "Not Found")</f>
        <v>Gaming Mouse</v>
      </c>
      <c r="G270" t="str">
        <f>_xlfn.XLOOKUP(D270, Products!$A$2:$A$21, Products!$C$2:$C$21)</f>
        <v>Accessories</v>
      </c>
      <c r="H270">
        <f>_xlfn.XLOOKUP(D270, Products!$A$2:$A$21, Products!$E$2:$E$21, 0)</f>
        <v>89</v>
      </c>
      <c r="I270">
        <f>_xlfn.XLOOKUP(D270, Products!$A$2:$A$21, Products!$F$2:$F$21,0)</f>
        <v>41</v>
      </c>
      <c r="J270" t="str">
        <f>_xlfn.XLOOKUP(C270, Stores!$A$2:$A$7, Stores!$D$2:$D$7)</f>
        <v>Sydney South</v>
      </c>
      <c r="K270">
        <f t="shared" si="8"/>
        <v>89</v>
      </c>
      <c r="L270">
        <f t="shared" si="9"/>
        <v>48</v>
      </c>
    </row>
    <row r="271" spans="1:12">
      <c r="A271" t="s">
        <v>310</v>
      </c>
      <c r="B271" s="2">
        <v>46242</v>
      </c>
      <c r="C271" t="s">
        <v>19</v>
      </c>
      <c r="D271" t="s">
        <v>23</v>
      </c>
      <c r="E271">
        <v>2</v>
      </c>
      <c r="F271" t="str">
        <f>_xlfn.XLOOKUP(D271, Products!$A$2:$A$21, Products!$B$2:$B$21, "Not Found")</f>
        <v>Video Game</v>
      </c>
      <c r="G271" t="str">
        <f>_xlfn.XLOOKUP(D271, Products!$A$2:$A$21, Products!$C$2:$C$21)</f>
        <v>Gaming</v>
      </c>
      <c r="H271">
        <f>_xlfn.XLOOKUP(D271, Products!$A$2:$A$21, Products!$E$2:$E$21, 0)</f>
        <v>79</v>
      </c>
      <c r="I271">
        <f>_xlfn.XLOOKUP(D271, Products!$A$2:$A$21, Products!$F$2:$F$21,0)</f>
        <v>52</v>
      </c>
      <c r="J271" t="str">
        <f>_xlfn.XLOOKUP(C271, Stores!$A$2:$A$7, Stores!$D$2:$D$7)</f>
        <v>Sydney North</v>
      </c>
      <c r="K271">
        <f t="shared" si="8"/>
        <v>158</v>
      </c>
      <c r="L271">
        <f t="shared" si="9"/>
        <v>54</v>
      </c>
    </row>
    <row r="272" spans="1:12">
      <c r="A272" t="s">
        <v>311</v>
      </c>
      <c r="B272" s="2">
        <v>46243</v>
      </c>
      <c r="C272" t="s">
        <v>22</v>
      </c>
      <c r="D272" t="s">
        <v>44</v>
      </c>
      <c r="E272">
        <v>1</v>
      </c>
      <c r="F272" t="str">
        <f>_xlfn.XLOOKUP(D272, Products!$A$2:$A$21, Products!$B$2:$B$21, "Not Found")</f>
        <v>Smartphone 128GB</v>
      </c>
      <c r="G272" t="str">
        <f>_xlfn.XLOOKUP(D272, Products!$A$2:$A$21, Products!$C$2:$C$21)</f>
        <v>Phones</v>
      </c>
      <c r="H272">
        <f>_xlfn.XLOOKUP(D272, Products!$A$2:$A$21, Products!$E$2:$E$21, 0)</f>
        <v>1099</v>
      </c>
      <c r="I272">
        <f>_xlfn.XLOOKUP(D272, Products!$A$2:$A$21, Products!$F$2:$F$21,0)</f>
        <v>860</v>
      </c>
      <c r="J272" t="str">
        <f>_xlfn.XLOOKUP(C272, Stores!$A$2:$A$7, Stores!$D$2:$D$7)</f>
        <v>Sydney West</v>
      </c>
      <c r="K272">
        <f t="shared" si="8"/>
        <v>1099</v>
      </c>
      <c r="L272">
        <f t="shared" si="9"/>
        <v>239</v>
      </c>
    </row>
    <row r="273" spans="1:12">
      <c r="A273" t="s">
        <v>312</v>
      </c>
      <c r="B273" s="2">
        <v>46243</v>
      </c>
      <c r="C273" t="s">
        <v>13</v>
      </c>
      <c r="D273" t="s">
        <v>17</v>
      </c>
      <c r="E273">
        <v>1</v>
      </c>
      <c r="F273" t="str">
        <f>_xlfn.XLOOKUP(D273, Products!$A$2:$A$21, Products!$B$2:$B$21, "Not Found")</f>
        <v>Wireless Earbuds</v>
      </c>
      <c r="G273" t="str">
        <f>_xlfn.XLOOKUP(D273, Products!$A$2:$A$21, Products!$C$2:$C$21)</f>
        <v>Audio</v>
      </c>
      <c r="H273">
        <f>_xlfn.XLOOKUP(D273, Products!$A$2:$A$21, Products!$E$2:$E$21, 0)</f>
        <v>249</v>
      </c>
      <c r="I273">
        <f>_xlfn.XLOOKUP(D273, Products!$A$2:$A$21, Products!$F$2:$F$21,0)</f>
        <v>140</v>
      </c>
      <c r="J273" t="str">
        <f>_xlfn.XLOOKUP(C273, Stores!$A$2:$A$7, Stores!$D$2:$D$7)</f>
        <v>Sydney West</v>
      </c>
      <c r="K273">
        <f t="shared" si="8"/>
        <v>249</v>
      </c>
      <c r="L273">
        <f t="shared" si="9"/>
        <v>109</v>
      </c>
    </row>
    <row r="274" spans="1:12">
      <c r="A274" t="s">
        <v>313</v>
      </c>
      <c r="B274" s="2">
        <v>46243</v>
      </c>
      <c r="C274" t="s">
        <v>51</v>
      </c>
      <c r="D274" t="s">
        <v>17</v>
      </c>
      <c r="E274">
        <v>2</v>
      </c>
      <c r="F274" t="str">
        <f>_xlfn.XLOOKUP(D274, Products!$A$2:$A$21, Products!$B$2:$B$21, "Not Found")</f>
        <v>Wireless Earbuds</v>
      </c>
      <c r="G274" t="str">
        <f>_xlfn.XLOOKUP(D274, Products!$A$2:$A$21, Products!$C$2:$C$21)</f>
        <v>Audio</v>
      </c>
      <c r="H274">
        <f>_xlfn.XLOOKUP(D274, Products!$A$2:$A$21, Products!$E$2:$E$21, 0)</f>
        <v>249</v>
      </c>
      <c r="I274">
        <f>_xlfn.XLOOKUP(D274, Products!$A$2:$A$21, Products!$F$2:$F$21,0)</f>
        <v>140</v>
      </c>
      <c r="J274" t="str">
        <f>_xlfn.XLOOKUP(C274, Stores!$A$2:$A$7, Stores!$D$2:$D$7)</f>
        <v>Sydney South</v>
      </c>
      <c r="K274">
        <f t="shared" si="8"/>
        <v>498</v>
      </c>
      <c r="L274">
        <f t="shared" si="9"/>
        <v>218</v>
      </c>
    </row>
    <row r="275" spans="1:12">
      <c r="A275" t="s">
        <v>314</v>
      </c>
      <c r="B275" s="2">
        <v>46244</v>
      </c>
      <c r="C275" t="s">
        <v>25</v>
      </c>
      <c r="D275" t="s">
        <v>74</v>
      </c>
      <c r="E275">
        <v>1</v>
      </c>
      <c r="F275" t="str">
        <f>_xlfn.XLOOKUP(D275, Products!$A$2:$A$21, Products!$B$2:$B$21, "Not Found")</f>
        <v>Over-Ear Headphones</v>
      </c>
      <c r="G275" t="str">
        <f>_xlfn.XLOOKUP(D275, Products!$A$2:$A$21, Products!$C$2:$C$21)</f>
        <v>Audio</v>
      </c>
      <c r="H275">
        <f>_xlfn.XLOOKUP(D275, Products!$A$2:$A$21, Products!$E$2:$E$21, 0)</f>
        <v>499</v>
      </c>
      <c r="I275">
        <f>_xlfn.XLOOKUP(D275, Products!$A$2:$A$21, Products!$F$2:$F$21,0)</f>
        <v>310</v>
      </c>
      <c r="J275" t="str">
        <f>_xlfn.XLOOKUP(C275, Stores!$A$2:$A$7, Stores!$D$2:$D$7)</f>
        <v>Sydney South</v>
      </c>
      <c r="K275">
        <f t="shared" si="8"/>
        <v>499</v>
      </c>
      <c r="L275">
        <f t="shared" si="9"/>
        <v>189</v>
      </c>
    </row>
    <row r="276" spans="1:12">
      <c r="A276" t="s">
        <v>315</v>
      </c>
      <c r="B276" s="2">
        <v>46244</v>
      </c>
      <c r="C276" t="s">
        <v>25</v>
      </c>
      <c r="D276" t="s">
        <v>17</v>
      </c>
      <c r="E276">
        <v>1</v>
      </c>
      <c r="F276" t="str">
        <f>_xlfn.XLOOKUP(D276, Products!$A$2:$A$21, Products!$B$2:$B$21, "Not Found")</f>
        <v>Wireless Earbuds</v>
      </c>
      <c r="G276" t="str">
        <f>_xlfn.XLOOKUP(D276, Products!$A$2:$A$21, Products!$C$2:$C$21)</f>
        <v>Audio</v>
      </c>
      <c r="H276">
        <f>_xlfn.XLOOKUP(D276, Products!$A$2:$A$21, Products!$E$2:$E$21, 0)</f>
        <v>249</v>
      </c>
      <c r="I276">
        <f>_xlfn.XLOOKUP(D276, Products!$A$2:$A$21, Products!$F$2:$F$21,0)</f>
        <v>140</v>
      </c>
      <c r="J276" t="str">
        <f>_xlfn.XLOOKUP(C276, Stores!$A$2:$A$7, Stores!$D$2:$D$7)</f>
        <v>Sydney South</v>
      </c>
      <c r="K276">
        <f t="shared" si="8"/>
        <v>249</v>
      </c>
      <c r="L276">
        <f t="shared" si="9"/>
        <v>109</v>
      </c>
    </row>
    <row r="277" spans="1:12">
      <c r="A277" t="s">
        <v>316</v>
      </c>
      <c r="B277" s="2">
        <v>46244</v>
      </c>
      <c r="C277" t="s">
        <v>16</v>
      </c>
      <c r="D277" t="s">
        <v>44</v>
      </c>
      <c r="E277">
        <v>2</v>
      </c>
      <c r="F277" t="str">
        <f>_xlfn.XLOOKUP(D277, Products!$A$2:$A$21, Products!$B$2:$B$21, "Not Found")</f>
        <v>Smartphone 128GB</v>
      </c>
      <c r="G277" t="str">
        <f>_xlfn.XLOOKUP(D277, Products!$A$2:$A$21, Products!$C$2:$C$21)</f>
        <v>Phones</v>
      </c>
      <c r="H277">
        <f>_xlfn.XLOOKUP(D277, Products!$A$2:$A$21, Products!$E$2:$E$21, 0)</f>
        <v>1099</v>
      </c>
      <c r="I277">
        <f>_xlfn.XLOOKUP(D277, Products!$A$2:$A$21, Products!$F$2:$F$21,0)</f>
        <v>860</v>
      </c>
      <c r="J277" t="str">
        <f>_xlfn.XLOOKUP(C277, Stores!$A$2:$A$7, Stores!$D$2:$D$7)</f>
        <v>Sydney East</v>
      </c>
      <c r="K277">
        <f t="shared" si="8"/>
        <v>2198</v>
      </c>
      <c r="L277">
        <f t="shared" si="9"/>
        <v>478</v>
      </c>
    </row>
    <row r="278" spans="1:12">
      <c r="A278" t="s">
        <v>317</v>
      </c>
      <c r="B278" s="2">
        <v>46244</v>
      </c>
      <c r="C278" t="s">
        <v>16</v>
      </c>
      <c r="D278" t="s">
        <v>44</v>
      </c>
      <c r="E278">
        <v>1</v>
      </c>
      <c r="F278" t="str">
        <f>_xlfn.XLOOKUP(D278, Products!$A$2:$A$21, Products!$B$2:$B$21, "Not Found")</f>
        <v>Smartphone 128GB</v>
      </c>
      <c r="G278" t="str">
        <f>_xlfn.XLOOKUP(D278, Products!$A$2:$A$21, Products!$C$2:$C$21)</f>
        <v>Phones</v>
      </c>
      <c r="H278">
        <f>_xlfn.XLOOKUP(D278, Products!$A$2:$A$21, Products!$E$2:$E$21, 0)</f>
        <v>1099</v>
      </c>
      <c r="I278">
        <f>_xlfn.XLOOKUP(D278, Products!$A$2:$A$21, Products!$F$2:$F$21,0)</f>
        <v>860</v>
      </c>
      <c r="J278" t="str">
        <f>_xlfn.XLOOKUP(C278, Stores!$A$2:$A$7, Stores!$D$2:$D$7)</f>
        <v>Sydney East</v>
      </c>
      <c r="K278">
        <f t="shared" si="8"/>
        <v>1099</v>
      </c>
      <c r="L278">
        <f t="shared" si="9"/>
        <v>239</v>
      </c>
    </row>
    <row r="279" spans="1:12">
      <c r="A279" t="s">
        <v>318</v>
      </c>
      <c r="B279" s="2">
        <v>46245</v>
      </c>
      <c r="C279" t="s">
        <v>16</v>
      </c>
      <c r="D279" t="s">
        <v>29</v>
      </c>
      <c r="E279">
        <v>1</v>
      </c>
      <c r="F279" t="str">
        <f>_xlfn.XLOOKUP(D279, Products!$A$2:$A$21, Products!$B$2:$B$21, "Not Found")</f>
        <v>Phone Case</v>
      </c>
      <c r="G279" t="str">
        <f>_xlfn.XLOOKUP(D279, Products!$A$2:$A$21, Products!$C$2:$C$21)</f>
        <v>Accessories</v>
      </c>
      <c r="H279">
        <f>_xlfn.XLOOKUP(D279, Products!$A$2:$A$21, Products!$E$2:$E$21, 0)</f>
        <v>39</v>
      </c>
      <c r="I279">
        <f>_xlfn.XLOOKUP(D279, Products!$A$2:$A$21, Products!$F$2:$F$21,0)</f>
        <v>9</v>
      </c>
      <c r="J279" t="str">
        <f>_xlfn.XLOOKUP(C279, Stores!$A$2:$A$7, Stores!$D$2:$D$7)</f>
        <v>Sydney East</v>
      </c>
      <c r="K279">
        <f t="shared" si="8"/>
        <v>39</v>
      </c>
      <c r="L279">
        <f t="shared" si="9"/>
        <v>30</v>
      </c>
    </row>
    <row r="280" spans="1:12">
      <c r="A280" t="s">
        <v>319</v>
      </c>
      <c r="B280" s="2">
        <v>46245</v>
      </c>
      <c r="C280" t="s">
        <v>51</v>
      </c>
      <c r="D280" t="s">
        <v>37</v>
      </c>
      <c r="E280">
        <v>1</v>
      </c>
      <c r="F280" t="str">
        <f>_xlfn.XLOOKUP(D280, Products!$A$2:$A$21, Products!$B$2:$B$21, "Not Found")</f>
        <v>Console Controller</v>
      </c>
      <c r="G280" t="str">
        <f>_xlfn.XLOOKUP(D280, Products!$A$2:$A$21, Products!$C$2:$C$21)</f>
        <v>Gaming</v>
      </c>
      <c r="H280">
        <f>_xlfn.XLOOKUP(D280, Products!$A$2:$A$21, Products!$E$2:$E$21, 0)</f>
        <v>99</v>
      </c>
      <c r="I280">
        <f>_xlfn.XLOOKUP(D280, Products!$A$2:$A$21, Products!$F$2:$F$21,0)</f>
        <v>58</v>
      </c>
      <c r="J280" t="str">
        <f>_xlfn.XLOOKUP(C280, Stores!$A$2:$A$7, Stores!$D$2:$D$7)</f>
        <v>Sydney South</v>
      </c>
      <c r="K280">
        <f t="shared" si="8"/>
        <v>99</v>
      </c>
      <c r="L280">
        <f t="shared" si="9"/>
        <v>41</v>
      </c>
    </row>
    <row r="281" spans="1:12">
      <c r="A281" t="s">
        <v>320</v>
      </c>
      <c r="B281" s="2">
        <v>46245</v>
      </c>
      <c r="C281" t="s">
        <v>13</v>
      </c>
      <c r="D281" t="s">
        <v>14</v>
      </c>
      <c r="E281">
        <v>1</v>
      </c>
      <c r="F281" t="str">
        <f>_xlfn.XLOOKUP(D281, Products!$A$2:$A$21, Products!$B$2:$B$21, "Not Found")</f>
        <v>Gaming Mouse</v>
      </c>
      <c r="G281" t="str">
        <f>_xlfn.XLOOKUP(D281, Products!$A$2:$A$21, Products!$C$2:$C$21)</f>
        <v>Accessories</v>
      </c>
      <c r="H281">
        <f>_xlfn.XLOOKUP(D281, Products!$A$2:$A$21, Products!$E$2:$E$21, 0)</f>
        <v>89</v>
      </c>
      <c r="I281">
        <f>_xlfn.XLOOKUP(D281, Products!$A$2:$A$21, Products!$F$2:$F$21,0)</f>
        <v>41</v>
      </c>
      <c r="J281" t="str">
        <f>_xlfn.XLOOKUP(C281, Stores!$A$2:$A$7, Stores!$D$2:$D$7)</f>
        <v>Sydney West</v>
      </c>
      <c r="K281">
        <f t="shared" si="8"/>
        <v>89</v>
      </c>
      <c r="L281">
        <f t="shared" si="9"/>
        <v>48</v>
      </c>
    </row>
    <row r="282" spans="1:12">
      <c r="A282" t="s">
        <v>321</v>
      </c>
      <c r="B282" s="2">
        <v>46245</v>
      </c>
      <c r="C282" t="s">
        <v>16</v>
      </c>
      <c r="D282" t="s">
        <v>29</v>
      </c>
      <c r="E282">
        <v>1</v>
      </c>
      <c r="F282" t="str">
        <f>_xlfn.XLOOKUP(D282, Products!$A$2:$A$21, Products!$B$2:$B$21, "Not Found")</f>
        <v>Phone Case</v>
      </c>
      <c r="G282" t="str">
        <f>_xlfn.XLOOKUP(D282, Products!$A$2:$A$21, Products!$C$2:$C$21)</f>
        <v>Accessories</v>
      </c>
      <c r="H282">
        <f>_xlfn.XLOOKUP(D282, Products!$A$2:$A$21, Products!$E$2:$E$21, 0)</f>
        <v>39</v>
      </c>
      <c r="I282">
        <f>_xlfn.XLOOKUP(D282, Products!$A$2:$A$21, Products!$F$2:$F$21,0)</f>
        <v>9</v>
      </c>
      <c r="J282" t="str">
        <f>_xlfn.XLOOKUP(C282, Stores!$A$2:$A$7, Stores!$D$2:$D$7)</f>
        <v>Sydney East</v>
      </c>
      <c r="K282">
        <f t="shared" si="8"/>
        <v>39</v>
      </c>
      <c r="L282">
        <f t="shared" si="9"/>
        <v>30</v>
      </c>
    </row>
    <row r="283" spans="1:12">
      <c r="A283" t="s">
        <v>322</v>
      </c>
      <c r="B283" s="2">
        <v>46245</v>
      </c>
      <c r="C283" t="s">
        <v>22</v>
      </c>
      <c r="D283" t="s">
        <v>14</v>
      </c>
      <c r="E283">
        <v>2</v>
      </c>
      <c r="F283" t="str">
        <f>_xlfn.XLOOKUP(D283, Products!$A$2:$A$21, Products!$B$2:$B$21, "Not Found")</f>
        <v>Gaming Mouse</v>
      </c>
      <c r="G283" t="str">
        <f>_xlfn.XLOOKUP(D283, Products!$A$2:$A$21, Products!$C$2:$C$21)</f>
        <v>Accessories</v>
      </c>
      <c r="H283">
        <f>_xlfn.XLOOKUP(D283, Products!$A$2:$A$21, Products!$E$2:$E$21, 0)</f>
        <v>89</v>
      </c>
      <c r="I283">
        <f>_xlfn.XLOOKUP(D283, Products!$A$2:$A$21, Products!$F$2:$F$21,0)</f>
        <v>41</v>
      </c>
      <c r="J283" t="str">
        <f>_xlfn.XLOOKUP(C283, Stores!$A$2:$A$7, Stores!$D$2:$D$7)</f>
        <v>Sydney West</v>
      </c>
      <c r="K283">
        <f t="shared" si="8"/>
        <v>178</v>
      </c>
      <c r="L283">
        <f t="shared" si="9"/>
        <v>96</v>
      </c>
    </row>
    <row r="284" spans="1:12">
      <c r="A284" t="s">
        <v>323</v>
      </c>
      <c r="B284" s="2">
        <v>46245</v>
      </c>
      <c r="C284" t="s">
        <v>19</v>
      </c>
      <c r="D284" t="s">
        <v>74</v>
      </c>
      <c r="E284">
        <v>4</v>
      </c>
      <c r="F284" t="str">
        <f>_xlfn.XLOOKUP(D284, Products!$A$2:$A$21, Products!$B$2:$B$21, "Not Found")</f>
        <v>Over-Ear Headphones</v>
      </c>
      <c r="G284" t="str">
        <f>_xlfn.XLOOKUP(D284, Products!$A$2:$A$21, Products!$C$2:$C$21)</f>
        <v>Audio</v>
      </c>
      <c r="H284">
        <f>_xlfn.XLOOKUP(D284, Products!$A$2:$A$21, Products!$E$2:$E$21, 0)</f>
        <v>499</v>
      </c>
      <c r="I284">
        <f>_xlfn.XLOOKUP(D284, Products!$A$2:$A$21, Products!$F$2:$F$21,0)</f>
        <v>310</v>
      </c>
      <c r="J284" t="str">
        <f>_xlfn.XLOOKUP(C284, Stores!$A$2:$A$7, Stores!$D$2:$D$7)</f>
        <v>Sydney North</v>
      </c>
      <c r="K284">
        <f t="shared" si="8"/>
        <v>1996</v>
      </c>
      <c r="L284">
        <f t="shared" si="9"/>
        <v>756</v>
      </c>
    </row>
    <row r="285" spans="1:12">
      <c r="A285" t="s">
        <v>324</v>
      </c>
      <c r="B285" s="2">
        <v>46246</v>
      </c>
      <c r="C285" t="s">
        <v>51</v>
      </c>
      <c r="D285" t="s">
        <v>20</v>
      </c>
      <c r="E285">
        <v>1</v>
      </c>
      <c r="F285" t="str">
        <f>_xlfn.XLOOKUP(D285, Products!$A$2:$A$21, Products!$B$2:$B$21, "Not Found")</f>
        <v>Bluetooth Speaker</v>
      </c>
      <c r="G285" t="str">
        <f>_xlfn.XLOOKUP(D285, Products!$A$2:$A$21, Products!$C$2:$C$21)</f>
        <v>Audio</v>
      </c>
      <c r="H285">
        <f>_xlfn.XLOOKUP(D285, Products!$A$2:$A$21, Products!$E$2:$E$21, 0)</f>
        <v>179</v>
      </c>
      <c r="I285">
        <f>_xlfn.XLOOKUP(D285, Products!$A$2:$A$21, Products!$F$2:$F$21,0)</f>
        <v>95</v>
      </c>
      <c r="J285" t="str">
        <f>_xlfn.XLOOKUP(C285, Stores!$A$2:$A$7, Stores!$D$2:$D$7)</f>
        <v>Sydney South</v>
      </c>
      <c r="K285">
        <f t="shared" si="8"/>
        <v>179</v>
      </c>
      <c r="L285">
        <f t="shared" si="9"/>
        <v>84</v>
      </c>
    </row>
    <row r="286" spans="1:12">
      <c r="A286" t="s">
        <v>325</v>
      </c>
      <c r="B286" s="2">
        <v>46246</v>
      </c>
      <c r="C286" t="s">
        <v>51</v>
      </c>
      <c r="D286" t="s">
        <v>20</v>
      </c>
      <c r="E286">
        <v>1</v>
      </c>
      <c r="F286" t="str">
        <f>_xlfn.XLOOKUP(D286, Products!$A$2:$A$21, Products!$B$2:$B$21, "Not Found")</f>
        <v>Bluetooth Speaker</v>
      </c>
      <c r="G286" t="str">
        <f>_xlfn.XLOOKUP(D286, Products!$A$2:$A$21, Products!$C$2:$C$21)</f>
        <v>Audio</v>
      </c>
      <c r="H286">
        <f>_xlfn.XLOOKUP(D286, Products!$A$2:$A$21, Products!$E$2:$E$21, 0)</f>
        <v>179</v>
      </c>
      <c r="I286">
        <f>_xlfn.XLOOKUP(D286, Products!$A$2:$A$21, Products!$F$2:$F$21,0)</f>
        <v>95</v>
      </c>
      <c r="J286" t="str">
        <f>_xlfn.XLOOKUP(C286, Stores!$A$2:$A$7, Stores!$D$2:$D$7)</f>
        <v>Sydney South</v>
      </c>
      <c r="K286">
        <f t="shared" si="8"/>
        <v>179</v>
      </c>
      <c r="L286">
        <f t="shared" si="9"/>
        <v>84</v>
      </c>
    </row>
    <row r="287" spans="1:12">
      <c r="A287" t="s">
        <v>326</v>
      </c>
      <c r="B287" s="2">
        <v>46246</v>
      </c>
      <c r="C287" t="s">
        <v>16</v>
      </c>
      <c r="D287" t="s">
        <v>63</v>
      </c>
      <c r="E287">
        <v>1</v>
      </c>
      <c r="F287" t="str">
        <f>_xlfn.XLOOKUP(D287, Products!$A$2:$A$21, Products!$B$2:$B$21, "Not Found")</f>
        <v>27in Monitor</v>
      </c>
      <c r="G287" t="str">
        <f>_xlfn.XLOOKUP(D287, Products!$A$2:$A$21, Products!$C$2:$C$21)</f>
        <v>Computers</v>
      </c>
      <c r="H287">
        <f>_xlfn.XLOOKUP(D287, Products!$A$2:$A$21, Products!$E$2:$E$21, 0)</f>
        <v>399</v>
      </c>
      <c r="I287">
        <f>_xlfn.XLOOKUP(D287, Products!$A$2:$A$21, Products!$F$2:$F$21,0)</f>
        <v>290</v>
      </c>
      <c r="J287" t="str">
        <f>_xlfn.XLOOKUP(C287, Stores!$A$2:$A$7, Stores!$D$2:$D$7)</f>
        <v>Sydney East</v>
      </c>
      <c r="K287">
        <f t="shared" si="8"/>
        <v>399</v>
      </c>
      <c r="L287">
        <f t="shared" si="9"/>
        <v>109</v>
      </c>
    </row>
    <row r="288" spans="1:12">
      <c r="A288" t="s">
        <v>327</v>
      </c>
      <c r="B288" s="2">
        <v>46246</v>
      </c>
      <c r="C288" t="s">
        <v>25</v>
      </c>
      <c r="D288" t="s">
        <v>17</v>
      </c>
      <c r="E288">
        <v>1</v>
      </c>
      <c r="F288" t="str">
        <f>_xlfn.XLOOKUP(D288, Products!$A$2:$A$21, Products!$B$2:$B$21, "Not Found")</f>
        <v>Wireless Earbuds</v>
      </c>
      <c r="G288" t="str">
        <f>_xlfn.XLOOKUP(D288, Products!$A$2:$A$21, Products!$C$2:$C$21)</f>
        <v>Audio</v>
      </c>
      <c r="H288">
        <f>_xlfn.XLOOKUP(D288, Products!$A$2:$A$21, Products!$E$2:$E$21, 0)</f>
        <v>249</v>
      </c>
      <c r="I288">
        <f>_xlfn.XLOOKUP(D288, Products!$A$2:$A$21, Products!$F$2:$F$21,0)</f>
        <v>140</v>
      </c>
      <c r="J288" t="str">
        <f>_xlfn.XLOOKUP(C288, Stores!$A$2:$A$7, Stores!$D$2:$D$7)</f>
        <v>Sydney South</v>
      </c>
      <c r="K288">
        <f t="shared" si="8"/>
        <v>249</v>
      </c>
      <c r="L288">
        <f t="shared" si="9"/>
        <v>109</v>
      </c>
    </row>
    <row r="289" spans="1:12">
      <c r="A289" t="s">
        <v>328</v>
      </c>
      <c r="B289" s="2">
        <v>46246</v>
      </c>
      <c r="C289" t="s">
        <v>22</v>
      </c>
      <c r="D289" t="s">
        <v>17</v>
      </c>
      <c r="E289">
        <v>1</v>
      </c>
      <c r="F289" t="str">
        <f>_xlfn.XLOOKUP(D289, Products!$A$2:$A$21, Products!$B$2:$B$21, "Not Found")</f>
        <v>Wireless Earbuds</v>
      </c>
      <c r="G289" t="str">
        <f>_xlfn.XLOOKUP(D289, Products!$A$2:$A$21, Products!$C$2:$C$21)</f>
        <v>Audio</v>
      </c>
      <c r="H289">
        <f>_xlfn.XLOOKUP(D289, Products!$A$2:$A$21, Products!$E$2:$E$21, 0)</f>
        <v>249</v>
      </c>
      <c r="I289">
        <f>_xlfn.XLOOKUP(D289, Products!$A$2:$A$21, Products!$F$2:$F$21,0)</f>
        <v>140</v>
      </c>
      <c r="J289" t="str">
        <f>_xlfn.XLOOKUP(C289, Stores!$A$2:$A$7, Stores!$D$2:$D$7)</f>
        <v>Sydney West</v>
      </c>
      <c r="K289">
        <f t="shared" si="8"/>
        <v>249</v>
      </c>
      <c r="L289">
        <f t="shared" si="9"/>
        <v>109</v>
      </c>
    </row>
    <row r="290" spans="1:12">
      <c r="A290" t="s">
        <v>329</v>
      </c>
      <c r="B290" s="2">
        <v>46247</v>
      </c>
      <c r="C290" t="s">
        <v>22</v>
      </c>
      <c r="D290" t="s">
        <v>32</v>
      </c>
      <c r="E290">
        <v>2</v>
      </c>
      <c r="F290" t="str">
        <f>_xlfn.XLOOKUP(D290, Products!$A$2:$A$21, Products!$B$2:$B$21, "Not Found")</f>
        <v>USB-C Charger</v>
      </c>
      <c r="G290" t="str">
        <f>_xlfn.XLOOKUP(D290, Products!$A$2:$A$21, Products!$C$2:$C$21)</f>
        <v>Accessories</v>
      </c>
      <c r="H290">
        <f>_xlfn.XLOOKUP(D290, Products!$A$2:$A$21, Products!$E$2:$E$21, 0)</f>
        <v>49</v>
      </c>
      <c r="I290">
        <f>_xlfn.XLOOKUP(D290, Products!$A$2:$A$21, Products!$F$2:$F$21,0)</f>
        <v>14</v>
      </c>
      <c r="J290" t="str">
        <f>_xlfn.XLOOKUP(C290, Stores!$A$2:$A$7, Stores!$D$2:$D$7)</f>
        <v>Sydney West</v>
      </c>
      <c r="K290">
        <f t="shared" si="8"/>
        <v>98</v>
      </c>
      <c r="L290">
        <f t="shared" si="9"/>
        <v>70</v>
      </c>
    </row>
    <row r="291" spans="1:12">
      <c r="A291" t="s">
        <v>330</v>
      </c>
      <c r="B291" s="2">
        <v>46247</v>
      </c>
      <c r="C291" t="s">
        <v>22</v>
      </c>
      <c r="D291" t="s">
        <v>14</v>
      </c>
      <c r="E291">
        <v>1</v>
      </c>
      <c r="F291" t="str">
        <f>_xlfn.XLOOKUP(D291, Products!$A$2:$A$21, Products!$B$2:$B$21, "Not Found")</f>
        <v>Gaming Mouse</v>
      </c>
      <c r="G291" t="str">
        <f>_xlfn.XLOOKUP(D291, Products!$A$2:$A$21, Products!$C$2:$C$21)</f>
        <v>Accessories</v>
      </c>
      <c r="H291">
        <f>_xlfn.XLOOKUP(D291, Products!$A$2:$A$21, Products!$E$2:$E$21, 0)</f>
        <v>89</v>
      </c>
      <c r="I291">
        <f>_xlfn.XLOOKUP(D291, Products!$A$2:$A$21, Products!$F$2:$F$21,0)</f>
        <v>41</v>
      </c>
      <c r="J291" t="str">
        <f>_xlfn.XLOOKUP(C291, Stores!$A$2:$A$7, Stores!$D$2:$D$7)</f>
        <v>Sydney West</v>
      </c>
      <c r="K291">
        <f t="shared" si="8"/>
        <v>89</v>
      </c>
      <c r="L291">
        <f t="shared" si="9"/>
        <v>48</v>
      </c>
    </row>
    <row r="292" spans="1:12">
      <c r="A292" t="s">
        <v>331</v>
      </c>
      <c r="B292" s="2">
        <v>46247</v>
      </c>
      <c r="C292" t="s">
        <v>19</v>
      </c>
      <c r="D292" t="s">
        <v>14</v>
      </c>
      <c r="E292">
        <v>1</v>
      </c>
      <c r="F292" t="str">
        <f>_xlfn.XLOOKUP(D292, Products!$A$2:$A$21, Products!$B$2:$B$21, "Not Found")</f>
        <v>Gaming Mouse</v>
      </c>
      <c r="G292" t="str">
        <f>_xlfn.XLOOKUP(D292, Products!$A$2:$A$21, Products!$C$2:$C$21)</f>
        <v>Accessories</v>
      </c>
      <c r="H292">
        <f>_xlfn.XLOOKUP(D292, Products!$A$2:$A$21, Products!$E$2:$E$21, 0)</f>
        <v>89</v>
      </c>
      <c r="I292">
        <f>_xlfn.XLOOKUP(D292, Products!$A$2:$A$21, Products!$F$2:$F$21,0)</f>
        <v>41</v>
      </c>
      <c r="J292" t="str">
        <f>_xlfn.XLOOKUP(C292, Stores!$A$2:$A$7, Stores!$D$2:$D$7)</f>
        <v>Sydney North</v>
      </c>
      <c r="K292">
        <f t="shared" si="8"/>
        <v>89</v>
      </c>
      <c r="L292">
        <f t="shared" si="9"/>
        <v>48</v>
      </c>
    </row>
    <row r="293" spans="1:12">
      <c r="A293" t="s">
        <v>332</v>
      </c>
      <c r="B293" s="2">
        <v>46247</v>
      </c>
      <c r="C293" t="s">
        <v>16</v>
      </c>
      <c r="D293" t="s">
        <v>37</v>
      </c>
      <c r="E293">
        <v>1</v>
      </c>
      <c r="F293" t="str">
        <f>_xlfn.XLOOKUP(D293, Products!$A$2:$A$21, Products!$B$2:$B$21, "Not Found")</f>
        <v>Console Controller</v>
      </c>
      <c r="G293" t="str">
        <f>_xlfn.XLOOKUP(D293, Products!$A$2:$A$21, Products!$C$2:$C$21)</f>
        <v>Gaming</v>
      </c>
      <c r="H293">
        <f>_xlfn.XLOOKUP(D293, Products!$A$2:$A$21, Products!$E$2:$E$21, 0)</f>
        <v>99</v>
      </c>
      <c r="I293">
        <f>_xlfn.XLOOKUP(D293, Products!$A$2:$A$21, Products!$F$2:$F$21,0)</f>
        <v>58</v>
      </c>
      <c r="J293" t="str">
        <f>_xlfn.XLOOKUP(C293, Stores!$A$2:$A$7, Stores!$D$2:$D$7)</f>
        <v>Sydney East</v>
      </c>
      <c r="K293">
        <f t="shared" si="8"/>
        <v>99</v>
      </c>
      <c r="L293">
        <f t="shared" si="9"/>
        <v>41</v>
      </c>
    </row>
    <row r="294" spans="1:12">
      <c r="A294" t="s">
        <v>333</v>
      </c>
      <c r="B294" s="2">
        <v>46248</v>
      </c>
      <c r="C294" t="s">
        <v>25</v>
      </c>
      <c r="D294" t="s">
        <v>29</v>
      </c>
      <c r="E294">
        <v>2</v>
      </c>
      <c r="F294" t="str">
        <f>_xlfn.XLOOKUP(D294, Products!$A$2:$A$21, Products!$B$2:$B$21, "Not Found")</f>
        <v>Phone Case</v>
      </c>
      <c r="G294" t="str">
        <f>_xlfn.XLOOKUP(D294, Products!$A$2:$A$21, Products!$C$2:$C$21)</f>
        <v>Accessories</v>
      </c>
      <c r="H294">
        <f>_xlfn.XLOOKUP(D294, Products!$A$2:$A$21, Products!$E$2:$E$21, 0)</f>
        <v>39</v>
      </c>
      <c r="I294">
        <f>_xlfn.XLOOKUP(D294, Products!$A$2:$A$21, Products!$F$2:$F$21,0)</f>
        <v>9</v>
      </c>
      <c r="J294" t="str">
        <f>_xlfn.XLOOKUP(C294, Stores!$A$2:$A$7, Stores!$D$2:$D$7)</f>
        <v>Sydney South</v>
      </c>
      <c r="K294">
        <f t="shared" si="8"/>
        <v>78</v>
      </c>
      <c r="L294">
        <f t="shared" si="9"/>
        <v>60</v>
      </c>
    </row>
    <row r="295" spans="1:12">
      <c r="A295" t="s">
        <v>334</v>
      </c>
      <c r="B295" s="2">
        <v>46248</v>
      </c>
      <c r="C295" t="s">
        <v>16</v>
      </c>
      <c r="D295" t="s">
        <v>224</v>
      </c>
      <c r="E295">
        <v>1</v>
      </c>
      <c r="F295" t="str">
        <f>_xlfn.XLOOKUP(D295, Products!$A$2:$A$21, Products!$B$2:$B$21, "Not Found")</f>
        <v>Not Found</v>
      </c>
      <c r="G295" t="e">
        <f>_xlfn.XLOOKUP(D295, Products!$A$2:$A$21, Products!$C$2:$C$21)</f>
        <v>#N/A</v>
      </c>
      <c r="H295">
        <f>_xlfn.XLOOKUP(D295, Products!$A$2:$A$21, Products!$E$2:$E$21, 0)</f>
        <v>0</v>
      </c>
      <c r="I295">
        <f>_xlfn.XLOOKUP(D295, Products!$A$2:$A$21, Products!$F$2:$F$21,0)</f>
        <v>0</v>
      </c>
      <c r="J295" t="str">
        <f>_xlfn.XLOOKUP(C295, Stores!$A$2:$A$7, Stores!$D$2:$D$7)</f>
        <v>Sydney East</v>
      </c>
      <c r="K295">
        <f t="shared" si="8"/>
        <v>0</v>
      </c>
      <c r="L295">
        <f t="shared" si="9"/>
        <v>0</v>
      </c>
    </row>
    <row r="296" spans="1:12">
      <c r="A296" t="s">
        <v>335</v>
      </c>
      <c r="B296" s="2">
        <v>46248</v>
      </c>
      <c r="C296" t="s">
        <v>25</v>
      </c>
      <c r="D296" t="s">
        <v>20</v>
      </c>
      <c r="E296">
        <v>1</v>
      </c>
      <c r="F296" t="str">
        <f>_xlfn.XLOOKUP(D296, Products!$A$2:$A$21, Products!$B$2:$B$21, "Not Found")</f>
        <v>Bluetooth Speaker</v>
      </c>
      <c r="G296" t="str">
        <f>_xlfn.XLOOKUP(D296, Products!$A$2:$A$21, Products!$C$2:$C$21)</f>
        <v>Audio</v>
      </c>
      <c r="H296">
        <f>_xlfn.XLOOKUP(D296, Products!$A$2:$A$21, Products!$E$2:$E$21, 0)</f>
        <v>179</v>
      </c>
      <c r="I296">
        <f>_xlfn.XLOOKUP(D296, Products!$A$2:$A$21, Products!$F$2:$F$21,0)</f>
        <v>95</v>
      </c>
      <c r="J296" t="str">
        <f>_xlfn.XLOOKUP(C296, Stores!$A$2:$A$7, Stores!$D$2:$D$7)</f>
        <v>Sydney South</v>
      </c>
      <c r="K296">
        <f t="shared" si="8"/>
        <v>179</v>
      </c>
      <c r="L296">
        <f t="shared" si="9"/>
        <v>84</v>
      </c>
    </row>
    <row r="297" spans="1:12">
      <c r="A297" t="s">
        <v>336</v>
      </c>
      <c r="B297" s="2">
        <v>46248</v>
      </c>
      <c r="C297" t="s">
        <v>16</v>
      </c>
      <c r="D297" t="s">
        <v>52</v>
      </c>
      <c r="E297">
        <v>1</v>
      </c>
      <c r="F297" t="str">
        <f>_xlfn.XLOOKUP(D297, Products!$A$2:$A$21, Products!$B$2:$B$21, "Not Found")</f>
        <v>Mech Keyboard</v>
      </c>
      <c r="G297" t="str">
        <f>_xlfn.XLOOKUP(D297, Products!$A$2:$A$21, Products!$C$2:$C$21)</f>
        <v>Accessories</v>
      </c>
      <c r="H297">
        <f>_xlfn.XLOOKUP(D297, Products!$A$2:$A$21, Products!$E$2:$E$21, 0)</f>
        <v>149</v>
      </c>
      <c r="I297">
        <f>_xlfn.XLOOKUP(D297, Products!$A$2:$A$21, Products!$F$2:$F$21,0)</f>
        <v>72</v>
      </c>
      <c r="J297" t="str">
        <f>_xlfn.XLOOKUP(C297, Stores!$A$2:$A$7, Stores!$D$2:$D$7)</f>
        <v>Sydney East</v>
      </c>
      <c r="K297">
        <f t="shared" si="8"/>
        <v>149</v>
      </c>
      <c r="L297">
        <f t="shared" si="9"/>
        <v>77</v>
      </c>
    </row>
    <row r="298" spans="1:12">
      <c r="A298" t="s">
        <v>337</v>
      </c>
      <c r="B298" s="2">
        <v>46250</v>
      </c>
      <c r="C298" t="s">
        <v>51</v>
      </c>
      <c r="D298" t="s">
        <v>14</v>
      </c>
      <c r="E298">
        <v>1</v>
      </c>
      <c r="F298" t="str">
        <f>_xlfn.XLOOKUP(D298, Products!$A$2:$A$21, Products!$B$2:$B$21, "Not Found")</f>
        <v>Gaming Mouse</v>
      </c>
      <c r="G298" t="str">
        <f>_xlfn.XLOOKUP(D298, Products!$A$2:$A$21, Products!$C$2:$C$21)</f>
        <v>Accessories</v>
      </c>
      <c r="H298">
        <f>_xlfn.XLOOKUP(D298, Products!$A$2:$A$21, Products!$E$2:$E$21, 0)</f>
        <v>89</v>
      </c>
      <c r="I298">
        <f>_xlfn.XLOOKUP(D298, Products!$A$2:$A$21, Products!$F$2:$F$21,0)</f>
        <v>41</v>
      </c>
      <c r="J298" t="str">
        <f>_xlfn.XLOOKUP(C298, Stores!$A$2:$A$7, Stores!$D$2:$D$7)</f>
        <v>Sydney South</v>
      </c>
      <c r="K298">
        <f t="shared" si="8"/>
        <v>89</v>
      </c>
      <c r="L298">
        <f t="shared" si="9"/>
        <v>48</v>
      </c>
    </row>
    <row r="299" spans="1:12">
      <c r="A299" t="s">
        <v>338</v>
      </c>
      <c r="B299" s="2">
        <v>46250</v>
      </c>
      <c r="C299" t="s">
        <v>13</v>
      </c>
      <c r="D299" t="s">
        <v>44</v>
      </c>
      <c r="E299">
        <v>1</v>
      </c>
      <c r="F299" t="str">
        <f>_xlfn.XLOOKUP(D299, Products!$A$2:$A$21, Products!$B$2:$B$21, "Not Found")</f>
        <v>Smartphone 128GB</v>
      </c>
      <c r="G299" t="str">
        <f>_xlfn.XLOOKUP(D299, Products!$A$2:$A$21, Products!$C$2:$C$21)</f>
        <v>Phones</v>
      </c>
      <c r="H299">
        <f>_xlfn.XLOOKUP(D299, Products!$A$2:$A$21, Products!$E$2:$E$21, 0)</f>
        <v>1099</v>
      </c>
      <c r="I299">
        <f>_xlfn.XLOOKUP(D299, Products!$A$2:$A$21, Products!$F$2:$F$21,0)</f>
        <v>860</v>
      </c>
      <c r="J299" t="str">
        <f>_xlfn.XLOOKUP(C299, Stores!$A$2:$A$7, Stores!$D$2:$D$7)</f>
        <v>Sydney West</v>
      </c>
      <c r="K299">
        <f t="shared" si="8"/>
        <v>1099</v>
      </c>
      <c r="L299">
        <f t="shared" si="9"/>
        <v>239</v>
      </c>
    </row>
    <row r="300" spans="1:12">
      <c r="A300" t="s">
        <v>339</v>
      </c>
      <c r="B300" s="2">
        <v>46250</v>
      </c>
      <c r="C300" t="s">
        <v>19</v>
      </c>
      <c r="D300" t="s">
        <v>23</v>
      </c>
      <c r="E300">
        <v>1</v>
      </c>
      <c r="F300" t="str">
        <f>_xlfn.XLOOKUP(D300, Products!$A$2:$A$21, Products!$B$2:$B$21, "Not Found")</f>
        <v>Video Game</v>
      </c>
      <c r="G300" t="str">
        <f>_xlfn.XLOOKUP(D300, Products!$A$2:$A$21, Products!$C$2:$C$21)</f>
        <v>Gaming</v>
      </c>
      <c r="H300">
        <f>_xlfn.XLOOKUP(D300, Products!$A$2:$A$21, Products!$E$2:$E$21, 0)</f>
        <v>79</v>
      </c>
      <c r="I300">
        <f>_xlfn.XLOOKUP(D300, Products!$A$2:$A$21, Products!$F$2:$F$21,0)</f>
        <v>52</v>
      </c>
      <c r="J300" t="str">
        <f>_xlfn.XLOOKUP(C300, Stores!$A$2:$A$7, Stores!$D$2:$D$7)</f>
        <v>Sydney North</v>
      </c>
      <c r="K300">
        <f t="shared" si="8"/>
        <v>79</v>
      </c>
      <c r="L300">
        <f t="shared" si="9"/>
        <v>27</v>
      </c>
    </row>
    <row r="301" spans="1:12">
      <c r="A301" t="s">
        <v>340</v>
      </c>
      <c r="B301" s="2">
        <v>46250</v>
      </c>
      <c r="C301" t="s">
        <v>22</v>
      </c>
      <c r="D301" t="s">
        <v>165</v>
      </c>
      <c r="E301">
        <v>1</v>
      </c>
      <c r="F301" t="str">
        <f>_xlfn.XLOOKUP(D301, Products!$A$2:$A$21, Products!$B$2:$B$21, "Not Found")</f>
        <v>Smartwatch</v>
      </c>
      <c r="G301" t="str">
        <f>_xlfn.XLOOKUP(D301, Products!$A$2:$A$21, Products!$C$2:$C$21)</f>
        <v>Phones</v>
      </c>
      <c r="H301">
        <f>_xlfn.XLOOKUP(D301, Products!$A$2:$A$21, Products!$E$2:$E$21, 0)</f>
        <v>649</v>
      </c>
      <c r="I301">
        <f>_xlfn.XLOOKUP(D301, Products!$A$2:$A$21, Products!$F$2:$F$21,0)</f>
        <v>480</v>
      </c>
      <c r="J301" t="str">
        <f>_xlfn.XLOOKUP(C301, Stores!$A$2:$A$7, Stores!$D$2:$D$7)</f>
        <v>Sydney West</v>
      </c>
      <c r="K301">
        <f t="shared" si="8"/>
        <v>649</v>
      </c>
      <c r="L301">
        <f t="shared" si="9"/>
        <v>169</v>
      </c>
    </row>
    <row r="302" spans="1:12">
      <c r="A302" t="s">
        <v>341</v>
      </c>
      <c r="B302" s="2">
        <v>46250</v>
      </c>
      <c r="C302" t="s">
        <v>22</v>
      </c>
      <c r="D302" t="s">
        <v>100</v>
      </c>
      <c r="E302">
        <v>2</v>
      </c>
      <c r="F302" t="str">
        <f>_xlfn.XLOOKUP(D302, Products!$A$2:$A$21, Products!$B$2:$B$21, "Not Found")</f>
        <v>Laptop 14in</v>
      </c>
      <c r="G302" t="str">
        <f>_xlfn.XLOOKUP(D302, Products!$A$2:$A$21, Products!$C$2:$C$21)</f>
        <v>Computers</v>
      </c>
      <c r="H302">
        <f>_xlfn.XLOOKUP(D302, Products!$A$2:$A$21, Products!$E$2:$E$21, 0)</f>
        <v>1199</v>
      </c>
      <c r="I302">
        <f>_xlfn.XLOOKUP(D302, Products!$A$2:$A$21, Products!$F$2:$F$21,0)</f>
        <v>930</v>
      </c>
      <c r="J302" t="str">
        <f>_xlfn.XLOOKUP(C302, Stores!$A$2:$A$7, Stores!$D$2:$D$7)</f>
        <v>Sydney West</v>
      </c>
      <c r="K302">
        <f t="shared" si="8"/>
        <v>2398</v>
      </c>
      <c r="L302">
        <f t="shared" si="9"/>
        <v>538</v>
      </c>
    </row>
    <row r="303" spans="1:12">
      <c r="A303" t="s">
        <v>342</v>
      </c>
      <c r="B303" s="2">
        <v>46250</v>
      </c>
      <c r="C303" t="s">
        <v>51</v>
      </c>
      <c r="D303" t="s">
        <v>93</v>
      </c>
      <c r="E303">
        <v>1</v>
      </c>
      <c r="F303" t="str">
        <f>_xlfn.XLOOKUP(D303, Products!$A$2:$A$21, Products!$B$2:$B$21, "Not Found")</f>
        <v>Smartphone 256GB</v>
      </c>
      <c r="G303" t="str">
        <f>_xlfn.XLOOKUP(D303, Products!$A$2:$A$21, Products!$C$2:$C$21)</f>
        <v>Phones</v>
      </c>
      <c r="H303">
        <f>_xlfn.XLOOKUP(D303, Products!$A$2:$A$21, Products!$E$2:$E$21, 0)</f>
        <v>1499</v>
      </c>
      <c r="I303">
        <f>_xlfn.XLOOKUP(D303, Products!$A$2:$A$21, Products!$F$2:$F$21,0)</f>
        <v>1180</v>
      </c>
      <c r="J303" t="str">
        <f>_xlfn.XLOOKUP(C303, Stores!$A$2:$A$7, Stores!$D$2:$D$7)</f>
        <v>Sydney South</v>
      </c>
      <c r="K303">
        <f t="shared" si="8"/>
        <v>1499</v>
      </c>
      <c r="L303">
        <f t="shared" si="9"/>
        <v>319</v>
      </c>
    </row>
    <row r="304" spans="1:12">
      <c r="A304" t="s">
        <v>343</v>
      </c>
      <c r="B304" s="2">
        <v>46251</v>
      </c>
      <c r="C304" t="s">
        <v>13</v>
      </c>
      <c r="D304" t="s">
        <v>44</v>
      </c>
      <c r="E304">
        <v>1</v>
      </c>
      <c r="F304" t="str">
        <f>_xlfn.XLOOKUP(D304, Products!$A$2:$A$21, Products!$B$2:$B$21, "Not Found")</f>
        <v>Smartphone 128GB</v>
      </c>
      <c r="G304" t="str">
        <f>_xlfn.XLOOKUP(D304, Products!$A$2:$A$21, Products!$C$2:$C$21)</f>
        <v>Phones</v>
      </c>
      <c r="H304">
        <f>_xlfn.XLOOKUP(D304, Products!$A$2:$A$21, Products!$E$2:$E$21, 0)</f>
        <v>1099</v>
      </c>
      <c r="I304">
        <f>_xlfn.XLOOKUP(D304, Products!$A$2:$A$21, Products!$F$2:$F$21,0)</f>
        <v>860</v>
      </c>
      <c r="J304" t="str">
        <f>_xlfn.XLOOKUP(C304, Stores!$A$2:$A$7, Stores!$D$2:$D$7)</f>
        <v>Sydney West</v>
      </c>
      <c r="K304">
        <f t="shared" si="8"/>
        <v>1099</v>
      </c>
      <c r="L304">
        <f t="shared" si="9"/>
        <v>239</v>
      </c>
    </row>
    <row r="305" spans="1:12">
      <c r="A305" t="s">
        <v>344</v>
      </c>
      <c r="B305" s="2">
        <v>46251</v>
      </c>
      <c r="C305" t="s">
        <v>51</v>
      </c>
      <c r="D305" t="s">
        <v>14</v>
      </c>
      <c r="E305">
        <v>1</v>
      </c>
      <c r="F305" t="str">
        <f>_xlfn.XLOOKUP(D305, Products!$A$2:$A$21, Products!$B$2:$B$21, "Not Found")</f>
        <v>Gaming Mouse</v>
      </c>
      <c r="G305" t="str">
        <f>_xlfn.XLOOKUP(D305, Products!$A$2:$A$21, Products!$C$2:$C$21)</f>
        <v>Accessories</v>
      </c>
      <c r="H305">
        <f>_xlfn.XLOOKUP(D305, Products!$A$2:$A$21, Products!$E$2:$E$21, 0)</f>
        <v>89</v>
      </c>
      <c r="I305">
        <f>_xlfn.XLOOKUP(D305, Products!$A$2:$A$21, Products!$F$2:$F$21,0)</f>
        <v>41</v>
      </c>
      <c r="J305" t="str">
        <f>_xlfn.XLOOKUP(C305, Stores!$A$2:$A$7, Stores!$D$2:$D$7)</f>
        <v>Sydney South</v>
      </c>
      <c r="K305">
        <f t="shared" si="8"/>
        <v>89</v>
      </c>
      <c r="L305">
        <f t="shared" si="9"/>
        <v>48</v>
      </c>
    </row>
    <row r="306" spans="1:12">
      <c r="A306" t="s">
        <v>345</v>
      </c>
      <c r="B306" s="2">
        <v>46251</v>
      </c>
      <c r="C306" t="s">
        <v>51</v>
      </c>
      <c r="D306" t="s">
        <v>32</v>
      </c>
      <c r="E306">
        <v>1</v>
      </c>
      <c r="F306" t="str">
        <f>_xlfn.XLOOKUP(D306, Products!$A$2:$A$21, Products!$B$2:$B$21, "Not Found")</f>
        <v>USB-C Charger</v>
      </c>
      <c r="G306" t="str">
        <f>_xlfn.XLOOKUP(D306, Products!$A$2:$A$21, Products!$C$2:$C$21)</f>
        <v>Accessories</v>
      </c>
      <c r="H306">
        <f>_xlfn.XLOOKUP(D306, Products!$A$2:$A$21, Products!$E$2:$E$21, 0)</f>
        <v>49</v>
      </c>
      <c r="I306">
        <f>_xlfn.XLOOKUP(D306, Products!$A$2:$A$21, Products!$F$2:$F$21,0)</f>
        <v>14</v>
      </c>
      <c r="J306" t="str">
        <f>_xlfn.XLOOKUP(C306, Stores!$A$2:$A$7, Stores!$D$2:$D$7)</f>
        <v>Sydney South</v>
      </c>
      <c r="K306">
        <f t="shared" si="8"/>
        <v>49</v>
      </c>
      <c r="L306">
        <f t="shared" si="9"/>
        <v>35</v>
      </c>
    </row>
    <row r="307" spans="1:12">
      <c r="A307" t="s">
        <v>346</v>
      </c>
      <c r="B307" s="2">
        <v>46252</v>
      </c>
      <c r="C307" t="s">
        <v>13</v>
      </c>
      <c r="D307" t="s">
        <v>74</v>
      </c>
      <c r="E307">
        <v>1</v>
      </c>
      <c r="F307" t="str">
        <f>_xlfn.XLOOKUP(D307, Products!$A$2:$A$21, Products!$B$2:$B$21, "Not Found")</f>
        <v>Over-Ear Headphones</v>
      </c>
      <c r="G307" t="str">
        <f>_xlfn.XLOOKUP(D307, Products!$A$2:$A$21, Products!$C$2:$C$21)</f>
        <v>Audio</v>
      </c>
      <c r="H307">
        <f>_xlfn.XLOOKUP(D307, Products!$A$2:$A$21, Products!$E$2:$E$21, 0)</f>
        <v>499</v>
      </c>
      <c r="I307">
        <f>_xlfn.XLOOKUP(D307, Products!$A$2:$A$21, Products!$F$2:$F$21,0)</f>
        <v>310</v>
      </c>
      <c r="J307" t="str">
        <f>_xlfn.XLOOKUP(C307, Stores!$A$2:$A$7, Stores!$D$2:$D$7)</f>
        <v>Sydney West</v>
      </c>
      <c r="K307">
        <f t="shared" si="8"/>
        <v>499</v>
      </c>
      <c r="L307">
        <f t="shared" si="9"/>
        <v>189</v>
      </c>
    </row>
    <row r="308" spans="1:12">
      <c r="A308" t="s">
        <v>347</v>
      </c>
      <c r="B308" s="2">
        <v>46252</v>
      </c>
      <c r="C308" t="s">
        <v>51</v>
      </c>
      <c r="D308" t="s">
        <v>52</v>
      </c>
      <c r="E308">
        <v>1</v>
      </c>
      <c r="F308" t="str">
        <f>_xlfn.XLOOKUP(D308, Products!$A$2:$A$21, Products!$B$2:$B$21, "Not Found")</f>
        <v>Mech Keyboard</v>
      </c>
      <c r="G308" t="str">
        <f>_xlfn.XLOOKUP(D308, Products!$A$2:$A$21, Products!$C$2:$C$21)</f>
        <v>Accessories</v>
      </c>
      <c r="H308">
        <f>_xlfn.XLOOKUP(D308, Products!$A$2:$A$21, Products!$E$2:$E$21, 0)</f>
        <v>149</v>
      </c>
      <c r="I308">
        <f>_xlfn.XLOOKUP(D308, Products!$A$2:$A$21, Products!$F$2:$F$21,0)</f>
        <v>72</v>
      </c>
      <c r="J308" t="str">
        <f>_xlfn.XLOOKUP(C308, Stores!$A$2:$A$7, Stores!$D$2:$D$7)</f>
        <v>Sydney South</v>
      </c>
      <c r="K308">
        <f t="shared" si="8"/>
        <v>149</v>
      </c>
      <c r="L308">
        <f t="shared" si="9"/>
        <v>77</v>
      </c>
    </row>
    <row r="309" spans="1:12">
      <c r="A309" t="s">
        <v>348</v>
      </c>
      <c r="B309" s="2">
        <v>46252</v>
      </c>
      <c r="C309" t="s">
        <v>25</v>
      </c>
      <c r="D309" t="s">
        <v>17</v>
      </c>
      <c r="E309">
        <v>1</v>
      </c>
      <c r="F309" t="str">
        <f>_xlfn.XLOOKUP(D309, Products!$A$2:$A$21, Products!$B$2:$B$21, "Not Found")</f>
        <v>Wireless Earbuds</v>
      </c>
      <c r="G309" t="str">
        <f>_xlfn.XLOOKUP(D309, Products!$A$2:$A$21, Products!$C$2:$C$21)</f>
        <v>Audio</v>
      </c>
      <c r="H309">
        <f>_xlfn.XLOOKUP(D309, Products!$A$2:$A$21, Products!$E$2:$E$21, 0)</f>
        <v>249</v>
      </c>
      <c r="I309">
        <f>_xlfn.XLOOKUP(D309, Products!$A$2:$A$21, Products!$F$2:$F$21,0)</f>
        <v>140</v>
      </c>
      <c r="J309" t="str">
        <f>_xlfn.XLOOKUP(C309, Stores!$A$2:$A$7, Stores!$D$2:$D$7)</f>
        <v>Sydney South</v>
      </c>
      <c r="K309">
        <f t="shared" si="8"/>
        <v>249</v>
      </c>
      <c r="L309">
        <f t="shared" si="9"/>
        <v>109</v>
      </c>
    </row>
    <row r="310" spans="1:12">
      <c r="A310" t="s">
        <v>349</v>
      </c>
      <c r="B310" s="2">
        <v>46252</v>
      </c>
      <c r="C310" t="s">
        <v>16</v>
      </c>
      <c r="D310" t="s">
        <v>20</v>
      </c>
      <c r="E310">
        <v>1</v>
      </c>
      <c r="F310" t="str">
        <f>_xlfn.XLOOKUP(D310, Products!$A$2:$A$21, Products!$B$2:$B$21, "Not Found")</f>
        <v>Bluetooth Speaker</v>
      </c>
      <c r="G310" t="str">
        <f>_xlfn.XLOOKUP(D310, Products!$A$2:$A$21, Products!$C$2:$C$21)</f>
        <v>Audio</v>
      </c>
      <c r="H310">
        <f>_xlfn.XLOOKUP(D310, Products!$A$2:$A$21, Products!$E$2:$E$21, 0)</f>
        <v>179</v>
      </c>
      <c r="I310">
        <f>_xlfn.XLOOKUP(D310, Products!$A$2:$A$21, Products!$F$2:$F$21,0)</f>
        <v>95</v>
      </c>
      <c r="J310" t="str">
        <f>_xlfn.XLOOKUP(C310, Stores!$A$2:$A$7, Stores!$D$2:$D$7)</f>
        <v>Sydney East</v>
      </c>
      <c r="K310">
        <f t="shared" si="8"/>
        <v>179</v>
      </c>
      <c r="L310">
        <f t="shared" si="9"/>
        <v>84</v>
      </c>
    </row>
    <row r="311" spans="1:12">
      <c r="A311" t="s">
        <v>350</v>
      </c>
      <c r="B311" s="2">
        <v>46252</v>
      </c>
      <c r="C311" t="s">
        <v>16</v>
      </c>
      <c r="D311" t="s">
        <v>61</v>
      </c>
      <c r="E311">
        <v>2</v>
      </c>
      <c r="F311" t="str">
        <f>_xlfn.XLOOKUP(D311, Products!$A$2:$A$21, Products!$B$2:$B$21, "Not Found")</f>
        <v>Soundbar</v>
      </c>
      <c r="G311" t="str">
        <f>_xlfn.XLOOKUP(D311, Products!$A$2:$A$21, Products!$C$2:$C$21)</f>
        <v>Audio</v>
      </c>
      <c r="H311">
        <f>_xlfn.XLOOKUP(D311, Products!$A$2:$A$21, Products!$E$2:$E$21, 0)</f>
        <v>699</v>
      </c>
      <c r="I311">
        <f>_xlfn.XLOOKUP(D311, Products!$A$2:$A$21, Products!$F$2:$F$21,0)</f>
        <v>450</v>
      </c>
      <c r="J311" t="str">
        <f>_xlfn.XLOOKUP(C311, Stores!$A$2:$A$7, Stores!$D$2:$D$7)</f>
        <v>Sydney East</v>
      </c>
      <c r="K311">
        <f t="shared" si="8"/>
        <v>1398</v>
      </c>
      <c r="L311">
        <f t="shared" si="9"/>
        <v>498</v>
      </c>
    </row>
    <row r="312" spans="1:12">
      <c r="A312" t="s">
        <v>351</v>
      </c>
      <c r="B312" s="2">
        <v>46252</v>
      </c>
      <c r="C312" t="s">
        <v>22</v>
      </c>
      <c r="D312" t="s">
        <v>14</v>
      </c>
      <c r="E312">
        <v>1</v>
      </c>
      <c r="F312" t="str">
        <f>_xlfn.XLOOKUP(D312, Products!$A$2:$A$21, Products!$B$2:$B$21, "Not Found")</f>
        <v>Gaming Mouse</v>
      </c>
      <c r="G312" t="str">
        <f>_xlfn.XLOOKUP(D312, Products!$A$2:$A$21, Products!$C$2:$C$21)</f>
        <v>Accessories</v>
      </c>
      <c r="H312">
        <f>_xlfn.XLOOKUP(D312, Products!$A$2:$A$21, Products!$E$2:$E$21, 0)</f>
        <v>89</v>
      </c>
      <c r="I312">
        <f>_xlfn.XLOOKUP(D312, Products!$A$2:$A$21, Products!$F$2:$F$21,0)</f>
        <v>41</v>
      </c>
      <c r="J312" t="str">
        <f>_xlfn.XLOOKUP(C312, Stores!$A$2:$A$7, Stores!$D$2:$D$7)</f>
        <v>Sydney West</v>
      </c>
      <c r="K312">
        <f t="shared" si="8"/>
        <v>89</v>
      </c>
      <c r="L312">
        <f t="shared" si="9"/>
        <v>48</v>
      </c>
    </row>
    <row r="313" spans="1:12">
      <c r="A313" t="s">
        <v>352</v>
      </c>
      <c r="B313" s="2">
        <v>46252</v>
      </c>
      <c r="C313" t="s">
        <v>13</v>
      </c>
      <c r="D313" t="s">
        <v>23</v>
      </c>
      <c r="E313">
        <v>1</v>
      </c>
      <c r="F313" t="str">
        <f>_xlfn.XLOOKUP(D313, Products!$A$2:$A$21, Products!$B$2:$B$21, "Not Found")</f>
        <v>Video Game</v>
      </c>
      <c r="G313" t="str">
        <f>_xlfn.XLOOKUP(D313, Products!$A$2:$A$21, Products!$C$2:$C$21)</f>
        <v>Gaming</v>
      </c>
      <c r="H313">
        <f>_xlfn.XLOOKUP(D313, Products!$A$2:$A$21, Products!$E$2:$E$21, 0)</f>
        <v>79</v>
      </c>
      <c r="I313">
        <f>_xlfn.XLOOKUP(D313, Products!$A$2:$A$21, Products!$F$2:$F$21,0)</f>
        <v>52</v>
      </c>
      <c r="J313" t="str">
        <f>_xlfn.XLOOKUP(C313, Stores!$A$2:$A$7, Stores!$D$2:$D$7)</f>
        <v>Sydney West</v>
      </c>
      <c r="K313">
        <f t="shared" si="8"/>
        <v>79</v>
      </c>
      <c r="L313">
        <f t="shared" si="9"/>
        <v>27</v>
      </c>
    </row>
    <row r="314" spans="1:12">
      <c r="A314" t="s">
        <v>353</v>
      </c>
      <c r="B314" s="2">
        <v>46252</v>
      </c>
      <c r="C314" t="s">
        <v>22</v>
      </c>
      <c r="D314" t="s">
        <v>165</v>
      </c>
      <c r="E314">
        <v>1</v>
      </c>
      <c r="F314" t="str">
        <f>_xlfn.XLOOKUP(D314, Products!$A$2:$A$21, Products!$B$2:$B$21, "Not Found")</f>
        <v>Smartwatch</v>
      </c>
      <c r="G314" t="str">
        <f>_xlfn.XLOOKUP(D314, Products!$A$2:$A$21, Products!$C$2:$C$21)</f>
        <v>Phones</v>
      </c>
      <c r="H314">
        <f>_xlfn.XLOOKUP(D314, Products!$A$2:$A$21, Products!$E$2:$E$21, 0)</f>
        <v>649</v>
      </c>
      <c r="I314">
        <f>_xlfn.XLOOKUP(D314, Products!$A$2:$A$21, Products!$F$2:$F$21,0)</f>
        <v>480</v>
      </c>
      <c r="J314" t="str">
        <f>_xlfn.XLOOKUP(C314, Stores!$A$2:$A$7, Stores!$D$2:$D$7)</f>
        <v>Sydney West</v>
      </c>
      <c r="K314">
        <f t="shared" si="8"/>
        <v>649</v>
      </c>
      <c r="L314">
        <f t="shared" si="9"/>
        <v>169</v>
      </c>
    </row>
    <row r="315" spans="1:12">
      <c r="A315" t="s">
        <v>354</v>
      </c>
      <c r="B315" s="2">
        <v>46252</v>
      </c>
      <c r="C315" t="s">
        <v>13</v>
      </c>
      <c r="D315" t="s">
        <v>124</v>
      </c>
      <c r="E315">
        <v>1</v>
      </c>
      <c r="F315" t="str">
        <f>_xlfn.XLOOKUP(D315, Products!$A$2:$A$21, Products!$B$2:$B$21, "Not Found")</f>
        <v>65in TV</v>
      </c>
      <c r="G315" t="str">
        <f>_xlfn.XLOOKUP(D315, Products!$A$2:$A$21, Products!$C$2:$C$21)</f>
        <v>TV</v>
      </c>
      <c r="H315">
        <f>_xlfn.XLOOKUP(D315, Products!$A$2:$A$21, Products!$E$2:$E$21, 0)</f>
        <v>1999</v>
      </c>
      <c r="I315">
        <f>_xlfn.XLOOKUP(D315, Products!$A$2:$A$21, Products!$F$2:$F$21,0)</f>
        <v>1520</v>
      </c>
      <c r="J315" t="str">
        <f>_xlfn.XLOOKUP(C315, Stores!$A$2:$A$7, Stores!$D$2:$D$7)</f>
        <v>Sydney West</v>
      </c>
      <c r="K315">
        <f t="shared" si="8"/>
        <v>1999</v>
      </c>
      <c r="L315">
        <f t="shared" si="9"/>
        <v>479</v>
      </c>
    </row>
    <row r="316" spans="1:12">
      <c r="A316" t="s">
        <v>355</v>
      </c>
      <c r="B316" s="2">
        <v>46253</v>
      </c>
      <c r="C316" t="s">
        <v>22</v>
      </c>
      <c r="D316" t="s">
        <v>32</v>
      </c>
      <c r="E316">
        <v>1</v>
      </c>
      <c r="F316" t="str">
        <f>_xlfn.XLOOKUP(D316, Products!$A$2:$A$21, Products!$B$2:$B$21, "Not Found")</f>
        <v>USB-C Charger</v>
      </c>
      <c r="G316" t="str">
        <f>_xlfn.XLOOKUP(D316, Products!$A$2:$A$21, Products!$C$2:$C$21)</f>
        <v>Accessories</v>
      </c>
      <c r="H316">
        <f>_xlfn.XLOOKUP(D316, Products!$A$2:$A$21, Products!$E$2:$E$21, 0)</f>
        <v>49</v>
      </c>
      <c r="I316">
        <f>_xlfn.XLOOKUP(D316, Products!$A$2:$A$21, Products!$F$2:$F$21,0)</f>
        <v>14</v>
      </c>
      <c r="J316" t="str">
        <f>_xlfn.XLOOKUP(C316, Stores!$A$2:$A$7, Stores!$D$2:$D$7)</f>
        <v>Sydney West</v>
      </c>
      <c r="K316">
        <f t="shared" si="8"/>
        <v>49</v>
      </c>
      <c r="L316">
        <f t="shared" si="9"/>
        <v>35</v>
      </c>
    </row>
    <row r="317" spans="1:12">
      <c r="A317" t="s">
        <v>356</v>
      </c>
      <c r="B317" s="2">
        <v>46253</v>
      </c>
      <c r="C317" t="s">
        <v>16</v>
      </c>
      <c r="D317" t="s">
        <v>20</v>
      </c>
      <c r="E317">
        <v>3</v>
      </c>
      <c r="F317" t="str">
        <f>_xlfn.XLOOKUP(D317, Products!$A$2:$A$21, Products!$B$2:$B$21, "Not Found")</f>
        <v>Bluetooth Speaker</v>
      </c>
      <c r="G317" t="str">
        <f>_xlfn.XLOOKUP(D317, Products!$A$2:$A$21, Products!$C$2:$C$21)</f>
        <v>Audio</v>
      </c>
      <c r="H317">
        <f>_xlfn.XLOOKUP(D317, Products!$A$2:$A$21, Products!$E$2:$E$21, 0)</f>
        <v>179</v>
      </c>
      <c r="I317">
        <f>_xlfn.XLOOKUP(D317, Products!$A$2:$A$21, Products!$F$2:$F$21,0)</f>
        <v>95</v>
      </c>
      <c r="J317" t="str">
        <f>_xlfn.XLOOKUP(C317, Stores!$A$2:$A$7, Stores!$D$2:$D$7)</f>
        <v>Sydney East</v>
      </c>
      <c r="K317">
        <f t="shared" si="8"/>
        <v>537</v>
      </c>
      <c r="L317">
        <f t="shared" si="9"/>
        <v>252</v>
      </c>
    </row>
    <row r="318" spans="1:12">
      <c r="A318" t="s">
        <v>357</v>
      </c>
      <c r="B318" s="2">
        <v>46253</v>
      </c>
      <c r="C318" t="s">
        <v>25</v>
      </c>
      <c r="D318" t="s">
        <v>14</v>
      </c>
      <c r="E318">
        <v>3</v>
      </c>
      <c r="F318" t="str">
        <f>_xlfn.XLOOKUP(D318, Products!$A$2:$A$21, Products!$B$2:$B$21, "Not Found")</f>
        <v>Gaming Mouse</v>
      </c>
      <c r="G318" t="str">
        <f>_xlfn.XLOOKUP(D318, Products!$A$2:$A$21, Products!$C$2:$C$21)</f>
        <v>Accessories</v>
      </c>
      <c r="H318">
        <f>_xlfn.XLOOKUP(D318, Products!$A$2:$A$21, Products!$E$2:$E$21, 0)</f>
        <v>89</v>
      </c>
      <c r="I318">
        <f>_xlfn.XLOOKUP(D318, Products!$A$2:$A$21, Products!$F$2:$F$21,0)</f>
        <v>41</v>
      </c>
      <c r="J318" t="str">
        <f>_xlfn.XLOOKUP(C318, Stores!$A$2:$A$7, Stores!$D$2:$D$7)</f>
        <v>Sydney South</v>
      </c>
      <c r="K318">
        <f t="shared" si="8"/>
        <v>267</v>
      </c>
      <c r="L318">
        <f t="shared" si="9"/>
        <v>144</v>
      </c>
    </row>
    <row r="319" spans="1:12">
      <c r="A319" t="s">
        <v>358</v>
      </c>
      <c r="B319" s="2">
        <v>46253</v>
      </c>
      <c r="C319" t="s">
        <v>16</v>
      </c>
      <c r="D319" t="s">
        <v>165</v>
      </c>
      <c r="E319">
        <v>1</v>
      </c>
      <c r="F319" t="str">
        <f>_xlfn.XLOOKUP(D319, Products!$A$2:$A$21, Products!$B$2:$B$21, "Not Found")</f>
        <v>Smartwatch</v>
      </c>
      <c r="G319" t="str">
        <f>_xlfn.XLOOKUP(D319, Products!$A$2:$A$21, Products!$C$2:$C$21)</f>
        <v>Phones</v>
      </c>
      <c r="H319">
        <f>_xlfn.XLOOKUP(D319, Products!$A$2:$A$21, Products!$E$2:$E$21, 0)</f>
        <v>649</v>
      </c>
      <c r="I319">
        <f>_xlfn.XLOOKUP(D319, Products!$A$2:$A$21, Products!$F$2:$F$21,0)</f>
        <v>480</v>
      </c>
      <c r="J319" t="str">
        <f>_xlfn.XLOOKUP(C319, Stores!$A$2:$A$7, Stores!$D$2:$D$7)</f>
        <v>Sydney East</v>
      </c>
      <c r="K319">
        <f t="shared" si="8"/>
        <v>649</v>
      </c>
      <c r="L319">
        <f t="shared" si="9"/>
        <v>169</v>
      </c>
    </row>
    <row r="320" spans="1:12">
      <c r="A320" t="s">
        <v>359</v>
      </c>
      <c r="B320" s="2">
        <v>46253</v>
      </c>
      <c r="C320" t="s">
        <v>13</v>
      </c>
      <c r="D320" t="s">
        <v>23</v>
      </c>
      <c r="E320">
        <v>1</v>
      </c>
      <c r="F320" t="str">
        <f>_xlfn.XLOOKUP(D320, Products!$A$2:$A$21, Products!$B$2:$B$21, "Not Found")</f>
        <v>Video Game</v>
      </c>
      <c r="G320" t="str">
        <f>_xlfn.XLOOKUP(D320, Products!$A$2:$A$21, Products!$C$2:$C$21)</f>
        <v>Gaming</v>
      </c>
      <c r="H320">
        <f>_xlfn.XLOOKUP(D320, Products!$A$2:$A$21, Products!$E$2:$E$21, 0)</f>
        <v>79</v>
      </c>
      <c r="I320">
        <f>_xlfn.XLOOKUP(D320, Products!$A$2:$A$21, Products!$F$2:$F$21,0)</f>
        <v>52</v>
      </c>
      <c r="J320" t="str">
        <f>_xlfn.XLOOKUP(C320, Stores!$A$2:$A$7, Stores!$D$2:$D$7)</f>
        <v>Sydney West</v>
      </c>
      <c r="K320">
        <f t="shared" si="8"/>
        <v>79</v>
      </c>
      <c r="L320">
        <f t="shared" si="9"/>
        <v>27</v>
      </c>
    </row>
    <row r="321" spans="1:12">
      <c r="A321" t="s">
        <v>360</v>
      </c>
      <c r="B321" s="2">
        <v>46253</v>
      </c>
      <c r="C321" t="s">
        <v>25</v>
      </c>
      <c r="D321" t="s">
        <v>52</v>
      </c>
      <c r="E321">
        <v>1</v>
      </c>
      <c r="F321" t="str">
        <f>_xlfn.XLOOKUP(D321, Products!$A$2:$A$21, Products!$B$2:$B$21, "Not Found")</f>
        <v>Mech Keyboard</v>
      </c>
      <c r="G321" t="str">
        <f>_xlfn.XLOOKUP(D321, Products!$A$2:$A$21, Products!$C$2:$C$21)</f>
        <v>Accessories</v>
      </c>
      <c r="H321">
        <f>_xlfn.XLOOKUP(D321, Products!$A$2:$A$21, Products!$E$2:$E$21, 0)</f>
        <v>149</v>
      </c>
      <c r="I321">
        <f>_xlfn.XLOOKUP(D321, Products!$A$2:$A$21, Products!$F$2:$F$21,0)</f>
        <v>72</v>
      </c>
      <c r="J321" t="str">
        <f>_xlfn.XLOOKUP(C321, Stores!$A$2:$A$7, Stores!$D$2:$D$7)</f>
        <v>Sydney South</v>
      </c>
      <c r="K321">
        <f t="shared" si="8"/>
        <v>149</v>
      </c>
      <c r="L321">
        <f t="shared" si="9"/>
        <v>77</v>
      </c>
    </row>
    <row r="322" spans="1:12">
      <c r="A322" t="s">
        <v>361</v>
      </c>
      <c r="B322" s="2">
        <v>46253</v>
      </c>
      <c r="C322" t="s">
        <v>16</v>
      </c>
      <c r="D322" t="s">
        <v>29</v>
      </c>
      <c r="E322">
        <v>1</v>
      </c>
      <c r="F322" t="str">
        <f>_xlfn.XLOOKUP(D322, Products!$A$2:$A$21, Products!$B$2:$B$21, "Not Found")</f>
        <v>Phone Case</v>
      </c>
      <c r="G322" t="str">
        <f>_xlfn.XLOOKUP(D322, Products!$A$2:$A$21, Products!$C$2:$C$21)</f>
        <v>Accessories</v>
      </c>
      <c r="H322">
        <f>_xlfn.XLOOKUP(D322, Products!$A$2:$A$21, Products!$E$2:$E$21, 0)</f>
        <v>39</v>
      </c>
      <c r="I322">
        <f>_xlfn.XLOOKUP(D322, Products!$A$2:$A$21, Products!$F$2:$F$21,0)</f>
        <v>9</v>
      </c>
      <c r="J322" t="str">
        <f>_xlfn.XLOOKUP(C322, Stores!$A$2:$A$7, Stores!$D$2:$D$7)</f>
        <v>Sydney East</v>
      </c>
      <c r="K322">
        <f t="shared" si="8"/>
        <v>39</v>
      </c>
      <c r="L322">
        <f t="shared" si="9"/>
        <v>30</v>
      </c>
    </row>
    <row r="323" spans="1:12">
      <c r="A323" t="s">
        <v>362</v>
      </c>
      <c r="B323" s="2">
        <v>46253</v>
      </c>
      <c r="C323" t="s">
        <v>25</v>
      </c>
      <c r="D323" t="s">
        <v>23</v>
      </c>
      <c r="E323">
        <v>3</v>
      </c>
      <c r="F323" t="str">
        <f>_xlfn.XLOOKUP(D323, Products!$A$2:$A$21, Products!$B$2:$B$21, "Not Found")</f>
        <v>Video Game</v>
      </c>
      <c r="G323" t="str">
        <f>_xlfn.XLOOKUP(D323, Products!$A$2:$A$21, Products!$C$2:$C$21)</f>
        <v>Gaming</v>
      </c>
      <c r="H323">
        <f>_xlfn.XLOOKUP(D323, Products!$A$2:$A$21, Products!$E$2:$E$21, 0)</f>
        <v>79</v>
      </c>
      <c r="I323">
        <f>_xlfn.XLOOKUP(D323, Products!$A$2:$A$21, Products!$F$2:$F$21,0)</f>
        <v>52</v>
      </c>
      <c r="J323" t="str">
        <f>_xlfn.XLOOKUP(C323, Stores!$A$2:$A$7, Stores!$D$2:$D$7)</f>
        <v>Sydney South</v>
      </c>
      <c r="K323">
        <f t="shared" ref="K323:K386" si="10" xml:space="preserve"> E323*H323</f>
        <v>237</v>
      </c>
      <c r="L323">
        <f t="shared" ref="L323:L386" si="11" xml:space="preserve"> K323 - (E323 * I323)</f>
        <v>81</v>
      </c>
    </row>
    <row r="324" spans="1:12">
      <c r="A324" t="s">
        <v>363</v>
      </c>
      <c r="B324" s="2">
        <v>46254</v>
      </c>
      <c r="C324" t="s">
        <v>19</v>
      </c>
      <c r="D324" t="s">
        <v>32</v>
      </c>
      <c r="E324">
        <v>1</v>
      </c>
      <c r="F324" t="str">
        <f>_xlfn.XLOOKUP(D324, Products!$A$2:$A$21, Products!$B$2:$B$21, "Not Found")</f>
        <v>USB-C Charger</v>
      </c>
      <c r="G324" t="str">
        <f>_xlfn.XLOOKUP(D324, Products!$A$2:$A$21, Products!$C$2:$C$21)</f>
        <v>Accessories</v>
      </c>
      <c r="H324">
        <f>_xlfn.XLOOKUP(D324, Products!$A$2:$A$21, Products!$E$2:$E$21, 0)</f>
        <v>49</v>
      </c>
      <c r="I324">
        <f>_xlfn.XLOOKUP(D324, Products!$A$2:$A$21, Products!$F$2:$F$21,0)</f>
        <v>14</v>
      </c>
      <c r="J324" t="str">
        <f>_xlfn.XLOOKUP(C324, Stores!$A$2:$A$7, Stores!$D$2:$D$7)</f>
        <v>Sydney North</v>
      </c>
      <c r="K324">
        <f t="shared" si="10"/>
        <v>49</v>
      </c>
      <c r="L324">
        <f t="shared" si="11"/>
        <v>35</v>
      </c>
    </row>
    <row r="325" spans="1:12">
      <c r="A325" t="s">
        <v>364</v>
      </c>
      <c r="B325" s="2">
        <v>46254</v>
      </c>
      <c r="C325" t="s">
        <v>51</v>
      </c>
      <c r="D325" t="s">
        <v>74</v>
      </c>
      <c r="E325">
        <v>1</v>
      </c>
      <c r="F325" t="str">
        <f>_xlfn.XLOOKUP(D325, Products!$A$2:$A$21, Products!$B$2:$B$21, "Not Found")</f>
        <v>Over-Ear Headphones</v>
      </c>
      <c r="G325" t="str">
        <f>_xlfn.XLOOKUP(D325, Products!$A$2:$A$21, Products!$C$2:$C$21)</f>
        <v>Audio</v>
      </c>
      <c r="H325">
        <f>_xlfn.XLOOKUP(D325, Products!$A$2:$A$21, Products!$E$2:$E$21, 0)</f>
        <v>499</v>
      </c>
      <c r="I325">
        <f>_xlfn.XLOOKUP(D325, Products!$A$2:$A$21, Products!$F$2:$F$21,0)</f>
        <v>310</v>
      </c>
      <c r="J325" t="str">
        <f>_xlfn.XLOOKUP(C325, Stores!$A$2:$A$7, Stores!$D$2:$D$7)</f>
        <v>Sydney South</v>
      </c>
      <c r="K325">
        <f t="shared" si="10"/>
        <v>499</v>
      </c>
      <c r="L325">
        <f t="shared" si="11"/>
        <v>189</v>
      </c>
    </row>
    <row r="326" spans="1:12">
      <c r="A326" t="s">
        <v>365</v>
      </c>
      <c r="B326" s="2">
        <v>46254</v>
      </c>
      <c r="C326" t="s">
        <v>25</v>
      </c>
      <c r="D326" t="s">
        <v>52</v>
      </c>
      <c r="E326">
        <v>1</v>
      </c>
      <c r="F326" t="str">
        <f>_xlfn.XLOOKUP(D326, Products!$A$2:$A$21, Products!$B$2:$B$21, "Not Found")</f>
        <v>Mech Keyboard</v>
      </c>
      <c r="G326" t="str">
        <f>_xlfn.XLOOKUP(D326, Products!$A$2:$A$21, Products!$C$2:$C$21)</f>
        <v>Accessories</v>
      </c>
      <c r="H326">
        <f>_xlfn.XLOOKUP(D326, Products!$A$2:$A$21, Products!$E$2:$E$21, 0)</f>
        <v>149</v>
      </c>
      <c r="I326">
        <f>_xlfn.XLOOKUP(D326, Products!$A$2:$A$21, Products!$F$2:$F$21,0)</f>
        <v>72</v>
      </c>
      <c r="J326" t="str">
        <f>_xlfn.XLOOKUP(C326, Stores!$A$2:$A$7, Stores!$D$2:$D$7)</f>
        <v>Sydney South</v>
      </c>
      <c r="K326">
        <f t="shared" si="10"/>
        <v>149</v>
      </c>
      <c r="L326">
        <f t="shared" si="11"/>
        <v>77</v>
      </c>
    </row>
    <row r="327" spans="1:12">
      <c r="A327" t="s">
        <v>366</v>
      </c>
      <c r="B327" s="2">
        <v>46254</v>
      </c>
      <c r="C327" t="s">
        <v>25</v>
      </c>
      <c r="D327" t="s">
        <v>20</v>
      </c>
      <c r="E327">
        <v>2</v>
      </c>
      <c r="F327" t="str">
        <f>_xlfn.XLOOKUP(D327, Products!$A$2:$A$21, Products!$B$2:$B$21, "Not Found")</f>
        <v>Bluetooth Speaker</v>
      </c>
      <c r="G327" t="str">
        <f>_xlfn.XLOOKUP(D327, Products!$A$2:$A$21, Products!$C$2:$C$21)</f>
        <v>Audio</v>
      </c>
      <c r="H327">
        <f>_xlfn.XLOOKUP(D327, Products!$A$2:$A$21, Products!$E$2:$E$21, 0)</f>
        <v>179</v>
      </c>
      <c r="I327">
        <f>_xlfn.XLOOKUP(D327, Products!$A$2:$A$21, Products!$F$2:$F$21,0)</f>
        <v>95</v>
      </c>
      <c r="J327" t="str">
        <f>_xlfn.XLOOKUP(C327, Stores!$A$2:$A$7, Stores!$D$2:$D$7)</f>
        <v>Sydney South</v>
      </c>
      <c r="K327">
        <f t="shared" si="10"/>
        <v>358</v>
      </c>
      <c r="L327">
        <f t="shared" si="11"/>
        <v>168</v>
      </c>
    </row>
    <row r="328" spans="1:12">
      <c r="A328" t="s">
        <v>367</v>
      </c>
      <c r="B328" s="2">
        <v>46254</v>
      </c>
      <c r="C328" t="s">
        <v>25</v>
      </c>
      <c r="D328" t="s">
        <v>17</v>
      </c>
      <c r="E328">
        <v>1</v>
      </c>
      <c r="F328" t="str">
        <f>_xlfn.XLOOKUP(D328, Products!$A$2:$A$21, Products!$B$2:$B$21, "Not Found")</f>
        <v>Wireless Earbuds</v>
      </c>
      <c r="G328" t="str">
        <f>_xlfn.XLOOKUP(D328, Products!$A$2:$A$21, Products!$C$2:$C$21)</f>
        <v>Audio</v>
      </c>
      <c r="H328">
        <f>_xlfn.XLOOKUP(D328, Products!$A$2:$A$21, Products!$E$2:$E$21, 0)</f>
        <v>249</v>
      </c>
      <c r="I328">
        <f>_xlfn.XLOOKUP(D328, Products!$A$2:$A$21, Products!$F$2:$F$21,0)</f>
        <v>140</v>
      </c>
      <c r="J328" t="str">
        <f>_xlfn.XLOOKUP(C328, Stores!$A$2:$A$7, Stores!$D$2:$D$7)</f>
        <v>Sydney South</v>
      </c>
      <c r="K328">
        <f t="shared" si="10"/>
        <v>249</v>
      </c>
      <c r="L328">
        <f t="shared" si="11"/>
        <v>109</v>
      </c>
    </row>
    <row r="329" spans="1:12">
      <c r="A329" t="s">
        <v>368</v>
      </c>
      <c r="B329" s="2">
        <v>46254</v>
      </c>
      <c r="C329" t="s">
        <v>19</v>
      </c>
      <c r="D329" t="s">
        <v>93</v>
      </c>
      <c r="E329">
        <v>1</v>
      </c>
      <c r="F329" t="str">
        <f>_xlfn.XLOOKUP(D329, Products!$A$2:$A$21, Products!$B$2:$B$21, "Not Found")</f>
        <v>Smartphone 256GB</v>
      </c>
      <c r="G329" t="str">
        <f>_xlfn.XLOOKUP(D329, Products!$A$2:$A$21, Products!$C$2:$C$21)</f>
        <v>Phones</v>
      </c>
      <c r="H329">
        <f>_xlfn.XLOOKUP(D329, Products!$A$2:$A$21, Products!$E$2:$E$21, 0)</f>
        <v>1499</v>
      </c>
      <c r="I329">
        <f>_xlfn.XLOOKUP(D329, Products!$A$2:$A$21, Products!$F$2:$F$21,0)</f>
        <v>1180</v>
      </c>
      <c r="J329" t="str">
        <f>_xlfn.XLOOKUP(C329, Stores!$A$2:$A$7, Stores!$D$2:$D$7)</f>
        <v>Sydney North</v>
      </c>
      <c r="K329">
        <f t="shared" si="10"/>
        <v>1499</v>
      </c>
      <c r="L329">
        <f t="shared" si="11"/>
        <v>319</v>
      </c>
    </row>
    <row r="330" spans="1:12">
      <c r="A330" t="s">
        <v>369</v>
      </c>
      <c r="B330" s="2">
        <v>46254</v>
      </c>
      <c r="C330" t="s">
        <v>22</v>
      </c>
      <c r="D330" t="s">
        <v>20</v>
      </c>
      <c r="E330">
        <v>1</v>
      </c>
      <c r="F330" t="str">
        <f>_xlfn.XLOOKUP(D330, Products!$A$2:$A$21, Products!$B$2:$B$21, "Not Found")</f>
        <v>Bluetooth Speaker</v>
      </c>
      <c r="G330" t="str">
        <f>_xlfn.XLOOKUP(D330, Products!$A$2:$A$21, Products!$C$2:$C$21)</f>
        <v>Audio</v>
      </c>
      <c r="H330">
        <f>_xlfn.XLOOKUP(D330, Products!$A$2:$A$21, Products!$E$2:$E$21, 0)</f>
        <v>179</v>
      </c>
      <c r="I330">
        <f>_xlfn.XLOOKUP(D330, Products!$A$2:$A$21, Products!$F$2:$F$21,0)</f>
        <v>95</v>
      </c>
      <c r="J330" t="str">
        <f>_xlfn.XLOOKUP(C330, Stores!$A$2:$A$7, Stores!$D$2:$D$7)</f>
        <v>Sydney West</v>
      </c>
      <c r="K330">
        <f t="shared" si="10"/>
        <v>179</v>
      </c>
      <c r="L330">
        <f t="shared" si="11"/>
        <v>84</v>
      </c>
    </row>
    <row r="331" spans="1:12">
      <c r="A331" t="s">
        <v>370</v>
      </c>
      <c r="B331" s="2">
        <v>46254</v>
      </c>
      <c r="C331" t="s">
        <v>22</v>
      </c>
      <c r="D331" t="s">
        <v>23</v>
      </c>
      <c r="E331">
        <v>1</v>
      </c>
      <c r="F331" t="str">
        <f>_xlfn.XLOOKUP(D331, Products!$A$2:$A$21, Products!$B$2:$B$21, "Not Found")</f>
        <v>Video Game</v>
      </c>
      <c r="G331" t="str">
        <f>_xlfn.XLOOKUP(D331, Products!$A$2:$A$21, Products!$C$2:$C$21)</f>
        <v>Gaming</v>
      </c>
      <c r="H331">
        <f>_xlfn.XLOOKUP(D331, Products!$A$2:$A$21, Products!$E$2:$E$21, 0)</f>
        <v>79</v>
      </c>
      <c r="I331">
        <f>_xlfn.XLOOKUP(D331, Products!$A$2:$A$21, Products!$F$2:$F$21,0)</f>
        <v>52</v>
      </c>
      <c r="J331" t="str">
        <f>_xlfn.XLOOKUP(C331, Stores!$A$2:$A$7, Stores!$D$2:$D$7)</f>
        <v>Sydney West</v>
      </c>
      <c r="K331">
        <f t="shared" si="10"/>
        <v>79</v>
      </c>
      <c r="L331">
        <f t="shared" si="11"/>
        <v>27</v>
      </c>
    </row>
    <row r="332" spans="1:12">
      <c r="A332" t="s">
        <v>371</v>
      </c>
      <c r="B332" s="2">
        <v>46254</v>
      </c>
      <c r="C332" t="s">
        <v>13</v>
      </c>
      <c r="D332" t="s">
        <v>23</v>
      </c>
      <c r="E332">
        <v>1</v>
      </c>
      <c r="F332" t="str">
        <f>_xlfn.XLOOKUP(D332, Products!$A$2:$A$21, Products!$B$2:$B$21, "Not Found")</f>
        <v>Video Game</v>
      </c>
      <c r="G332" t="str">
        <f>_xlfn.XLOOKUP(D332, Products!$A$2:$A$21, Products!$C$2:$C$21)</f>
        <v>Gaming</v>
      </c>
      <c r="H332">
        <f>_xlfn.XLOOKUP(D332, Products!$A$2:$A$21, Products!$E$2:$E$21, 0)</f>
        <v>79</v>
      </c>
      <c r="I332">
        <f>_xlfn.XLOOKUP(D332, Products!$A$2:$A$21, Products!$F$2:$F$21,0)</f>
        <v>52</v>
      </c>
      <c r="J332" t="str">
        <f>_xlfn.XLOOKUP(C332, Stores!$A$2:$A$7, Stores!$D$2:$D$7)</f>
        <v>Sydney West</v>
      </c>
      <c r="K332">
        <f t="shared" si="10"/>
        <v>79</v>
      </c>
      <c r="L332">
        <f t="shared" si="11"/>
        <v>27</v>
      </c>
    </row>
    <row r="333" spans="1:12">
      <c r="A333" t="s">
        <v>372</v>
      </c>
      <c r="B333" s="2">
        <v>46255</v>
      </c>
      <c r="C333" t="s">
        <v>22</v>
      </c>
      <c r="D333" t="s">
        <v>44</v>
      </c>
      <c r="E333">
        <v>1</v>
      </c>
      <c r="F333" t="str">
        <f>_xlfn.XLOOKUP(D333, Products!$A$2:$A$21, Products!$B$2:$B$21, "Not Found")</f>
        <v>Smartphone 128GB</v>
      </c>
      <c r="G333" t="str">
        <f>_xlfn.XLOOKUP(D333, Products!$A$2:$A$21, Products!$C$2:$C$21)</f>
        <v>Phones</v>
      </c>
      <c r="H333">
        <f>_xlfn.XLOOKUP(D333, Products!$A$2:$A$21, Products!$E$2:$E$21, 0)</f>
        <v>1099</v>
      </c>
      <c r="I333">
        <f>_xlfn.XLOOKUP(D333, Products!$A$2:$A$21, Products!$F$2:$F$21,0)</f>
        <v>860</v>
      </c>
      <c r="J333" t="str">
        <f>_xlfn.XLOOKUP(C333, Stores!$A$2:$A$7, Stores!$D$2:$D$7)</f>
        <v>Sydney West</v>
      </c>
      <c r="K333">
        <f t="shared" si="10"/>
        <v>1099</v>
      </c>
      <c r="L333">
        <f t="shared" si="11"/>
        <v>239</v>
      </c>
    </row>
    <row r="334" spans="1:12">
      <c r="A334" t="s">
        <v>373</v>
      </c>
      <c r="B334" s="2">
        <v>46255</v>
      </c>
      <c r="C334" t="s">
        <v>51</v>
      </c>
      <c r="D334" t="s">
        <v>32</v>
      </c>
      <c r="E334">
        <v>1</v>
      </c>
      <c r="F334" t="str">
        <f>_xlfn.XLOOKUP(D334, Products!$A$2:$A$21, Products!$B$2:$B$21, "Not Found")</f>
        <v>USB-C Charger</v>
      </c>
      <c r="G334" t="str">
        <f>_xlfn.XLOOKUP(D334, Products!$A$2:$A$21, Products!$C$2:$C$21)</f>
        <v>Accessories</v>
      </c>
      <c r="H334">
        <f>_xlfn.XLOOKUP(D334, Products!$A$2:$A$21, Products!$E$2:$E$21, 0)</f>
        <v>49</v>
      </c>
      <c r="I334">
        <f>_xlfn.XLOOKUP(D334, Products!$A$2:$A$21, Products!$F$2:$F$21,0)</f>
        <v>14</v>
      </c>
      <c r="J334" t="str">
        <f>_xlfn.XLOOKUP(C334, Stores!$A$2:$A$7, Stores!$D$2:$D$7)</f>
        <v>Sydney South</v>
      </c>
      <c r="K334">
        <f t="shared" si="10"/>
        <v>49</v>
      </c>
      <c r="L334">
        <f t="shared" si="11"/>
        <v>35</v>
      </c>
    </row>
    <row r="335" spans="1:12">
      <c r="A335" t="s">
        <v>374</v>
      </c>
      <c r="B335" s="2">
        <v>46255</v>
      </c>
      <c r="C335" t="s">
        <v>19</v>
      </c>
      <c r="D335" t="s">
        <v>37</v>
      </c>
      <c r="E335">
        <v>1</v>
      </c>
      <c r="F335" t="str">
        <f>_xlfn.XLOOKUP(D335, Products!$A$2:$A$21, Products!$B$2:$B$21, "Not Found")</f>
        <v>Console Controller</v>
      </c>
      <c r="G335" t="str">
        <f>_xlfn.XLOOKUP(D335, Products!$A$2:$A$21, Products!$C$2:$C$21)</f>
        <v>Gaming</v>
      </c>
      <c r="H335">
        <f>_xlfn.XLOOKUP(D335, Products!$A$2:$A$21, Products!$E$2:$E$21, 0)</f>
        <v>99</v>
      </c>
      <c r="I335">
        <f>_xlfn.XLOOKUP(D335, Products!$A$2:$A$21, Products!$F$2:$F$21,0)</f>
        <v>58</v>
      </c>
      <c r="J335" t="str">
        <f>_xlfn.XLOOKUP(C335, Stores!$A$2:$A$7, Stores!$D$2:$D$7)</f>
        <v>Sydney North</v>
      </c>
      <c r="K335">
        <f t="shared" si="10"/>
        <v>99</v>
      </c>
      <c r="L335">
        <f t="shared" si="11"/>
        <v>41</v>
      </c>
    </row>
    <row r="336" spans="1:12">
      <c r="A336" t="s">
        <v>375</v>
      </c>
      <c r="B336" s="2">
        <v>46255</v>
      </c>
      <c r="C336" t="s">
        <v>25</v>
      </c>
      <c r="D336" t="s">
        <v>52</v>
      </c>
      <c r="E336">
        <v>1</v>
      </c>
      <c r="F336" t="str">
        <f>_xlfn.XLOOKUP(D336, Products!$A$2:$A$21, Products!$B$2:$B$21, "Not Found")</f>
        <v>Mech Keyboard</v>
      </c>
      <c r="G336" t="str">
        <f>_xlfn.XLOOKUP(D336, Products!$A$2:$A$21, Products!$C$2:$C$21)</f>
        <v>Accessories</v>
      </c>
      <c r="H336">
        <f>_xlfn.XLOOKUP(D336, Products!$A$2:$A$21, Products!$E$2:$E$21, 0)</f>
        <v>149</v>
      </c>
      <c r="I336">
        <f>_xlfn.XLOOKUP(D336, Products!$A$2:$A$21, Products!$F$2:$F$21,0)</f>
        <v>72</v>
      </c>
      <c r="J336" t="str">
        <f>_xlfn.XLOOKUP(C336, Stores!$A$2:$A$7, Stores!$D$2:$D$7)</f>
        <v>Sydney South</v>
      </c>
      <c r="K336">
        <f t="shared" si="10"/>
        <v>149</v>
      </c>
      <c r="L336">
        <f t="shared" si="11"/>
        <v>77</v>
      </c>
    </row>
    <row r="337" spans="1:12">
      <c r="A337" t="s">
        <v>376</v>
      </c>
      <c r="B337" s="2">
        <v>46255</v>
      </c>
      <c r="C337" t="s">
        <v>51</v>
      </c>
      <c r="D337" t="s">
        <v>32</v>
      </c>
      <c r="E337">
        <v>1</v>
      </c>
      <c r="F337" t="str">
        <f>_xlfn.XLOOKUP(D337, Products!$A$2:$A$21, Products!$B$2:$B$21, "Not Found")</f>
        <v>USB-C Charger</v>
      </c>
      <c r="G337" t="str">
        <f>_xlfn.XLOOKUP(D337, Products!$A$2:$A$21, Products!$C$2:$C$21)</f>
        <v>Accessories</v>
      </c>
      <c r="H337">
        <f>_xlfn.XLOOKUP(D337, Products!$A$2:$A$21, Products!$E$2:$E$21, 0)</f>
        <v>49</v>
      </c>
      <c r="I337">
        <f>_xlfn.XLOOKUP(D337, Products!$A$2:$A$21, Products!$F$2:$F$21,0)</f>
        <v>14</v>
      </c>
      <c r="J337" t="str">
        <f>_xlfn.XLOOKUP(C337, Stores!$A$2:$A$7, Stores!$D$2:$D$7)</f>
        <v>Sydney South</v>
      </c>
      <c r="K337">
        <f t="shared" si="10"/>
        <v>49</v>
      </c>
      <c r="L337">
        <f t="shared" si="11"/>
        <v>35</v>
      </c>
    </row>
    <row r="338" spans="1:12">
      <c r="A338" t="s">
        <v>377</v>
      </c>
      <c r="B338" s="2">
        <v>46255</v>
      </c>
      <c r="C338" t="s">
        <v>51</v>
      </c>
      <c r="D338" t="s">
        <v>17</v>
      </c>
      <c r="E338">
        <v>1</v>
      </c>
      <c r="F338" t="str">
        <f>_xlfn.XLOOKUP(D338, Products!$A$2:$A$21, Products!$B$2:$B$21, "Not Found")</f>
        <v>Wireless Earbuds</v>
      </c>
      <c r="G338" t="str">
        <f>_xlfn.XLOOKUP(D338, Products!$A$2:$A$21, Products!$C$2:$C$21)</f>
        <v>Audio</v>
      </c>
      <c r="H338">
        <f>_xlfn.XLOOKUP(D338, Products!$A$2:$A$21, Products!$E$2:$E$21, 0)</f>
        <v>249</v>
      </c>
      <c r="I338">
        <f>_xlfn.XLOOKUP(D338, Products!$A$2:$A$21, Products!$F$2:$F$21,0)</f>
        <v>140</v>
      </c>
      <c r="J338" t="str">
        <f>_xlfn.XLOOKUP(C338, Stores!$A$2:$A$7, Stores!$D$2:$D$7)</f>
        <v>Sydney South</v>
      </c>
      <c r="K338">
        <f t="shared" si="10"/>
        <v>249</v>
      </c>
      <c r="L338">
        <f t="shared" si="11"/>
        <v>109</v>
      </c>
    </row>
    <row r="339" spans="1:12">
      <c r="A339" t="s">
        <v>378</v>
      </c>
      <c r="B339" s="2">
        <v>46256</v>
      </c>
      <c r="C339" t="s">
        <v>19</v>
      </c>
      <c r="D339" t="s">
        <v>63</v>
      </c>
      <c r="E339">
        <v>1</v>
      </c>
      <c r="F339" t="str">
        <f>_xlfn.XLOOKUP(D339, Products!$A$2:$A$21, Products!$B$2:$B$21, "Not Found")</f>
        <v>27in Monitor</v>
      </c>
      <c r="G339" t="str">
        <f>_xlfn.XLOOKUP(D339, Products!$A$2:$A$21, Products!$C$2:$C$21)</f>
        <v>Computers</v>
      </c>
      <c r="H339">
        <f>_xlfn.XLOOKUP(D339, Products!$A$2:$A$21, Products!$E$2:$E$21, 0)</f>
        <v>399</v>
      </c>
      <c r="I339">
        <f>_xlfn.XLOOKUP(D339, Products!$A$2:$A$21, Products!$F$2:$F$21,0)</f>
        <v>290</v>
      </c>
      <c r="J339" t="str">
        <f>_xlfn.XLOOKUP(C339, Stores!$A$2:$A$7, Stores!$D$2:$D$7)</f>
        <v>Sydney North</v>
      </c>
      <c r="K339">
        <f t="shared" si="10"/>
        <v>399</v>
      </c>
      <c r="L339">
        <f t="shared" si="11"/>
        <v>109</v>
      </c>
    </row>
    <row r="340" spans="1:12">
      <c r="A340" t="s">
        <v>379</v>
      </c>
      <c r="B340" s="2">
        <v>46256</v>
      </c>
      <c r="C340" t="s">
        <v>13</v>
      </c>
      <c r="D340" t="s">
        <v>48</v>
      </c>
      <c r="E340">
        <v>1</v>
      </c>
      <c r="F340" t="str">
        <f>_xlfn.XLOOKUP(D340, Products!$A$2:$A$21, Products!$B$2:$B$21, "Not Found")</f>
        <v>Tablet 11in</v>
      </c>
      <c r="G340" t="str">
        <f>_xlfn.XLOOKUP(D340, Products!$A$2:$A$21, Products!$C$2:$C$21)</f>
        <v>Computers</v>
      </c>
      <c r="H340">
        <f>_xlfn.XLOOKUP(D340, Products!$A$2:$A$21, Products!$E$2:$E$21, 0)</f>
        <v>899</v>
      </c>
      <c r="I340">
        <f>_xlfn.XLOOKUP(D340, Products!$A$2:$A$21, Products!$F$2:$F$21,0)</f>
        <v>690</v>
      </c>
      <c r="J340" t="str">
        <f>_xlfn.XLOOKUP(C340, Stores!$A$2:$A$7, Stores!$D$2:$D$7)</f>
        <v>Sydney West</v>
      </c>
      <c r="K340">
        <f t="shared" si="10"/>
        <v>899</v>
      </c>
      <c r="L340">
        <f t="shared" si="11"/>
        <v>209</v>
      </c>
    </row>
    <row r="341" spans="1:12">
      <c r="A341" t="s">
        <v>380</v>
      </c>
      <c r="B341" s="2">
        <v>46256</v>
      </c>
      <c r="C341" t="s">
        <v>16</v>
      </c>
      <c r="D341" t="s">
        <v>52</v>
      </c>
      <c r="E341">
        <v>1</v>
      </c>
      <c r="F341" t="str">
        <f>_xlfn.XLOOKUP(D341, Products!$A$2:$A$21, Products!$B$2:$B$21, "Not Found")</f>
        <v>Mech Keyboard</v>
      </c>
      <c r="G341" t="str">
        <f>_xlfn.XLOOKUP(D341, Products!$A$2:$A$21, Products!$C$2:$C$21)</f>
        <v>Accessories</v>
      </c>
      <c r="H341">
        <f>_xlfn.XLOOKUP(D341, Products!$A$2:$A$21, Products!$E$2:$E$21, 0)</f>
        <v>149</v>
      </c>
      <c r="I341">
        <f>_xlfn.XLOOKUP(D341, Products!$A$2:$A$21, Products!$F$2:$F$21,0)</f>
        <v>72</v>
      </c>
      <c r="J341" t="str">
        <f>_xlfn.XLOOKUP(C341, Stores!$A$2:$A$7, Stores!$D$2:$D$7)</f>
        <v>Sydney East</v>
      </c>
      <c r="K341">
        <f t="shared" si="10"/>
        <v>149</v>
      </c>
      <c r="L341">
        <f t="shared" si="11"/>
        <v>77</v>
      </c>
    </row>
    <row r="342" spans="1:12">
      <c r="A342" t="s">
        <v>381</v>
      </c>
      <c r="B342" s="2">
        <v>46256</v>
      </c>
      <c r="C342" t="s">
        <v>51</v>
      </c>
      <c r="D342" t="s">
        <v>54</v>
      </c>
      <c r="E342">
        <v>1</v>
      </c>
      <c r="F342" t="str">
        <f>_xlfn.XLOOKUP(D342, Products!$A$2:$A$21, Products!$B$2:$B$21, "Not Found")</f>
        <v>55in TV</v>
      </c>
      <c r="G342" t="str">
        <f>_xlfn.XLOOKUP(D342, Products!$A$2:$A$21, Products!$C$2:$C$21)</f>
        <v>TV</v>
      </c>
      <c r="H342">
        <f>_xlfn.XLOOKUP(D342, Products!$A$2:$A$21, Products!$E$2:$E$21, 0)</f>
        <v>1299</v>
      </c>
      <c r="I342">
        <f>_xlfn.XLOOKUP(D342, Products!$A$2:$A$21, Products!$F$2:$F$21,0)</f>
        <v>980</v>
      </c>
      <c r="J342" t="str">
        <f>_xlfn.XLOOKUP(C342, Stores!$A$2:$A$7, Stores!$D$2:$D$7)</f>
        <v>Sydney South</v>
      </c>
      <c r="K342">
        <f t="shared" si="10"/>
        <v>1299</v>
      </c>
      <c r="L342">
        <f t="shared" si="11"/>
        <v>319</v>
      </c>
    </row>
    <row r="343" spans="1:12">
      <c r="A343" t="s">
        <v>382</v>
      </c>
      <c r="B343" s="2">
        <v>46256</v>
      </c>
      <c r="C343" t="s">
        <v>51</v>
      </c>
      <c r="D343" t="s">
        <v>20</v>
      </c>
      <c r="E343">
        <v>1</v>
      </c>
      <c r="F343" t="str">
        <f>_xlfn.XLOOKUP(D343, Products!$A$2:$A$21, Products!$B$2:$B$21, "Not Found")</f>
        <v>Bluetooth Speaker</v>
      </c>
      <c r="G343" t="str">
        <f>_xlfn.XLOOKUP(D343, Products!$A$2:$A$21, Products!$C$2:$C$21)</f>
        <v>Audio</v>
      </c>
      <c r="H343">
        <f>_xlfn.XLOOKUP(D343, Products!$A$2:$A$21, Products!$E$2:$E$21, 0)</f>
        <v>179</v>
      </c>
      <c r="I343">
        <f>_xlfn.XLOOKUP(D343, Products!$A$2:$A$21, Products!$F$2:$F$21,0)</f>
        <v>95</v>
      </c>
      <c r="J343" t="str">
        <f>_xlfn.XLOOKUP(C343, Stores!$A$2:$A$7, Stores!$D$2:$D$7)</f>
        <v>Sydney South</v>
      </c>
      <c r="K343">
        <f t="shared" si="10"/>
        <v>179</v>
      </c>
      <c r="L343">
        <f t="shared" si="11"/>
        <v>84</v>
      </c>
    </row>
    <row r="344" spans="1:12">
      <c r="A344" t="s">
        <v>383</v>
      </c>
      <c r="B344" s="2">
        <v>46256</v>
      </c>
      <c r="C344" t="s">
        <v>19</v>
      </c>
      <c r="D344" t="s">
        <v>17</v>
      </c>
      <c r="E344">
        <v>1</v>
      </c>
      <c r="F344" t="str">
        <f>_xlfn.XLOOKUP(D344, Products!$A$2:$A$21, Products!$B$2:$B$21, "Not Found")</f>
        <v>Wireless Earbuds</v>
      </c>
      <c r="G344" t="str">
        <f>_xlfn.XLOOKUP(D344, Products!$A$2:$A$21, Products!$C$2:$C$21)</f>
        <v>Audio</v>
      </c>
      <c r="H344">
        <f>_xlfn.XLOOKUP(D344, Products!$A$2:$A$21, Products!$E$2:$E$21, 0)</f>
        <v>249</v>
      </c>
      <c r="I344">
        <f>_xlfn.XLOOKUP(D344, Products!$A$2:$A$21, Products!$F$2:$F$21,0)</f>
        <v>140</v>
      </c>
      <c r="J344" t="str">
        <f>_xlfn.XLOOKUP(C344, Stores!$A$2:$A$7, Stores!$D$2:$D$7)</f>
        <v>Sydney North</v>
      </c>
      <c r="K344">
        <f t="shared" si="10"/>
        <v>249</v>
      </c>
      <c r="L344">
        <f t="shared" si="11"/>
        <v>109</v>
      </c>
    </row>
    <row r="345" spans="1:12">
      <c r="A345" t="s">
        <v>384</v>
      </c>
      <c r="B345" s="2">
        <v>46256</v>
      </c>
      <c r="C345" t="s">
        <v>13</v>
      </c>
      <c r="D345" t="s">
        <v>48</v>
      </c>
      <c r="E345">
        <v>1</v>
      </c>
      <c r="F345" t="str">
        <f>_xlfn.XLOOKUP(D345, Products!$A$2:$A$21, Products!$B$2:$B$21, "Not Found")</f>
        <v>Tablet 11in</v>
      </c>
      <c r="G345" t="str">
        <f>_xlfn.XLOOKUP(D345, Products!$A$2:$A$21, Products!$C$2:$C$21)</f>
        <v>Computers</v>
      </c>
      <c r="H345">
        <f>_xlfn.XLOOKUP(D345, Products!$A$2:$A$21, Products!$E$2:$E$21, 0)</f>
        <v>899</v>
      </c>
      <c r="I345">
        <f>_xlfn.XLOOKUP(D345, Products!$A$2:$A$21, Products!$F$2:$F$21,0)</f>
        <v>690</v>
      </c>
      <c r="J345" t="str">
        <f>_xlfn.XLOOKUP(C345, Stores!$A$2:$A$7, Stores!$D$2:$D$7)</f>
        <v>Sydney West</v>
      </c>
      <c r="K345">
        <f t="shared" si="10"/>
        <v>899</v>
      </c>
      <c r="L345">
        <f t="shared" si="11"/>
        <v>209</v>
      </c>
    </row>
    <row r="346" spans="1:12">
      <c r="A346" t="s">
        <v>385</v>
      </c>
      <c r="B346" s="2">
        <v>46256</v>
      </c>
      <c r="C346" t="s">
        <v>13</v>
      </c>
      <c r="D346" t="s">
        <v>52</v>
      </c>
      <c r="E346">
        <v>1</v>
      </c>
      <c r="F346" t="str">
        <f>_xlfn.XLOOKUP(D346, Products!$A$2:$A$21, Products!$B$2:$B$21, "Not Found")</f>
        <v>Mech Keyboard</v>
      </c>
      <c r="G346" t="str">
        <f>_xlfn.XLOOKUP(D346, Products!$A$2:$A$21, Products!$C$2:$C$21)</f>
        <v>Accessories</v>
      </c>
      <c r="H346">
        <f>_xlfn.XLOOKUP(D346, Products!$A$2:$A$21, Products!$E$2:$E$21, 0)</f>
        <v>149</v>
      </c>
      <c r="I346">
        <f>_xlfn.XLOOKUP(D346, Products!$A$2:$A$21, Products!$F$2:$F$21,0)</f>
        <v>72</v>
      </c>
      <c r="J346" t="str">
        <f>_xlfn.XLOOKUP(C346, Stores!$A$2:$A$7, Stores!$D$2:$D$7)</f>
        <v>Sydney West</v>
      </c>
      <c r="K346">
        <f t="shared" si="10"/>
        <v>149</v>
      </c>
      <c r="L346">
        <f t="shared" si="11"/>
        <v>77</v>
      </c>
    </row>
    <row r="347" spans="1:12">
      <c r="A347" t="s">
        <v>386</v>
      </c>
      <c r="B347" s="2">
        <v>46257</v>
      </c>
      <c r="C347" t="s">
        <v>13</v>
      </c>
      <c r="D347" t="s">
        <v>61</v>
      </c>
      <c r="E347">
        <v>1</v>
      </c>
      <c r="F347" t="str">
        <f>_xlfn.XLOOKUP(D347, Products!$A$2:$A$21, Products!$B$2:$B$21, "Not Found")</f>
        <v>Soundbar</v>
      </c>
      <c r="G347" t="str">
        <f>_xlfn.XLOOKUP(D347, Products!$A$2:$A$21, Products!$C$2:$C$21)</f>
        <v>Audio</v>
      </c>
      <c r="H347">
        <f>_xlfn.XLOOKUP(D347, Products!$A$2:$A$21, Products!$E$2:$E$21, 0)</f>
        <v>699</v>
      </c>
      <c r="I347">
        <f>_xlfn.XLOOKUP(D347, Products!$A$2:$A$21, Products!$F$2:$F$21,0)</f>
        <v>450</v>
      </c>
      <c r="J347" t="str">
        <f>_xlfn.XLOOKUP(C347, Stores!$A$2:$A$7, Stores!$D$2:$D$7)</f>
        <v>Sydney West</v>
      </c>
      <c r="K347">
        <f t="shared" si="10"/>
        <v>699</v>
      </c>
      <c r="L347">
        <f t="shared" si="11"/>
        <v>249</v>
      </c>
    </row>
    <row r="348" spans="1:12">
      <c r="A348" t="s">
        <v>387</v>
      </c>
      <c r="B348" s="2">
        <v>46257</v>
      </c>
      <c r="C348" t="s">
        <v>51</v>
      </c>
      <c r="D348" t="s">
        <v>44</v>
      </c>
      <c r="E348">
        <v>1</v>
      </c>
      <c r="F348" t="str">
        <f>_xlfn.XLOOKUP(D348, Products!$A$2:$A$21, Products!$B$2:$B$21, "Not Found")</f>
        <v>Smartphone 128GB</v>
      </c>
      <c r="G348" t="str">
        <f>_xlfn.XLOOKUP(D348, Products!$A$2:$A$21, Products!$C$2:$C$21)</f>
        <v>Phones</v>
      </c>
      <c r="H348">
        <f>_xlfn.XLOOKUP(D348, Products!$A$2:$A$21, Products!$E$2:$E$21, 0)</f>
        <v>1099</v>
      </c>
      <c r="I348">
        <f>_xlfn.XLOOKUP(D348, Products!$A$2:$A$21, Products!$F$2:$F$21,0)</f>
        <v>860</v>
      </c>
      <c r="J348" t="str">
        <f>_xlfn.XLOOKUP(C348, Stores!$A$2:$A$7, Stores!$D$2:$D$7)</f>
        <v>Sydney South</v>
      </c>
      <c r="K348">
        <f t="shared" si="10"/>
        <v>1099</v>
      </c>
      <c r="L348">
        <f t="shared" si="11"/>
        <v>239</v>
      </c>
    </row>
    <row r="349" spans="1:12">
      <c r="A349" t="s">
        <v>388</v>
      </c>
      <c r="B349" s="2">
        <v>46257</v>
      </c>
      <c r="C349" t="s">
        <v>51</v>
      </c>
      <c r="D349" t="s">
        <v>146</v>
      </c>
      <c r="E349">
        <v>3</v>
      </c>
      <c r="F349" t="str">
        <f>_xlfn.XLOOKUP(D349, Products!$A$2:$A$21, Products!$B$2:$B$21, "Not Found")</f>
        <v>Game Console</v>
      </c>
      <c r="G349" t="str">
        <f>_xlfn.XLOOKUP(D349, Products!$A$2:$A$21, Products!$C$2:$C$21)</f>
        <v>Gaming</v>
      </c>
      <c r="H349">
        <f>_xlfn.XLOOKUP(D349, Products!$A$2:$A$21, Products!$E$2:$E$21, 0)</f>
        <v>499</v>
      </c>
      <c r="I349">
        <f>_xlfn.XLOOKUP(D349, Products!$A$2:$A$21, Products!$F$2:$F$21,0)</f>
        <v>420</v>
      </c>
      <c r="J349" t="str">
        <f>_xlfn.XLOOKUP(C349, Stores!$A$2:$A$7, Stores!$D$2:$D$7)</f>
        <v>Sydney South</v>
      </c>
      <c r="K349">
        <f t="shared" si="10"/>
        <v>1497</v>
      </c>
      <c r="L349">
        <f t="shared" si="11"/>
        <v>237</v>
      </c>
    </row>
    <row r="350" spans="1:12">
      <c r="A350" t="s">
        <v>389</v>
      </c>
      <c r="B350" s="2">
        <v>46257</v>
      </c>
      <c r="C350" t="s">
        <v>16</v>
      </c>
      <c r="D350" t="s">
        <v>74</v>
      </c>
      <c r="E350">
        <v>2</v>
      </c>
      <c r="F350" t="str">
        <f>_xlfn.XLOOKUP(D350, Products!$A$2:$A$21, Products!$B$2:$B$21, "Not Found")</f>
        <v>Over-Ear Headphones</v>
      </c>
      <c r="G350" t="str">
        <f>_xlfn.XLOOKUP(D350, Products!$A$2:$A$21, Products!$C$2:$C$21)</f>
        <v>Audio</v>
      </c>
      <c r="H350">
        <f>_xlfn.XLOOKUP(D350, Products!$A$2:$A$21, Products!$E$2:$E$21, 0)</f>
        <v>499</v>
      </c>
      <c r="I350">
        <f>_xlfn.XLOOKUP(D350, Products!$A$2:$A$21, Products!$F$2:$F$21,0)</f>
        <v>310</v>
      </c>
      <c r="J350" t="str">
        <f>_xlfn.XLOOKUP(C350, Stores!$A$2:$A$7, Stores!$D$2:$D$7)</f>
        <v>Sydney East</v>
      </c>
      <c r="K350">
        <f t="shared" si="10"/>
        <v>998</v>
      </c>
      <c r="L350">
        <f t="shared" si="11"/>
        <v>378</v>
      </c>
    </row>
    <row r="351" spans="1:12">
      <c r="A351" t="s">
        <v>390</v>
      </c>
      <c r="B351" s="2">
        <v>46257</v>
      </c>
      <c r="C351" t="s">
        <v>25</v>
      </c>
      <c r="D351" t="s">
        <v>20</v>
      </c>
      <c r="E351">
        <v>1</v>
      </c>
      <c r="F351" t="str">
        <f>_xlfn.XLOOKUP(D351, Products!$A$2:$A$21, Products!$B$2:$B$21, "Not Found")</f>
        <v>Bluetooth Speaker</v>
      </c>
      <c r="G351" t="str">
        <f>_xlfn.XLOOKUP(D351, Products!$A$2:$A$21, Products!$C$2:$C$21)</f>
        <v>Audio</v>
      </c>
      <c r="H351">
        <f>_xlfn.XLOOKUP(D351, Products!$A$2:$A$21, Products!$E$2:$E$21, 0)</f>
        <v>179</v>
      </c>
      <c r="I351">
        <f>_xlfn.XLOOKUP(D351, Products!$A$2:$A$21, Products!$F$2:$F$21,0)</f>
        <v>95</v>
      </c>
      <c r="J351" t="str">
        <f>_xlfn.XLOOKUP(C351, Stores!$A$2:$A$7, Stores!$D$2:$D$7)</f>
        <v>Sydney South</v>
      </c>
      <c r="K351">
        <f t="shared" si="10"/>
        <v>179</v>
      </c>
      <c r="L351">
        <f t="shared" si="11"/>
        <v>84</v>
      </c>
    </row>
    <row r="352" spans="1:12">
      <c r="A352" t="s">
        <v>391</v>
      </c>
      <c r="B352" s="2">
        <v>46257</v>
      </c>
      <c r="C352" t="s">
        <v>25</v>
      </c>
      <c r="D352" t="s">
        <v>14</v>
      </c>
      <c r="E352">
        <v>1</v>
      </c>
      <c r="F352" t="str">
        <f>_xlfn.XLOOKUP(D352, Products!$A$2:$A$21, Products!$B$2:$B$21, "Not Found")</f>
        <v>Gaming Mouse</v>
      </c>
      <c r="G352" t="str">
        <f>_xlfn.XLOOKUP(D352, Products!$A$2:$A$21, Products!$C$2:$C$21)</f>
        <v>Accessories</v>
      </c>
      <c r="H352">
        <f>_xlfn.XLOOKUP(D352, Products!$A$2:$A$21, Products!$E$2:$E$21, 0)</f>
        <v>89</v>
      </c>
      <c r="I352">
        <f>_xlfn.XLOOKUP(D352, Products!$A$2:$A$21, Products!$F$2:$F$21,0)</f>
        <v>41</v>
      </c>
      <c r="J352" t="str">
        <f>_xlfn.XLOOKUP(C352, Stores!$A$2:$A$7, Stores!$D$2:$D$7)</f>
        <v>Sydney South</v>
      </c>
      <c r="K352">
        <f t="shared" si="10"/>
        <v>89</v>
      </c>
      <c r="L352">
        <f t="shared" si="11"/>
        <v>48</v>
      </c>
    </row>
    <row r="353" spans="1:12">
      <c r="A353" t="s">
        <v>392</v>
      </c>
      <c r="B353" s="2">
        <v>46257</v>
      </c>
      <c r="C353" t="s">
        <v>19</v>
      </c>
      <c r="D353" t="s">
        <v>29</v>
      </c>
      <c r="E353">
        <v>2</v>
      </c>
      <c r="F353" t="str">
        <f>_xlfn.XLOOKUP(D353, Products!$A$2:$A$21, Products!$B$2:$B$21, "Not Found")</f>
        <v>Phone Case</v>
      </c>
      <c r="G353" t="str">
        <f>_xlfn.XLOOKUP(D353, Products!$A$2:$A$21, Products!$C$2:$C$21)</f>
        <v>Accessories</v>
      </c>
      <c r="H353">
        <f>_xlfn.XLOOKUP(D353, Products!$A$2:$A$21, Products!$E$2:$E$21, 0)</f>
        <v>39</v>
      </c>
      <c r="I353">
        <f>_xlfn.XLOOKUP(D353, Products!$A$2:$A$21, Products!$F$2:$F$21,0)</f>
        <v>9</v>
      </c>
      <c r="J353" t="str">
        <f>_xlfn.XLOOKUP(C353, Stores!$A$2:$A$7, Stores!$D$2:$D$7)</f>
        <v>Sydney North</v>
      </c>
      <c r="K353">
        <f t="shared" si="10"/>
        <v>78</v>
      </c>
      <c r="L353">
        <f t="shared" si="11"/>
        <v>60</v>
      </c>
    </row>
    <row r="354" spans="1:12">
      <c r="A354" t="s">
        <v>393</v>
      </c>
      <c r="B354" s="2">
        <v>46257</v>
      </c>
      <c r="C354" t="s">
        <v>13</v>
      </c>
      <c r="D354" t="s">
        <v>61</v>
      </c>
      <c r="E354">
        <v>2</v>
      </c>
      <c r="F354" t="str">
        <f>_xlfn.XLOOKUP(D354, Products!$A$2:$A$21, Products!$B$2:$B$21, "Not Found")</f>
        <v>Soundbar</v>
      </c>
      <c r="G354" t="str">
        <f>_xlfn.XLOOKUP(D354, Products!$A$2:$A$21, Products!$C$2:$C$21)</f>
        <v>Audio</v>
      </c>
      <c r="H354">
        <f>_xlfn.XLOOKUP(D354, Products!$A$2:$A$21, Products!$E$2:$E$21, 0)</f>
        <v>699</v>
      </c>
      <c r="I354">
        <f>_xlfn.XLOOKUP(D354, Products!$A$2:$A$21, Products!$F$2:$F$21,0)</f>
        <v>450</v>
      </c>
      <c r="J354" t="str">
        <f>_xlfn.XLOOKUP(C354, Stores!$A$2:$A$7, Stores!$D$2:$D$7)</f>
        <v>Sydney West</v>
      </c>
      <c r="K354">
        <f t="shared" si="10"/>
        <v>1398</v>
      </c>
      <c r="L354">
        <f t="shared" si="11"/>
        <v>498</v>
      </c>
    </row>
    <row r="355" spans="1:12">
      <c r="A355" t="s">
        <v>394</v>
      </c>
      <c r="B355" s="2">
        <v>46257</v>
      </c>
      <c r="C355" t="s">
        <v>22</v>
      </c>
      <c r="D355" t="s">
        <v>32</v>
      </c>
      <c r="E355">
        <v>1</v>
      </c>
      <c r="F355" t="str">
        <f>_xlfn.XLOOKUP(D355, Products!$A$2:$A$21, Products!$B$2:$B$21, "Not Found")</f>
        <v>USB-C Charger</v>
      </c>
      <c r="G355" t="str">
        <f>_xlfn.XLOOKUP(D355, Products!$A$2:$A$21, Products!$C$2:$C$21)</f>
        <v>Accessories</v>
      </c>
      <c r="H355">
        <f>_xlfn.XLOOKUP(D355, Products!$A$2:$A$21, Products!$E$2:$E$21, 0)</f>
        <v>49</v>
      </c>
      <c r="I355">
        <f>_xlfn.XLOOKUP(D355, Products!$A$2:$A$21, Products!$F$2:$F$21,0)</f>
        <v>14</v>
      </c>
      <c r="J355" t="str">
        <f>_xlfn.XLOOKUP(C355, Stores!$A$2:$A$7, Stores!$D$2:$D$7)</f>
        <v>Sydney West</v>
      </c>
      <c r="K355">
        <f t="shared" si="10"/>
        <v>49</v>
      </c>
      <c r="L355">
        <f t="shared" si="11"/>
        <v>35</v>
      </c>
    </row>
    <row r="356" spans="1:12">
      <c r="A356" t="s">
        <v>395</v>
      </c>
      <c r="B356" s="2">
        <v>46257</v>
      </c>
      <c r="C356" t="s">
        <v>51</v>
      </c>
      <c r="D356" t="s">
        <v>54</v>
      </c>
      <c r="E356">
        <v>2</v>
      </c>
      <c r="F356" t="str">
        <f>_xlfn.XLOOKUP(D356, Products!$A$2:$A$21, Products!$B$2:$B$21, "Not Found")</f>
        <v>55in TV</v>
      </c>
      <c r="G356" t="str">
        <f>_xlfn.XLOOKUP(D356, Products!$A$2:$A$21, Products!$C$2:$C$21)</f>
        <v>TV</v>
      </c>
      <c r="H356">
        <f>_xlfn.XLOOKUP(D356, Products!$A$2:$A$21, Products!$E$2:$E$21, 0)</f>
        <v>1299</v>
      </c>
      <c r="I356">
        <f>_xlfn.XLOOKUP(D356, Products!$A$2:$A$21, Products!$F$2:$F$21,0)</f>
        <v>980</v>
      </c>
      <c r="J356" t="str">
        <f>_xlfn.XLOOKUP(C356, Stores!$A$2:$A$7, Stores!$D$2:$D$7)</f>
        <v>Sydney South</v>
      </c>
      <c r="K356">
        <f t="shared" si="10"/>
        <v>2598</v>
      </c>
      <c r="L356">
        <f t="shared" si="11"/>
        <v>638</v>
      </c>
    </row>
    <row r="357" spans="1:12">
      <c r="A357" t="s">
        <v>396</v>
      </c>
      <c r="B357" s="2">
        <v>46257</v>
      </c>
      <c r="C357" t="s">
        <v>19</v>
      </c>
      <c r="D357" t="s">
        <v>29</v>
      </c>
      <c r="E357">
        <v>1</v>
      </c>
      <c r="F357" t="str">
        <f>_xlfn.XLOOKUP(D357, Products!$A$2:$A$21, Products!$B$2:$B$21, "Not Found")</f>
        <v>Phone Case</v>
      </c>
      <c r="G357" t="str">
        <f>_xlfn.XLOOKUP(D357, Products!$A$2:$A$21, Products!$C$2:$C$21)</f>
        <v>Accessories</v>
      </c>
      <c r="H357">
        <f>_xlfn.XLOOKUP(D357, Products!$A$2:$A$21, Products!$E$2:$E$21, 0)</f>
        <v>39</v>
      </c>
      <c r="I357">
        <f>_xlfn.XLOOKUP(D357, Products!$A$2:$A$21, Products!$F$2:$F$21,0)</f>
        <v>9</v>
      </c>
      <c r="J357" t="str">
        <f>_xlfn.XLOOKUP(C357, Stores!$A$2:$A$7, Stores!$D$2:$D$7)</f>
        <v>Sydney North</v>
      </c>
      <c r="K357">
        <f t="shared" si="10"/>
        <v>39</v>
      </c>
      <c r="L357">
        <f t="shared" si="11"/>
        <v>30</v>
      </c>
    </row>
    <row r="358" spans="1:12">
      <c r="A358" t="s">
        <v>397</v>
      </c>
      <c r="B358" s="2">
        <v>46258</v>
      </c>
      <c r="C358" t="s">
        <v>25</v>
      </c>
      <c r="D358" t="s">
        <v>63</v>
      </c>
      <c r="E358">
        <v>1</v>
      </c>
      <c r="F358" t="str">
        <f>_xlfn.XLOOKUP(D358, Products!$A$2:$A$21, Products!$B$2:$B$21, "Not Found")</f>
        <v>27in Monitor</v>
      </c>
      <c r="G358" t="str">
        <f>_xlfn.XLOOKUP(D358, Products!$A$2:$A$21, Products!$C$2:$C$21)</f>
        <v>Computers</v>
      </c>
      <c r="H358">
        <f>_xlfn.XLOOKUP(D358, Products!$A$2:$A$21, Products!$E$2:$E$21, 0)</f>
        <v>399</v>
      </c>
      <c r="I358">
        <f>_xlfn.XLOOKUP(D358, Products!$A$2:$A$21, Products!$F$2:$F$21,0)</f>
        <v>290</v>
      </c>
      <c r="J358" t="str">
        <f>_xlfn.XLOOKUP(C358, Stores!$A$2:$A$7, Stores!$D$2:$D$7)</f>
        <v>Sydney South</v>
      </c>
      <c r="K358">
        <f t="shared" si="10"/>
        <v>399</v>
      </c>
      <c r="L358">
        <f t="shared" si="11"/>
        <v>109</v>
      </c>
    </row>
    <row r="359" spans="1:12">
      <c r="A359" t="s">
        <v>398</v>
      </c>
      <c r="B359" s="2">
        <v>46258</v>
      </c>
      <c r="C359" t="s">
        <v>25</v>
      </c>
      <c r="D359" t="s">
        <v>124</v>
      </c>
      <c r="E359">
        <v>1</v>
      </c>
      <c r="F359" t="str">
        <f>_xlfn.XLOOKUP(D359, Products!$A$2:$A$21, Products!$B$2:$B$21, "Not Found")</f>
        <v>65in TV</v>
      </c>
      <c r="G359" t="str">
        <f>_xlfn.XLOOKUP(D359, Products!$A$2:$A$21, Products!$C$2:$C$21)</f>
        <v>TV</v>
      </c>
      <c r="H359">
        <f>_xlfn.XLOOKUP(D359, Products!$A$2:$A$21, Products!$E$2:$E$21, 0)</f>
        <v>1999</v>
      </c>
      <c r="I359">
        <f>_xlfn.XLOOKUP(D359, Products!$A$2:$A$21, Products!$F$2:$F$21,0)</f>
        <v>1520</v>
      </c>
      <c r="J359" t="str">
        <f>_xlfn.XLOOKUP(C359, Stores!$A$2:$A$7, Stores!$D$2:$D$7)</f>
        <v>Sydney South</v>
      </c>
      <c r="K359">
        <f t="shared" si="10"/>
        <v>1999</v>
      </c>
      <c r="L359">
        <f t="shared" si="11"/>
        <v>479</v>
      </c>
    </row>
    <row r="360" spans="1:12">
      <c r="A360" t="s">
        <v>399</v>
      </c>
      <c r="B360" s="2">
        <v>46258</v>
      </c>
      <c r="C360" t="s">
        <v>22</v>
      </c>
      <c r="D360" t="s">
        <v>48</v>
      </c>
      <c r="E360">
        <v>2</v>
      </c>
      <c r="F360" t="str">
        <f>_xlfn.XLOOKUP(D360, Products!$A$2:$A$21, Products!$B$2:$B$21, "Not Found")</f>
        <v>Tablet 11in</v>
      </c>
      <c r="G360" t="str">
        <f>_xlfn.XLOOKUP(D360, Products!$A$2:$A$21, Products!$C$2:$C$21)</f>
        <v>Computers</v>
      </c>
      <c r="H360">
        <f>_xlfn.XLOOKUP(D360, Products!$A$2:$A$21, Products!$E$2:$E$21, 0)</f>
        <v>899</v>
      </c>
      <c r="I360">
        <f>_xlfn.XLOOKUP(D360, Products!$A$2:$A$21, Products!$F$2:$F$21,0)</f>
        <v>690</v>
      </c>
      <c r="J360" t="str">
        <f>_xlfn.XLOOKUP(C360, Stores!$A$2:$A$7, Stores!$D$2:$D$7)</f>
        <v>Sydney West</v>
      </c>
      <c r="K360">
        <f t="shared" si="10"/>
        <v>1798</v>
      </c>
      <c r="L360">
        <f t="shared" si="11"/>
        <v>418</v>
      </c>
    </row>
    <row r="361" spans="1:12">
      <c r="A361" t="s">
        <v>400</v>
      </c>
      <c r="B361" s="2">
        <v>46258</v>
      </c>
      <c r="C361" t="s">
        <v>22</v>
      </c>
      <c r="D361" t="s">
        <v>29</v>
      </c>
      <c r="E361">
        <v>1</v>
      </c>
      <c r="F361" t="str">
        <f>_xlfn.XLOOKUP(D361, Products!$A$2:$A$21, Products!$B$2:$B$21, "Not Found")</f>
        <v>Phone Case</v>
      </c>
      <c r="G361" t="str">
        <f>_xlfn.XLOOKUP(D361, Products!$A$2:$A$21, Products!$C$2:$C$21)</f>
        <v>Accessories</v>
      </c>
      <c r="H361">
        <f>_xlfn.XLOOKUP(D361, Products!$A$2:$A$21, Products!$E$2:$E$21, 0)</f>
        <v>39</v>
      </c>
      <c r="I361">
        <f>_xlfn.XLOOKUP(D361, Products!$A$2:$A$21, Products!$F$2:$F$21,0)</f>
        <v>9</v>
      </c>
      <c r="J361" t="str">
        <f>_xlfn.XLOOKUP(C361, Stores!$A$2:$A$7, Stores!$D$2:$D$7)</f>
        <v>Sydney West</v>
      </c>
      <c r="K361">
        <f t="shared" si="10"/>
        <v>39</v>
      </c>
      <c r="L361">
        <f t="shared" si="11"/>
        <v>30</v>
      </c>
    </row>
    <row r="362" spans="1:12">
      <c r="A362" t="s">
        <v>401</v>
      </c>
      <c r="B362" s="2">
        <v>46258</v>
      </c>
      <c r="C362" t="s">
        <v>13</v>
      </c>
      <c r="D362" t="s">
        <v>146</v>
      </c>
      <c r="E362">
        <v>1</v>
      </c>
      <c r="F362" t="str">
        <f>_xlfn.XLOOKUP(D362, Products!$A$2:$A$21, Products!$B$2:$B$21, "Not Found")</f>
        <v>Game Console</v>
      </c>
      <c r="G362" t="str">
        <f>_xlfn.XLOOKUP(D362, Products!$A$2:$A$21, Products!$C$2:$C$21)</f>
        <v>Gaming</v>
      </c>
      <c r="H362">
        <f>_xlfn.XLOOKUP(D362, Products!$A$2:$A$21, Products!$E$2:$E$21, 0)</f>
        <v>499</v>
      </c>
      <c r="I362">
        <f>_xlfn.XLOOKUP(D362, Products!$A$2:$A$21, Products!$F$2:$F$21,0)</f>
        <v>420</v>
      </c>
      <c r="J362" t="str">
        <f>_xlfn.XLOOKUP(C362, Stores!$A$2:$A$7, Stores!$D$2:$D$7)</f>
        <v>Sydney West</v>
      </c>
      <c r="K362">
        <f t="shared" si="10"/>
        <v>499</v>
      </c>
      <c r="L362">
        <f t="shared" si="11"/>
        <v>79</v>
      </c>
    </row>
    <row r="363" spans="1:12">
      <c r="A363" t="s">
        <v>402</v>
      </c>
      <c r="B363" s="2">
        <v>46259</v>
      </c>
      <c r="C363" t="s">
        <v>13</v>
      </c>
      <c r="D363" t="s">
        <v>54</v>
      </c>
      <c r="E363">
        <v>3</v>
      </c>
      <c r="F363" t="str">
        <f>_xlfn.XLOOKUP(D363, Products!$A$2:$A$21, Products!$B$2:$B$21, "Not Found")</f>
        <v>55in TV</v>
      </c>
      <c r="G363" t="str">
        <f>_xlfn.XLOOKUP(D363, Products!$A$2:$A$21, Products!$C$2:$C$21)</f>
        <v>TV</v>
      </c>
      <c r="H363">
        <f>_xlfn.XLOOKUP(D363, Products!$A$2:$A$21, Products!$E$2:$E$21, 0)</f>
        <v>1299</v>
      </c>
      <c r="I363">
        <f>_xlfn.XLOOKUP(D363, Products!$A$2:$A$21, Products!$F$2:$F$21,0)</f>
        <v>980</v>
      </c>
      <c r="J363" t="str">
        <f>_xlfn.XLOOKUP(C363, Stores!$A$2:$A$7, Stores!$D$2:$D$7)</f>
        <v>Sydney West</v>
      </c>
      <c r="K363">
        <f t="shared" si="10"/>
        <v>3897</v>
      </c>
      <c r="L363">
        <f t="shared" si="11"/>
        <v>957</v>
      </c>
    </row>
    <row r="364" spans="1:12">
      <c r="A364" t="s">
        <v>403</v>
      </c>
      <c r="B364" s="2">
        <v>46259</v>
      </c>
      <c r="C364" t="s">
        <v>25</v>
      </c>
      <c r="D364" t="s">
        <v>29</v>
      </c>
      <c r="E364">
        <v>1</v>
      </c>
      <c r="F364" t="str">
        <f>_xlfn.XLOOKUP(D364, Products!$A$2:$A$21, Products!$B$2:$B$21, "Not Found")</f>
        <v>Phone Case</v>
      </c>
      <c r="G364" t="str">
        <f>_xlfn.XLOOKUP(D364, Products!$A$2:$A$21, Products!$C$2:$C$21)</f>
        <v>Accessories</v>
      </c>
      <c r="H364">
        <f>_xlfn.XLOOKUP(D364, Products!$A$2:$A$21, Products!$E$2:$E$21, 0)</f>
        <v>39</v>
      </c>
      <c r="I364">
        <f>_xlfn.XLOOKUP(D364, Products!$A$2:$A$21, Products!$F$2:$F$21,0)</f>
        <v>9</v>
      </c>
      <c r="J364" t="str">
        <f>_xlfn.XLOOKUP(C364, Stores!$A$2:$A$7, Stores!$D$2:$D$7)</f>
        <v>Sydney South</v>
      </c>
      <c r="K364">
        <f t="shared" si="10"/>
        <v>39</v>
      </c>
      <c r="L364">
        <f t="shared" si="11"/>
        <v>30</v>
      </c>
    </row>
    <row r="365" spans="1:12">
      <c r="A365" t="s">
        <v>404</v>
      </c>
      <c r="B365" s="2">
        <v>46259</v>
      </c>
      <c r="C365" t="s">
        <v>22</v>
      </c>
      <c r="D365" t="s">
        <v>124</v>
      </c>
      <c r="E365">
        <v>1</v>
      </c>
      <c r="F365" t="str">
        <f>_xlfn.XLOOKUP(D365, Products!$A$2:$A$21, Products!$B$2:$B$21, "Not Found")</f>
        <v>65in TV</v>
      </c>
      <c r="G365" t="str">
        <f>_xlfn.XLOOKUP(D365, Products!$A$2:$A$21, Products!$C$2:$C$21)</f>
        <v>TV</v>
      </c>
      <c r="H365">
        <f>_xlfn.XLOOKUP(D365, Products!$A$2:$A$21, Products!$E$2:$E$21, 0)</f>
        <v>1999</v>
      </c>
      <c r="I365">
        <f>_xlfn.XLOOKUP(D365, Products!$A$2:$A$21, Products!$F$2:$F$21,0)</f>
        <v>1520</v>
      </c>
      <c r="J365" t="str">
        <f>_xlfn.XLOOKUP(C365, Stores!$A$2:$A$7, Stores!$D$2:$D$7)</f>
        <v>Sydney West</v>
      </c>
      <c r="K365">
        <f t="shared" si="10"/>
        <v>1999</v>
      </c>
      <c r="L365">
        <f t="shared" si="11"/>
        <v>479</v>
      </c>
    </row>
    <row r="366" spans="1:12">
      <c r="A366" t="s">
        <v>405</v>
      </c>
      <c r="B366" s="2">
        <v>46259</v>
      </c>
      <c r="C366" t="s">
        <v>22</v>
      </c>
      <c r="D366" t="s">
        <v>29</v>
      </c>
      <c r="E366">
        <v>3</v>
      </c>
      <c r="F366" t="str">
        <f>_xlfn.XLOOKUP(D366, Products!$A$2:$A$21, Products!$B$2:$B$21, "Not Found")</f>
        <v>Phone Case</v>
      </c>
      <c r="G366" t="str">
        <f>_xlfn.XLOOKUP(D366, Products!$A$2:$A$21, Products!$C$2:$C$21)</f>
        <v>Accessories</v>
      </c>
      <c r="H366">
        <f>_xlfn.XLOOKUP(D366, Products!$A$2:$A$21, Products!$E$2:$E$21, 0)</f>
        <v>39</v>
      </c>
      <c r="I366">
        <f>_xlfn.XLOOKUP(D366, Products!$A$2:$A$21, Products!$F$2:$F$21,0)</f>
        <v>9</v>
      </c>
      <c r="J366" t="str">
        <f>_xlfn.XLOOKUP(C366, Stores!$A$2:$A$7, Stores!$D$2:$D$7)</f>
        <v>Sydney West</v>
      </c>
      <c r="K366">
        <f t="shared" si="10"/>
        <v>117</v>
      </c>
      <c r="L366">
        <f t="shared" si="11"/>
        <v>90</v>
      </c>
    </row>
    <row r="367" spans="1:12">
      <c r="A367" t="s">
        <v>406</v>
      </c>
      <c r="B367" s="2">
        <v>46259</v>
      </c>
      <c r="C367" t="s">
        <v>16</v>
      </c>
      <c r="D367" t="s">
        <v>29</v>
      </c>
      <c r="E367">
        <v>4</v>
      </c>
      <c r="F367" t="str">
        <f>_xlfn.XLOOKUP(D367, Products!$A$2:$A$21, Products!$B$2:$B$21, "Not Found")</f>
        <v>Phone Case</v>
      </c>
      <c r="G367" t="str">
        <f>_xlfn.XLOOKUP(D367, Products!$A$2:$A$21, Products!$C$2:$C$21)</f>
        <v>Accessories</v>
      </c>
      <c r="H367">
        <f>_xlfn.XLOOKUP(D367, Products!$A$2:$A$21, Products!$E$2:$E$21, 0)</f>
        <v>39</v>
      </c>
      <c r="I367">
        <f>_xlfn.XLOOKUP(D367, Products!$A$2:$A$21, Products!$F$2:$F$21,0)</f>
        <v>9</v>
      </c>
      <c r="J367" t="str">
        <f>_xlfn.XLOOKUP(C367, Stores!$A$2:$A$7, Stores!$D$2:$D$7)</f>
        <v>Sydney East</v>
      </c>
      <c r="K367">
        <f t="shared" si="10"/>
        <v>156</v>
      </c>
      <c r="L367">
        <f t="shared" si="11"/>
        <v>120</v>
      </c>
    </row>
    <row r="368" spans="1:12">
      <c r="A368" t="s">
        <v>407</v>
      </c>
      <c r="B368" s="2">
        <v>46260</v>
      </c>
      <c r="C368" t="s">
        <v>51</v>
      </c>
      <c r="D368" t="s">
        <v>17</v>
      </c>
      <c r="E368">
        <v>1</v>
      </c>
      <c r="F368" t="str">
        <f>_xlfn.XLOOKUP(D368, Products!$A$2:$A$21, Products!$B$2:$B$21, "Not Found")</f>
        <v>Wireless Earbuds</v>
      </c>
      <c r="G368" t="str">
        <f>_xlfn.XLOOKUP(D368, Products!$A$2:$A$21, Products!$C$2:$C$21)</f>
        <v>Audio</v>
      </c>
      <c r="H368">
        <f>_xlfn.XLOOKUP(D368, Products!$A$2:$A$21, Products!$E$2:$E$21, 0)</f>
        <v>249</v>
      </c>
      <c r="I368">
        <f>_xlfn.XLOOKUP(D368, Products!$A$2:$A$21, Products!$F$2:$F$21,0)</f>
        <v>140</v>
      </c>
      <c r="J368" t="str">
        <f>_xlfn.XLOOKUP(C368, Stores!$A$2:$A$7, Stores!$D$2:$D$7)</f>
        <v>Sydney South</v>
      </c>
      <c r="K368">
        <f t="shared" si="10"/>
        <v>249</v>
      </c>
      <c r="L368">
        <f t="shared" si="11"/>
        <v>109</v>
      </c>
    </row>
    <row r="369" spans="1:12">
      <c r="A369" t="s">
        <v>408</v>
      </c>
      <c r="B369" s="2">
        <v>46261</v>
      </c>
      <c r="C369" t="s">
        <v>16</v>
      </c>
      <c r="D369" t="s">
        <v>20</v>
      </c>
      <c r="E369">
        <v>1</v>
      </c>
      <c r="F369" t="str">
        <f>_xlfn.XLOOKUP(D369, Products!$A$2:$A$21, Products!$B$2:$B$21, "Not Found")</f>
        <v>Bluetooth Speaker</v>
      </c>
      <c r="G369" t="str">
        <f>_xlfn.XLOOKUP(D369, Products!$A$2:$A$21, Products!$C$2:$C$21)</f>
        <v>Audio</v>
      </c>
      <c r="H369">
        <f>_xlfn.XLOOKUP(D369, Products!$A$2:$A$21, Products!$E$2:$E$21, 0)</f>
        <v>179</v>
      </c>
      <c r="I369">
        <f>_xlfn.XLOOKUP(D369, Products!$A$2:$A$21, Products!$F$2:$F$21,0)</f>
        <v>95</v>
      </c>
      <c r="J369" t="str">
        <f>_xlfn.XLOOKUP(C369, Stores!$A$2:$A$7, Stores!$D$2:$D$7)</f>
        <v>Sydney East</v>
      </c>
      <c r="K369">
        <f t="shared" si="10"/>
        <v>179</v>
      </c>
      <c r="L369">
        <f t="shared" si="11"/>
        <v>84</v>
      </c>
    </row>
    <row r="370" spans="1:12">
      <c r="A370" t="s">
        <v>409</v>
      </c>
      <c r="B370" s="2">
        <v>46261</v>
      </c>
      <c r="C370" t="s">
        <v>16</v>
      </c>
      <c r="D370" t="s">
        <v>37</v>
      </c>
      <c r="E370">
        <v>4</v>
      </c>
      <c r="F370" t="str">
        <f>_xlfn.XLOOKUP(D370, Products!$A$2:$A$21, Products!$B$2:$B$21, "Not Found")</f>
        <v>Console Controller</v>
      </c>
      <c r="G370" t="str">
        <f>_xlfn.XLOOKUP(D370, Products!$A$2:$A$21, Products!$C$2:$C$21)</f>
        <v>Gaming</v>
      </c>
      <c r="H370">
        <f>_xlfn.XLOOKUP(D370, Products!$A$2:$A$21, Products!$E$2:$E$21, 0)</f>
        <v>99</v>
      </c>
      <c r="I370">
        <f>_xlfn.XLOOKUP(D370, Products!$A$2:$A$21, Products!$F$2:$F$21,0)</f>
        <v>58</v>
      </c>
      <c r="J370" t="str">
        <f>_xlfn.XLOOKUP(C370, Stores!$A$2:$A$7, Stores!$D$2:$D$7)</f>
        <v>Sydney East</v>
      </c>
      <c r="K370">
        <f t="shared" si="10"/>
        <v>396</v>
      </c>
      <c r="L370">
        <f t="shared" si="11"/>
        <v>164</v>
      </c>
    </row>
    <row r="371" spans="1:12">
      <c r="A371" t="s">
        <v>410</v>
      </c>
      <c r="B371" s="2">
        <v>46261</v>
      </c>
      <c r="C371" t="s">
        <v>51</v>
      </c>
      <c r="D371" t="s">
        <v>14</v>
      </c>
      <c r="E371">
        <v>1</v>
      </c>
      <c r="F371" t="str">
        <f>_xlfn.XLOOKUP(D371, Products!$A$2:$A$21, Products!$B$2:$B$21, "Not Found")</f>
        <v>Gaming Mouse</v>
      </c>
      <c r="G371" t="str">
        <f>_xlfn.XLOOKUP(D371, Products!$A$2:$A$21, Products!$C$2:$C$21)</f>
        <v>Accessories</v>
      </c>
      <c r="H371">
        <f>_xlfn.XLOOKUP(D371, Products!$A$2:$A$21, Products!$E$2:$E$21, 0)</f>
        <v>89</v>
      </c>
      <c r="I371">
        <f>_xlfn.XLOOKUP(D371, Products!$A$2:$A$21, Products!$F$2:$F$21,0)</f>
        <v>41</v>
      </c>
      <c r="J371" t="str">
        <f>_xlfn.XLOOKUP(C371, Stores!$A$2:$A$7, Stores!$D$2:$D$7)</f>
        <v>Sydney South</v>
      </c>
      <c r="K371">
        <f t="shared" si="10"/>
        <v>89</v>
      </c>
      <c r="L371">
        <f t="shared" si="11"/>
        <v>48</v>
      </c>
    </row>
    <row r="372" spans="1:12">
      <c r="A372" t="s">
        <v>411</v>
      </c>
      <c r="B372" s="2">
        <v>46261</v>
      </c>
      <c r="C372" t="s">
        <v>13</v>
      </c>
      <c r="D372" t="s">
        <v>48</v>
      </c>
      <c r="E372">
        <v>1</v>
      </c>
      <c r="F372" t="str">
        <f>_xlfn.XLOOKUP(D372, Products!$A$2:$A$21, Products!$B$2:$B$21, "Not Found")</f>
        <v>Tablet 11in</v>
      </c>
      <c r="G372" t="str">
        <f>_xlfn.XLOOKUP(D372, Products!$A$2:$A$21, Products!$C$2:$C$21)</f>
        <v>Computers</v>
      </c>
      <c r="H372">
        <f>_xlfn.XLOOKUP(D372, Products!$A$2:$A$21, Products!$E$2:$E$21, 0)</f>
        <v>899</v>
      </c>
      <c r="I372">
        <f>_xlfn.XLOOKUP(D372, Products!$A$2:$A$21, Products!$F$2:$F$21,0)</f>
        <v>690</v>
      </c>
      <c r="J372" t="str">
        <f>_xlfn.XLOOKUP(C372, Stores!$A$2:$A$7, Stores!$D$2:$D$7)</f>
        <v>Sydney West</v>
      </c>
      <c r="K372">
        <f t="shared" si="10"/>
        <v>899</v>
      </c>
      <c r="L372">
        <f t="shared" si="11"/>
        <v>209</v>
      </c>
    </row>
    <row r="373" spans="1:12">
      <c r="A373" t="s">
        <v>412</v>
      </c>
      <c r="B373" s="2">
        <v>46261</v>
      </c>
      <c r="C373" t="s">
        <v>19</v>
      </c>
      <c r="D373" t="s">
        <v>63</v>
      </c>
      <c r="E373">
        <v>3</v>
      </c>
      <c r="F373" t="str">
        <f>_xlfn.XLOOKUP(D373, Products!$A$2:$A$21, Products!$B$2:$B$21, "Not Found")</f>
        <v>27in Monitor</v>
      </c>
      <c r="G373" t="str">
        <f>_xlfn.XLOOKUP(D373, Products!$A$2:$A$21, Products!$C$2:$C$21)</f>
        <v>Computers</v>
      </c>
      <c r="H373">
        <f>_xlfn.XLOOKUP(D373, Products!$A$2:$A$21, Products!$E$2:$E$21, 0)</f>
        <v>399</v>
      </c>
      <c r="I373">
        <f>_xlfn.XLOOKUP(D373, Products!$A$2:$A$21, Products!$F$2:$F$21,0)</f>
        <v>290</v>
      </c>
      <c r="J373" t="str">
        <f>_xlfn.XLOOKUP(C373, Stores!$A$2:$A$7, Stores!$D$2:$D$7)</f>
        <v>Sydney North</v>
      </c>
      <c r="K373">
        <f t="shared" si="10"/>
        <v>1197</v>
      </c>
      <c r="L373">
        <f t="shared" si="11"/>
        <v>327</v>
      </c>
    </row>
    <row r="374" spans="1:12">
      <c r="A374" t="s">
        <v>413</v>
      </c>
      <c r="B374" s="2">
        <v>46261</v>
      </c>
      <c r="C374" t="s">
        <v>16</v>
      </c>
      <c r="D374" t="s">
        <v>48</v>
      </c>
      <c r="E374">
        <v>1</v>
      </c>
      <c r="F374" t="str">
        <f>_xlfn.XLOOKUP(D374, Products!$A$2:$A$21, Products!$B$2:$B$21, "Not Found")</f>
        <v>Tablet 11in</v>
      </c>
      <c r="G374" t="str">
        <f>_xlfn.XLOOKUP(D374, Products!$A$2:$A$21, Products!$C$2:$C$21)</f>
        <v>Computers</v>
      </c>
      <c r="H374">
        <f>_xlfn.XLOOKUP(D374, Products!$A$2:$A$21, Products!$E$2:$E$21, 0)</f>
        <v>899</v>
      </c>
      <c r="I374">
        <f>_xlfn.XLOOKUP(D374, Products!$A$2:$A$21, Products!$F$2:$F$21,0)</f>
        <v>690</v>
      </c>
      <c r="J374" t="str">
        <f>_xlfn.XLOOKUP(C374, Stores!$A$2:$A$7, Stores!$D$2:$D$7)</f>
        <v>Sydney East</v>
      </c>
      <c r="K374">
        <f t="shared" si="10"/>
        <v>899</v>
      </c>
      <c r="L374">
        <f t="shared" si="11"/>
        <v>209</v>
      </c>
    </row>
    <row r="375" spans="1:12">
      <c r="A375" t="s">
        <v>414</v>
      </c>
      <c r="B375" s="2">
        <v>46261</v>
      </c>
      <c r="C375" t="s">
        <v>51</v>
      </c>
      <c r="D375" t="s">
        <v>37</v>
      </c>
      <c r="E375">
        <v>1</v>
      </c>
      <c r="F375" t="str">
        <f>_xlfn.XLOOKUP(D375, Products!$A$2:$A$21, Products!$B$2:$B$21, "Not Found")</f>
        <v>Console Controller</v>
      </c>
      <c r="G375" t="str">
        <f>_xlfn.XLOOKUP(D375, Products!$A$2:$A$21, Products!$C$2:$C$21)</f>
        <v>Gaming</v>
      </c>
      <c r="H375">
        <f>_xlfn.XLOOKUP(D375, Products!$A$2:$A$21, Products!$E$2:$E$21, 0)</f>
        <v>99</v>
      </c>
      <c r="I375">
        <f>_xlfn.XLOOKUP(D375, Products!$A$2:$A$21, Products!$F$2:$F$21,0)</f>
        <v>58</v>
      </c>
      <c r="J375" t="str">
        <f>_xlfn.XLOOKUP(C375, Stores!$A$2:$A$7, Stores!$D$2:$D$7)</f>
        <v>Sydney South</v>
      </c>
      <c r="K375">
        <f t="shared" si="10"/>
        <v>99</v>
      </c>
      <c r="L375">
        <f t="shared" si="11"/>
        <v>41</v>
      </c>
    </row>
    <row r="376" spans="1:12">
      <c r="A376" t="s">
        <v>415</v>
      </c>
      <c r="B376" s="2">
        <v>46261</v>
      </c>
      <c r="C376" t="s">
        <v>16</v>
      </c>
      <c r="D376" t="s">
        <v>32</v>
      </c>
      <c r="E376">
        <v>1</v>
      </c>
      <c r="F376" t="str">
        <f>_xlfn.XLOOKUP(D376, Products!$A$2:$A$21, Products!$B$2:$B$21, "Not Found")</f>
        <v>USB-C Charger</v>
      </c>
      <c r="G376" t="str">
        <f>_xlfn.XLOOKUP(D376, Products!$A$2:$A$21, Products!$C$2:$C$21)</f>
        <v>Accessories</v>
      </c>
      <c r="H376">
        <f>_xlfn.XLOOKUP(D376, Products!$A$2:$A$21, Products!$E$2:$E$21, 0)</f>
        <v>49</v>
      </c>
      <c r="I376">
        <f>_xlfn.XLOOKUP(D376, Products!$A$2:$A$21, Products!$F$2:$F$21,0)</f>
        <v>14</v>
      </c>
      <c r="J376" t="str">
        <f>_xlfn.XLOOKUP(C376, Stores!$A$2:$A$7, Stores!$D$2:$D$7)</f>
        <v>Sydney East</v>
      </c>
      <c r="K376">
        <f t="shared" si="10"/>
        <v>49</v>
      </c>
      <c r="L376">
        <f t="shared" si="11"/>
        <v>35</v>
      </c>
    </row>
    <row r="377" spans="1:12">
      <c r="A377" t="s">
        <v>416</v>
      </c>
      <c r="B377" s="2">
        <v>46261</v>
      </c>
      <c r="C377" t="s">
        <v>16</v>
      </c>
      <c r="D377" t="s">
        <v>20</v>
      </c>
      <c r="E377">
        <v>2</v>
      </c>
      <c r="F377" t="str">
        <f>_xlfn.XLOOKUP(D377, Products!$A$2:$A$21, Products!$B$2:$B$21, "Not Found")</f>
        <v>Bluetooth Speaker</v>
      </c>
      <c r="G377" t="str">
        <f>_xlfn.XLOOKUP(D377, Products!$A$2:$A$21, Products!$C$2:$C$21)</f>
        <v>Audio</v>
      </c>
      <c r="H377">
        <f>_xlfn.XLOOKUP(D377, Products!$A$2:$A$21, Products!$E$2:$E$21, 0)</f>
        <v>179</v>
      </c>
      <c r="I377">
        <f>_xlfn.XLOOKUP(D377, Products!$A$2:$A$21, Products!$F$2:$F$21,0)</f>
        <v>95</v>
      </c>
      <c r="J377" t="str">
        <f>_xlfn.XLOOKUP(C377, Stores!$A$2:$A$7, Stores!$D$2:$D$7)</f>
        <v>Sydney East</v>
      </c>
      <c r="K377">
        <f t="shared" si="10"/>
        <v>358</v>
      </c>
      <c r="L377">
        <f t="shared" si="11"/>
        <v>168</v>
      </c>
    </row>
    <row r="378" spans="1:12">
      <c r="A378" t="s">
        <v>417</v>
      </c>
      <c r="B378" s="2">
        <v>46262</v>
      </c>
      <c r="C378" t="s">
        <v>25</v>
      </c>
      <c r="D378" t="s">
        <v>17</v>
      </c>
      <c r="E378">
        <v>1</v>
      </c>
      <c r="F378" t="str">
        <f>_xlfn.XLOOKUP(D378, Products!$A$2:$A$21, Products!$B$2:$B$21, "Not Found")</f>
        <v>Wireless Earbuds</v>
      </c>
      <c r="G378" t="str">
        <f>_xlfn.XLOOKUP(D378, Products!$A$2:$A$21, Products!$C$2:$C$21)</f>
        <v>Audio</v>
      </c>
      <c r="H378">
        <f>_xlfn.XLOOKUP(D378, Products!$A$2:$A$21, Products!$E$2:$E$21, 0)</f>
        <v>249</v>
      </c>
      <c r="I378">
        <f>_xlfn.XLOOKUP(D378, Products!$A$2:$A$21, Products!$F$2:$F$21,0)</f>
        <v>140</v>
      </c>
      <c r="J378" t="str">
        <f>_xlfn.XLOOKUP(C378, Stores!$A$2:$A$7, Stores!$D$2:$D$7)</f>
        <v>Sydney South</v>
      </c>
      <c r="K378">
        <f t="shared" si="10"/>
        <v>249</v>
      </c>
      <c r="L378">
        <f t="shared" si="11"/>
        <v>109</v>
      </c>
    </row>
    <row r="379" spans="1:12">
      <c r="A379" t="s">
        <v>418</v>
      </c>
      <c r="B379" s="2">
        <v>46262</v>
      </c>
      <c r="C379" t="s">
        <v>22</v>
      </c>
      <c r="D379" t="s">
        <v>165</v>
      </c>
      <c r="E379">
        <v>1</v>
      </c>
      <c r="F379" t="str">
        <f>_xlfn.XLOOKUP(D379, Products!$A$2:$A$21, Products!$B$2:$B$21, "Not Found")</f>
        <v>Smartwatch</v>
      </c>
      <c r="G379" t="str">
        <f>_xlfn.XLOOKUP(D379, Products!$A$2:$A$21, Products!$C$2:$C$21)</f>
        <v>Phones</v>
      </c>
      <c r="H379">
        <f>_xlfn.XLOOKUP(D379, Products!$A$2:$A$21, Products!$E$2:$E$21, 0)</f>
        <v>649</v>
      </c>
      <c r="I379">
        <f>_xlfn.XLOOKUP(D379, Products!$A$2:$A$21, Products!$F$2:$F$21,0)</f>
        <v>480</v>
      </c>
      <c r="J379" t="str">
        <f>_xlfn.XLOOKUP(C379, Stores!$A$2:$A$7, Stores!$D$2:$D$7)</f>
        <v>Sydney West</v>
      </c>
      <c r="K379">
        <f t="shared" si="10"/>
        <v>649</v>
      </c>
      <c r="L379">
        <f t="shared" si="11"/>
        <v>169</v>
      </c>
    </row>
    <row r="380" spans="1:12">
      <c r="A380" t="s">
        <v>419</v>
      </c>
      <c r="B380" s="2">
        <v>46262</v>
      </c>
      <c r="C380" t="s">
        <v>16</v>
      </c>
      <c r="D380" t="s">
        <v>100</v>
      </c>
      <c r="E380">
        <v>1</v>
      </c>
      <c r="F380" t="str">
        <f>_xlfn.XLOOKUP(D380, Products!$A$2:$A$21, Products!$B$2:$B$21, "Not Found")</f>
        <v>Laptop 14in</v>
      </c>
      <c r="G380" t="str">
        <f>_xlfn.XLOOKUP(D380, Products!$A$2:$A$21, Products!$C$2:$C$21)</f>
        <v>Computers</v>
      </c>
      <c r="H380">
        <f>_xlfn.XLOOKUP(D380, Products!$A$2:$A$21, Products!$E$2:$E$21, 0)</f>
        <v>1199</v>
      </c>
      <c r="I380">
        <f>_xlfn.XLOOKUP(D380, Products!$A$2:$A$21, Products!$F$2:$F$21,0)</f>
        <v>930</v>
      </c>
      <c r="J380" t="str">
        <f>_xlfn.XLOOKUP(C380, Stores!$A$2:$A$7, Stores!$D$2:$D$7)</f>
        <v>Sydney East</v>
      </c>
      <c r="K380">
        <f t="shared" si="10"/>
        <v>1199</v>
      </c>
      <c r="L380">
        <f t="shared" si="11"/>
        <v>269</v>
      </c>
    </row>
    <row r="381" spans="1:12">
      <c r="A381" t="s">
        <v>420</v>
      </c>
      <c r="B381" s="2">
        <v>46262</v>
      </c>
      <c r="C381" t="s">
        <v>51</v>
      </c>
      <c r="D381" t="s">
        <v>52</v>
      </c>
      <c r="E381">
        <v>1</v>
      </c>
      <c r="F381" t="str">
        <f>_xlfn.XLOOKUP(D381, Products!$A$2:$A$21, Products!$B$2:$B$21, "Not Found")</f>
        <v>Mech Keyboard</v>
      </c>
      <c r="G381" t="str">
        <f>_xlfn.XLOOKUP(D381, Products!$A$2:$A$21, Products!$C$2:$C$21)</f>
        <v>Accessories</v>
      </c>
      <c r="H381">
        <f>_xlfn.XLOOKUP(D381, Products!$A$2:$A$21, Products!$E$2:$E$21, 0)</f>
        <v>149</v>
      </c>
      <c r="I381">
        <f>_xlfn.XLOOKUP(D381, Products!$A$2:$A$21, Products!$F$2:$F$21,0)</f>
        <v>72</v>
      </c>
      <c r="J381" t="str">
        <f>_xlfn.XLOOKUP(C381, Stores!$A$2:$A$7, Stores!$D$2:$D$7)</f>
        <v>Sydney South</v>
      </c>
      <c r="K381">
        <f t="shared" si="10"/>
        <v>149</v>
      </c>
      <c r="L381">
        <f t="shared" si="11"/>
        <v>77</v>
      </c>
    </row>
    <row r="382" spans="1:12">
      <c r="A382" t="s">
        <v>421</v>
      </c>
      <c r="B382" s="2">
        <v>46262</v>
      </c>
      <c r="C382" t="s">
        <v>13</v>
      </c>
      <c r="D382" t="s">
        <v>74</v>
      </c>
      <c r="E382">
        <v>2</v>
      </c>
      <c r="F382" t="str">
        <f>_xlfn.XLOOKUP(D382, Products!$A$2:$A$21, Products!$B$2:$B$21, "Not Found")</f>
        <v>Over-Ear Headphones</v>
      </c>
      <c r="G382" t="str">
        <f>_xlfn.XLOOKUP(D382, Products!$A$2:$A$21, Products!$C$2:$C$21)</f>
        <v>Audio</v>
      </c>
      <c r="H382">
        <f>_xlfn.XLOOKUP(D382, Products!$A$2:$A$21, Products!$E$2:$E$21, 0)</f>
        <v>499</v>
      </c>
      <c r="I382">
        <f>_xlfn.XLOOKUP(D382, Products!$A$2:$A$21, Products!$F$2:$F$21,0)</f>
        <v>310</v>
      </c>
      <c r="J382" t="str">
        <f>_xlfn.XLOOKUP(C382, Stores!$A$2:$A$7, Stores!$D$2:$D$7)</f>
        <v>Sydney West</v>
      </c>
      <c r="K382">
        <f t="shared" si="10"/>
        <v>998</v>
      </c>
      <c r="L382">
        <f t="shared" si="11"/>
        <v>378</v>
      </c>
    </row>
    <row r="383" spans="1:12">
      <c r="A383" t="s">
        <v>422</v>
      </c>
      <c r="B383" s="2">
        <v>46262</v>
      </c>
      <c r="C383" t="s">
        <v>13</v>
      </c>
      <c r="D383" t="s">
        <v>44</v>
      </c>
      <c r="E383">
        <v>2</v>
      </c>
      <c r="F383" t="str">
        <f>_xlfn.XLOOKUP(D383, Products!$A$2:$A$21, Products!$B$2:$B$21, "Not Found")</f>
        <v>Smartphone 128GB</v>
      </c>
      <c r="G383" t="str">
        <f>_xlfn.XLOOKUP(D383, Products!$A$2:$A$21, Products!$C$2:$C$21)</f>
        <v>Phones</v>
      </c>
      <c r="H383">
        <f>_xlfn.XLOOKUP(D383, Products!$A$2:$A$21, Products!$E$2:$E$21, 0)</f>
        <v>1099</v>
      </c>
      <c r="I383">
        <f>_xlfn.XLOOKUP(D383, Products!$A$2:$A$21, Products!$F$2:$F$21,0)</f>
        <v>860</v>
      </c>
      <c r="J383" t="str">
        <f>_xlfn.XLOOKUP(C383, Stores!$A$2:$A$7, Stores!$D$2:$D$7)</f>
        <v>Sydney West</v>
      </c>
      <c r="K383">
        <f t="shared" si="10"/>
        <v>2198</v>
      </c>
      <c r="L383">
        <f t="shared" si="11"/>
        <v>478</v>
      </c>
    </row>
    <row r="384" spans="1:12">
      <c r="A384" t="s">
        <v>423</v>
      </c>
      <c r="B384" s="2">
        <v>46262</v>
      </c>
      <c r="C384" t="s">
        <v>13</v>
      </c>
      <c r="D384" t="s">
        <v>54</v>
      </c>
      <c r="E384">
        <v>1</v>
      </c>
      <c r="F384" t="str">
        <f>_xlfn.XLOOKUP(D384, Products!$A$2:$A$21, Products!$B$2:$B$21, "Not Found")</f>
        <v>55in TV</v>
      </c>
      <c r="G384" t="str">
        <f>_xlfn.XLOOKUP(D384, Products!$A$2:$A$21, Products!$C$2:$C$21)</f>
        <v>TV</v>
      </c>
      <c r="H384">
        <f>_xlfn.XLOOKUP(D384, Products!$A$2:$A$21, Products!$E$2:$E$21, 0)</f>
        <v>1299</v>
      </c>
      <c r="I384">
        <f>_xlfn.XLOOKUP(D384, Products!$A$2:$A$21, Products!$F$2:$F$21,0)</f>
        <v>980</v>
      </c>
      <c r="J384" t="str">
        <f>_xlfn.XLOOKUP(C384, Stores!$A$2:$A$7, Stores!$D$2:$D$7)</f>
        <v>Sydney West</v>
      </c>
      <c r="K384">
        <f t="shared" si="10"/>
        <v>1299</v>
      </c>
      <c r="L384">
        <f t="shared" si="11"/>
        <v>319</v>
      </c>
    </row>
    <row r="385" spans="1:12">
      <c r="A385" t="s">
        <v>424</v>
      </c>
      <c r="B385" s="2">
        <v>46262</v>
      </c>
      <c r="C385" t="s">
        <v>51</v>
      </c>
      <c r="D385" t="s">
        <v>29</v>
      </c>
      <c r="E385">
        <v>2</v>
      </c>
      <c r="F385" t="str">
        <f>_xlfn.XLOOKUP(D385, Products!$A$2:$A$21, Products!$B$2:$B$21, "Not Found")</f>
        <v>Phone Case</v>
      </c>
      <c r="G385" t="str">
        <f>_xlfn.XLOOKUP(D385, Products!$A$2:$A$21, Products!$C$2:$C$21)</f>
        <v>Accessories</v>
      </c>
      <c r="H385">
        <f>_xlfn.XLOOKUP(D385, Products!$A$2:$A$21, Products!$E$2:$E$21, 0)</f>
        <v>39</v>
      </c>
      <c r="I385">
        <f>_xlfn.XLOOKUP(D385, Products!$A$2:$A$21, Products!$F$2:$F$21,0)</f>
        <v>9</v>
      </c>
      <c r="J385" t="str">
        <f>_xlfn.XLOOKUP(C385, Stores!$A$2:$A$7, Stores!$D$2:$D$7)</f>
        <v>Sydney South</v>
      </c>
      <c r="K385">
        <f t="shared" si="10"/>
        <v>78</v>
      </c>
      <c r="L385">
        <f t="shared" si="11"/>
        <v>60</v>
      </c>
    </row>
    <row r="386" spans="1:12">
      <c r="A386" t="s">
        <v>425</v>
      </c>
      <c r="B386" s="2">
        <v>46263</v>
      </c>
      <c r="C386" t="s">
        <v>25</v>
      </c>
      <c r="D386" t="s">
        <v>20</v>
      </c>
      <c r="E386">
        <v>1</v>
      </c>
      <c r="F386" t="str">
        <f>_xlfn.XLOOKUP(D386, Products!$A$2:$A$21, Products!$B$2:$B$21, "Not Found")</f>
        <v>Bluetooth Speaker</v>
      </c>
      <c r="G386" t="str">
        <f>_xlfn.XLOOKUP(D386, Products!$A$2:$A$21, Products!$C$2:$C$21)</f>
        <v>Audio</v>
      </c>
      <c r="H386">
        <f>_xlfn.XLOOKUP(D386, Products!$A$2:$A$21, Products!$E$2:$E$21, 0)</f>
        <v>179</v>
      </c>
      <c r="I386">
        <f>_xlfn.XLOOKUP(D386, Products!$A$2:$A$21, Products!$F$2:$F$21,0)</f>
        <v>95</v>
      </c>
      <c r="J386" t="str">
        <f>_xlfn.XLOOKUP(C386, Stores!$A$2:$A$7, Stores!$D$2:$D$7)</f>
        <v>Sydney South</v>
      </c>
      <c r="K386">
        <f t="shared" si="10"/>
        <v>179</v>
      </c>
      <c r="L386">
        <f t="shared" si="11"/>
        <v>84</v>
      </c>
    </row>
    <row r="387" spans="1:12">
      <c r="A387" t="s">
        <v>426</v>
      </c>
      <c r="B387" s="2">
        <v>46263</v>
      </c>
      <c r="C387" t="s">
        <v>13</v>
      </c>
      <c r="D387" t="s">
        <v>23</v>
      </c>
      <c r="E387">
        <v>3</v>
      </c>
      <c r="F387" t="str">
        <f>_xlfn.XLOOKUP(D387, Products!$A$2:$A$21, Products!$B$2:$B$21, "Not Found")</f>
        <v>Video Game</v>
      </c>
      <c r="G387" t="str">
        <f>_xlfn.XLOOKUP(D387, Products!$A$2:$A$21, Products!$C$2:$C$21)</f>
        <v>Gaming</v>
      </c>
      <c r="H387">
        <f>_xlfn.XLOOKUP(D387, Products!$A$2:$A$21, Products!$E$2:$E$21, 0)</f>
        <v>79</v>
      </c>
      <c r="I387">
        <f>_xlfn.XLOOKUP(D387, Products!$A$2:$A$21, Products!$F$2:$F$21,0)</f>
        <v>52</v>
      </c>
      <c r="J387" t="str">
        <f>_xlfn.XLOOKUP(C387, Stores!$A$2:$A$7, Stores!$D$2:$D$7)</f>
        <v>Sydney West</v>
      </c>
      <c r="K387">
        <f t="shared" ref="K387:K450" si="12" xml:space="preserve"> E387*H387</f>
        <v>237</v>
      </c>
      <c r="L387">
        <f t="shared" ref="L387:L450" si="13" xml:space="preserve"> K387 - (E387 * I387)</f>
        <v>81</v>
      </c>
    </row>
    <row r="388" spans="1:12">
      <c r="A388" t="s">
        <v>427</v>
      </c>
      <c r="B388" s="2">
        <v>46263</v>
      </c>
      <c r="C388" t="s">
        <v>13</v>
      </c>
      <c r="D388" t="s">
        <v>20</v>
      </c>
      <c r="E388">
        <v>1</v>
      </c>
      <c r="F388" t="str">
        <f>_xlfn.XLOOKUP(D388, Products!$A$2:$A$21, Products!$B$2:$B$21, "Not Found")</f>
        <v>Bluetooth Speaker</v>
      </c>
      <c r="G388" t="str">
        <f>_xlfn.XLOOKUP(D388, Products!$A$2:$A$21, Products!$C$2:$C$21)</f>
        <v>Audio</v>
      </c>
      <c r="H388">
        <f>_xlfn.XLOOKUP(D388, Products!$A$2:$A$21, Products!$E$2:$E$21, 0)</f>
        <v>179</v>
      </c>
      <c r="I388">
        <f>_xlfn.XLOOKUP(D388, Products!$A$2:$A$21, Products!$F$2:$F$21,0)</f>
        <v>95</v>
      </c>
      <c r="J388" t="str">
        <f>_xlfn.XLOOKUP(C388, Stores!$A$2:$A$7, Stores!$D$2:$D$7)</f>
        <v>Sydney West</v>
      </c>
      <c r="K388">
        <f t="shared" si="12"/>
        <v>179</v>
      </c>
      <c r="L388">
        <f t="shared" si="13"/>
        <v>84</v>
      </c>
    </row>
    <row r="389" spans="1:12">
      <c r="A389" t="s">
        <v>428</v>
      </c>
      <c r="B389" s="2">
        <v>46263</v>
      </c>
      <c r="C389" t="s">
        <v>25</v>
      </c>
      <c r="D389" t="s">
        <v>32</v>
      </c>
      <c r="E389">
        <v>1</v>
      </c>
      <c r="F389" t="str">
        <f>_xlfn.XLOOKUP(D389, Products!$A$2:$A$21, Products!$B$2:$B$21, "Not Found")</f>
        <v>USB-C Charger</v>
      </c>
      <c r="G389" t="str">
        <f>_xlfn.XLOOKUP(D389, Products!$A$2:$A$21, Products!$C$2:$C$21)</f>
        <v>Accessories</v>
      </c>
      <c r="H389">
        <f>_xlfn.XLOOKUP(D389, Products!$A$2:$A$21, Products!$E$2:$E$21, 0)</f>
        <v>49</v>
      </c>
      <c r="I389">
        <f>_xlfn.XLOOKUP(D389, Products!$A$2:$A$21, Products!$F$2:$F$21,0)</f>
        <v>14</v>
      </c>
      <c r="J389" t="str">
        <f>_xlfn.XLOOKUP(C389, Stores!$A$2:$A$7, Stores!$D$2:$D$7)</f>
        <v>Sydney South</v>
      </c>
      <c r="K389">
        <f t="shared" si="12"/>
        <v>49</v>
      </c>
      <c r="L389">
        <f t="shared" si="13"/>
        <v>35</v>
      </c>
    </row>
    <row r="390" spans="1:12">
      <c r="A390" t="s">
        <v>429</v>
      </c>
      <c r="B390" s="2">
        <v>46264</v>
      </c>
      <c r="C390" t="s">
        <v>22</v>
      </c>
      <c r="D390" t="s">
        <v>32</v>
      </c>
      <c r="E390">
        <v>3</v>
      </c>
      <c r="F390" t="str">
        <f>_xlfn.XLOOKUP(D390, Products!$A$2:$A$21, Products!$B$2:$B$21, "Not Found")</f>
        <v>USB-C Charger</v>
      </c>
      <c r="G390" t="str">
        <f>_xlfn.XLOOKUP(D390, Products!$A$2:$A$21, Products!$C$2:$C$21)</f>
        <v>Accessories</v>
      </c>
      <c r="H390">
        <f>_xlfn.XLOOKUP(D390, Products!$A$2:$A$21, Products!$E$2:$E$21, 0)</f>
        <v>49</v>
      </c>
      <c r="I390">
        <f>_xlfn.XLOOKUP(D390, Products!$A$2:$A$21, Products!$F$2:$F$21,0)</f>
        <v>14</v>
      </c>
      <c r="J390" t="str">
        <f>_xlfn.XLOOKUP(C390, Stores!$A$2:$A$7, Stores!$D$2:$D$7)</f>
        <v>Sydney West</v>
      </c>
      <c r="K390">
        <f t="shared" si="12"/>
        <v>147</v>
      </c>
      <c r="L390">
        <f t="shared" si="13"/>
        <v>105</v>
      </c>
    </row>
    <row r="391" spans="1:12">
      <c r="A391" t="s">
        <v>430</v>
      </c>
      <c r="B391" s="2">
        <v>46264</v>
      </c>
      <c r="C391" t="s">
        <v>13</v>
      </c>
      <c r="D391" t="s">
        <v>14</v>
      </c>
      <c r="E391">
        <v>1</v>
      </c>
      <c r="F391" t="str">
        <f>_xlfn.XLOOKUP(D391, Products!$A$2:$A$21, Products!$B$2:$B$21, "Not Found")</f>
        <v>Gaming Mouse</v>
      </c>
      <c r="G391" t="str">
        <f>_xlfn.XLOOKUP(D391, Products!$A$2:$A$21, Products!$C$2:$C$21)</f>
        <v>Accessories</v>
      </c>
      <c r="H391">
        <f>_xlfn.XLOOKUP(D391, Products!$A$2:$A$21, Products!$E$2:$E$21, 0)</f>
        <v>89</v>
      </c>
      <c r="I391">
        <f>_xlfn.XLOOKUP(D391, Products!$A$2:$A$21, Products!$F$2:$F$21,0)</f>
        <v>41</v>
      </c>
      <c r="J391" t="str">
        <f>_xlfn.XLOOKUP(C391, Stores!$A$2:$A$7, Stores!$D$2:$D$7)</f>
        <v>Sydney West</v>
      </c>
      <c r="K391">
        <f t="shared" si="12"/>
        <v>89</v>
      </c>
      <c r="L391">
        <f t="shared" si="13"/>
        <v>48</v>
      </c>
    </row>
    <row r="392" spans="1:12">
      <c r="A392" t="s">
        <v>431</v>
      </c>
      <c r="B392" s="2">
        <v>46264</v>
      </c>
      <c r="C392" t="s">
        <v>16</v>
      </c>
      <c r="D392" t="s">
        <v>14</v>
      </c>
      <c r="E392">
        <v>1</v>
      </c>
      <c r="F392" t="str">
        <f>_xlfn.XLOOKUP(D392, Products!$A$2:$A$21, Products!$B$2:$B$21, "Not Found")</f>
        <v>Gaming Mouse</v>
      </c>
      <c r="G392" t="str">
        <f>_xlfn.XLOOKUP(D392, Products!$A$2:$A$21, Products!$C$2:$C$21)</f>
        <v>Accessories</v>
      </c>
      <c r="H392">
        <f>_xlfn.XLOOKUP(D392, Products!$A$2:$A$21, Products!$E$2:$E$21, 0)</f>
        <v>89</v>
      </c>
      <c r="I392">
        <f>_xlfn.XLOOKUP(D392, Products!$A$2:$A$21, Products!$F$2:$F$21,0)</f>
        <v>41</v>
      </c>
      <c r="J392" t="str">
        <f>_xlfn.XLOOKUP(C392, Stores!$A$2:$A$7, Stores!$D$2:$D$7)</f>
        <v>Sydney East</v>
      </c>
      <c r="K392">
        <f t="shared" si="12"/>
        <v>89</v>
      </c>
      <c r="L392">
        <f t="shared" si="13"/>
        <v>48</v>
      </c>
    </row>
    <row r="393" spans="1:12">
      <c r="A393" t="s">
        <v>432</v>
      </c>
      <c r="B393" s="2">
        <v>46264</v>
      </c>
      <c r="C393" t="s">
        <v>25</v>
      </c>
      <c r="D393" t="s">
        <v>93</v>
      </c>
      <c r="E393">
        <v>1</v>
      </c>
      <c r="F393" t="str">
        <f>_xlfn.XLOOKUP(D393, Products!$A$2:$A$21, Products!$B$2:$B$21, "Not Found")</f>
        <v>Smartphone 256GB</v>
      </c>
      <c r="G393" t="str">
        <f>_xlfn.XLOOKUP(D393, Products!$A$2:$A$21, Products!$C$2:$C$21)</f>
        <v>Phones</v>
      </c>
      <c r="H393">
        <f>_xlfn.XLOOKUP(D393, Products!$A$2:$A$21, Products!$E$2:$E$21, 0)</f>
        <v>1499</v>
      </c>
      <c r="I393">
        <f>_xlfn.XLOOKUP(D393, Products!$A$2:$A$21, Products!$F$2:$F$21,0)</f>
        <v>1180</v>
      </c>
      <c r="J393" t="str">
        <f>_xlfn.XLOOKUP(C393, Stores!$A$2:$A$7, Stores!$D$2:$D$7)</f>
        <v>Sydney South</v>
      </c>
      <c r="K393">
        <f t="shared" si="12"/>
        <v>1499</v>
      </c>
      <c r="L393">
        <f t="shared" si="13"/>
        <v>319</v>
      </c>
    </row>
    <row r="394" spans="1:12">
      <c r="A394" t="s">
        <v>433</v>
      </c>
      <c r="B394" s="2">
        <v>46264</v>
      </c>
      <c r="C394" t="s">
        <v>51</v>
      </c>
      <c r="D394" t="s">
        <v>81</v>
      </c>
      <c r="E394">
        <v>2</v>
      </c>
      <c r="F394" t="str">
        <f>_xlfn.XLOOKUP(D394, Products!$A$2:$A$21, Products!$B$2:$B$21, "Not Found")</f>
        <v>Laptop 16in</v>
      </c>
      <c r="G394" t="str">
        <f>_xlfn.XLOOKUP(D394, Products!$A$2:$A$21, Products!$C$2:$C$21)</f>
        <v>Computers</v>
      </c>
      <c r="H394">
        <f>_xlfn.XLOOKUP(D394, Products!$A$2:$A$21, Products!$E$2:$E$21, 0)</f>
        <v>1799</v>
      </c>
      <c r="I394">
        <f>_xlfn.XLOOKUP(D394, Products!$A$2:$A$21, Products!$F$2:$F$21,0)</f>
        <v>1390</v>
      </c>
      <c r="J394" t="str">
        <f>_xlfn.XLOOKUP(C394, Stores!$A$2:$A$7, Stores!$D$2:$D$7)</f>
        <v>Sydney South</v>
      </c>
      <c r="K394">
        <f t="shared" si="12"/>
        <v>3598</v>
      </c>
      <c r="L394">
        <f t="shared" si="13"/>
        <v>818</v>
      </c>
    </row>
    <row r="395" spans="1:12">
      <c r="A395" t="s">
        <v>434</v>
      </c>
      <c r="B395" s="2">
        <v>46265</v>
      </c>
      <c r="C395" t="s">
        <v>16</v>
      </c>
      <c r="D395" t="s">
        <v>23</v>
      </c>
      <c r="E395">
        <v>1</v>
      </c>
      <c r="F395" t="str">
        <f>_xlfn.XLOOKUP(D395, Products!$A$2:$A$21, Products!$B$2:$B$21, "Not Found")</f>
        <v>Video Game</v>
      </c>
      <c r="G395" t="str">
        <f>_xlfn.XLOOKUP(D395, Products!$A$2:$A$21, Products!$C$2:$C$21)</f>
        <v>Gaming</v>
      </c>
      <c r="H395">
        <f>_xlfn.XLOOKUP(D395, Products!$A$2:$A$21, Products!$E$2:$E$21, 0)</f>
        <v>79</v>
      </c>
      <c r="I395">
        <f>_xlfn.XLOOKUP(D395, Products!$A$2:$A$21, Products!$F$2:$F$21,0)</f>
        <v>52</v>
      </c>
      <c r="J395" t="str">
        <f>_xlfn.XLOOKUP(C395, Stores!$A$2:$A$7, Stores!$D$2:$D$7)</f>
        <v>Sydney East</v>
      </c>
      <c r="K395">
        <f t="shared" si="12"/>
        <v>79</v>
      </c>
      <c r="L395">
        <f t="shared" si="13"/>
        <v>27</v>
      </c>
    </row>
    <row r="396" spans="1:12">
      <c r="A396" t="s">
        <v>435</v>
      </c>
      <c r="B396" s="2">
        <v>46265</v>
      </c>
      <c r="C396" t="s">
        <v>25</v>
      </c>
      <c r="D396" t="s">
        <v>29</v>
      </c>
      <c r="E396">
        <v>1</v>
      </c>
      <c r="F396" t="str">
        <f>_xlfn.XLOOKUP(D396, Products!$A$2:$A$21, Products!$B$2:$B$21, "Not Found")</f>
        <v>Phone Case</v>
      </c>
      <c r="G396" t="str">
        <f>_xlfn.XLOOKUP(D396, Products!$A$2:$A$21, Products!$C$2:$C$21)</f>
        <v>Accessories</v>
      </c>
      <c r="H396">
        <f>_xlfn.XLOOKUP(D396, Products!$A$2:$A$21, Products!$E$2:$E$21, 0)</f>
        <v>39</v>
      </c>
      <c r="I396">
        <f>_xlfn.XLOOKUP(D396, Products!$A$2:$A$21, Products!$F$2:$F$21,0)</f>
        <v>9</v>
      </c>
      <c r="J396" t="str">
        <f>_xlfn.XLOOKUP(C396, Stores!$A$2:$A$7, Stores!$D$2:$D$7)</f>
        <v>Sydney South</v>
      </c>
      <c r="K396">
        <f t="shared" si="12"/>
        <v>39</v>
      </c>
      <c r="L396">
        <f t="shared" si="13"/>
        <v>30</v>
      </c>
    </row>
    <row r="397" spans="1:12">
      <c r="A397" t="s">
        <v>436</v>
      </c>
      <c r="B397" s="2">
        <v>46265</v>
      </c>
      <c r="C397" t="s">
        <v>22</v>
      </c>
      <c r="D397" t="s">
        <v>20</v>
      </c>
      <c r="E397">
        <v>1</v>
      </c>
      <c r="F397" t="str">
        <f>_xlfn.XLOOKUP(D397, Products!$A$2:$A$21, Products!$B$2:$B$21, "Not Found")</f>
        <v>Bluetooth Speaker</v>
      </c>
      <c r="G397" t="str">
        <f>_xlfn.XLOOKUP(D397, Products!$A$2:$A$21, Products!$C$2:$C$21)</f>
        <v>Audio</v>
      </c>
      <c r="H397">
        <f>_xlfn.XLOOKUP(D397, Products!$A$2:$A$21, Products!$E$2:$E$21, 0)</f>
        <v>179</v>
      </c>
      <c r="I397">
        <f>_xlfn.XLOOKUP(D397, Products!$A$2:$A$21, Products!$F$2:$F$21,0)</f>
        <v>95</v>
      </c>
      <c r="J397" t="str">
        <f>_xlfn.XLOOKUP(C397, Stores!$A$2:$A$7, Stores!$D$2:$D$7)</f>
        <v>Sydney West</v>
      </c>
      <c r="K397">
        <f t="shared" si="12"/>
        <v>179</v>
      </c>
      <c r="L397">
        <f t="shared" si="13"/>
        <v>84</v>
      </c>
    </row>
    <row r="398" spans="1:12">
      <c r="A398" t="s">
        <v>437</v>
      </c>
      <c r="B398" s="2">
        <v>46265</v>
      </c>
      <c r="C398" t="s">
        <v>51</v>
      </c>
      <c r="D398" t="s">
        <v>74</v>
      </c>
      <c r="E398">
        <v>1</v>
      </c>
      <c r="F398" t="str">
        <f>_xlfn.XLOOKUP(D398, Products!$A$2:$A$21, Products!$B$2:$B$21, "Not Found")</f>
        <v>Over-Ear Headphones</v>
      </c>
      <c r="G398" t="str">
        <f>_xlfn.XLOOKUP(D398, Products!$A$2:$A$21, Products!$C$2:$C$21)</f>
        <v>Audio</v>
      </c>
      <c r="H398">
        <f>_xlfn.XLOOKUP(D398, Products!$A$2:$A$21, Products!$E$2:$E$21, 0)</f>
        <v>499</v>
      </c>
      <c r="I398">
        <f>_xlfn.XLOOKUP(D398, Products!$A$2:$A$21, Products!$F$2:$F$21,0)</f>
        <v>310</v>
      </c>
      <c r="J398" t="str">
        <f>_xlfn.XLOOKUP(C398, Stores!$A$2:$A$7, Stores!$D$2:$D$7)</f>
        <v>Sydney South</v>
      </c>
      <c r="K398">
        <f t="shared" si="12"/>
        <v>499</v>
      </c>
      <c r="L398">
        <f t="shared" si="13"/>
        <v>189</v>
      </c>
    </row>
    <row r="399" spans="1:12">
      <c r="A399" t="s">
        <v>438</v>
      </c>
      <c r="B399" s="2">
        <v>46265</v>
      </c>
      <c r="C399" t="s">
        <v>16</v>
      </c>
      <c r="D399" t="s">
        <v>14</v>
      </c>
      <c r="E399">
        <v>3</v>
      </c>
      <c r="F399" t="str">
        <f>_xlfn.XLOOKUP(D399, Products!$A$2:$A$21, Products!$B$2:$B$21, "Not Found")</f>
        <v>Gaming Mouse</v>
      </c>
      <c r="G399" t="str">
        <f>_xlfn.XLOOKUP(D399, Products!$A$2:$A$21, Products!$C$2:$C$21)</f>
        <v>Accessories</v>
      </c>
      <c r="H399">
        <f>_xlfn.XLOOKUP(D399, Products!$A$2:$A$21, Products!$E$2:$E$21, 0)</f>
        <v>89</v>
      </c>
      <c r="I399">
        <f>_xlfn.XLOOKUP(D399, Products!$A$2:$A$21, Products!$F$2:$F$21,0)</f>
        <v>41</v>
      </c>
      <c r="J399" t="str">
        <f>_xlfn.XLOOKUP(C399, Stores!$A$2:$A$7, Stores!$D$2:$D$7)</f>
        <v>Sydney East</v>
      </c>
      <c r="K399">
        <f t="shared" si="12"/>
        <v>267</v>
      </c>
      <c r="L399">
        <f t="shared" si="13"/>
        <v>144</v>
      </c>
    </row>
    <row r="400" spans="1:12">
      <c r="A400" t="s">
        <v>439</v>
      </c>
      <c r="B400" s="2">
        <v>46265</v>
      </c>
      <c r="C400" t="s">
        <v>22</v>
      </c>
      <c r="D400" t="s">
        <v>23</v>
      </c>
      <c r="E400">
        <v>2</v>
      </c>
      <c r="F400" t="str">
        <f>_xlfn.XLOOKUP(D400, Products!$A$2:$A$21, Products!$B$2:$B$21, "Not Found")</f>
        <v>Video Game</v>
      </c>
      <c r="G400" t="str">
        <f>_xlfn.XLOOKUP(D400, Products!$A$2:$A$21, Products!$C$2:$C$21)</f>
        <v>Gaming</v>
      </c>
      <c r="H400">
        <f>_xlfn.XLOOKUP(D400, Products!$A$2:$A$21, Products!$E$2:$E$21, 0)</f>
        <v>79</v>
      </c>
      <c r="I400">
        <f>_xlfn.XLOOKUP(D400, Products!$A$2:$A$21, Products!$F$2:$F$21,0)</f>
        <v>52</v>
      </c>
      <c r="J400" t="str">
        <f>_xlfn.XLOOKUP(C400, Stores!$A$2:$A$7, Stores!$D$2:$D$7)</f>
        <v>Sydney West</v>
      </c>
      <c r="K400">
        <f t="shared" si="12"/>
        <v>158</v>
      </c>
      <c r="L400">
        <f t="shared" si="13"/>
        <v>54</v>
      </c>
    </row>
    <row r="401" spans="1:12">
      <c r="A401" t="s">
        <v>440</v>
      </c>
      <c r="B401" s="2">
        <v>46265</v>
      </c>
      <c r="C401" t="s">
        <v>19</v>
      </c>
      <c r="D401" t="s">
        <v>44</v>
      </c>
      <c r="E401">
        <v>1</v>
      </c>
      <c r="F401" t="str">
        <f>_xlfn.XLOOKUP(D401, Products!$A$2:$A$21, Products!$B$2:$B$21, "Not Found")</f>
        <v>Smartphone 128GB</v>
      </c>
      <c r="G401" t="str">
        <f>_xlfn.XLOOKUP(D401, Products!$A$2:$A$21, Products!$C$2:$C$21)</f>
        <v>Phones</v>
      </c>
      <c r="H401">
        <f>_xlfn.XLOOKUP(D401, Products!$A$2:$A$21, Products!$E$2:$E$21, 0)</f>
        <v>1099</v>
      </c>
      <c r="I401">
        <f>_xlfn.XLOOKUP(D401, Products!$A$2:$A$21, Products!$F$2:$F$21,0)</f>
        <v>860</v>
      </c>
      <c r="J401" t="str">
        <f>_xlfn.XLOOKUP(C401, Stores!$A$2:$A$7, Stores!$D$2:$D$7)</f>
        <v>Sydney North</v>
      </c>
      <c r="K401">
        <f t="shared" si="12"/>
        <v>1099</v>
      </c>
      <c r="L401">
        <f t="shared" si="13"/>
        <v>239</v>
      </c>
    </row>
    <row r="402" spans="1:12">
      <c r="A402" t="s">
        <v>441</v>
      </c>
      <c r="B402" s="2">
        <v>46265</v>
      </c>
      <c r="C402" t="s">
        <v>19</v>
      </c>
      <c r="D402" t="s">
        <v>44</v>
      </c>
      <c r="E402">
        <v>1</v>
      </c>
      <c r="F402" t="str">
        <f>_xlfn.XLOOKUP(D402, Products!$A$2:$A$21, Products!$B$2:$B$21, "Not Found")</f>
        <v>Smartphone 128GB</v>
      </c>
      <c r="G402" t="str">
        <f>_xlfn.XLOOKUP(D402, Products!$A$2:$A$21, Products!$C$2:$C$21)</f>
        <v>Phones</v>
      </c>
      <c r="H402">
        <f>_xlfn.XLOOKUP(D402, Products!$A$2:$A$21, Products!$E$2:$E$21, 0)</f>
        <v>1099</v>
      </c>
      <c r="I402">
        <f>_xlfn.XLOOKUP(D402, Products!$A$2:$A$21, Products!$F$2:$F$21,0)</f>
        <v>860</v>
      </c>
      <c r="J402" t="str">
        <f>_xlfn.XLOOKUP(C402, Stores!$A$2:$A$7, Stores!$D$2:$D$7)</f>
        <v>Sydney North</v>
      </c>
      <c r="K402">
        <f t="shared" si="12"/>
        <v>1099</v>
      </c>
      <c r="L402">
        <f t="shared" si="13"/>
        <v>239</v>
      </c>
    </row>
    <row r="403" spans="1:12">
      <c r="A403" t="s">
        <v>442</v>
      </c>
      <c r="B403" s="2">
        <v>46265</v>
      </c>
      <c r="C403" t="s">
        <v>13</v>
      </c>
      <c r="D403" t="s">
        <v>14</v>
      </c>
      <c r="E403">
        <v>1</v>
      </c>
      <c r="F403" t="str">
        <f>_xlfn.XLOOKUP(D403, Products!$A$2:$A$21, Products!$B$2:$B$21, "Not Found")</f>
        <v>Gaming Mouse</v>
      </c>
      <c r="G403" t="str">
        <f>_xlfn.XLOOKUP(D403, Products!$A$2:$A$21, Products!$C$2:$C$21)</f>
        <v>Accessories</v>
      </c>
      <c r="H403">
        <f>_xlfn.XLOOKUP(D403, Products!$A$2:$A$21, Products!$E$2:$E$21, 0)</f>
        <v>89</v>
      </c>
      <c r="I403">
        <f>_xlfn.XLOOKUP(D403, Products!$A$2:$A$21, Products!$F$2:$F$21,0)</f>
        <v>41</v>
      </c>
      <c r="J403" t="str">
        <f>_xlfn.XLOOKUP(C403, Stores!$A$2:$A$7, Stores!$D$2:$D$7)</f>
        <v>Sydney West</v>
      </c>
      <c r="K403">
        <f t="shared" si="12"/>
        <v>89</v>
      </c>
      <c r="L403">
        <f t="shared" si="13"/>
        <v>48</v>
      </c>
    </row>
    <row r="404" spans="1:12">
      <c r="A404" t="s">
        <v>443</v>
      </c>
      <c r="B404" s="2">
        <v>46266</v>
      </c>
      <c r="C404" t="s">
        <v>19</v>
      </c>
      <c r="D404" t="s">
        <v>52</v>
      </c>
      <c r="E404">
        <v>1</v>
      </c>
      <c r="F404" t="str">
        <f>_xlfn.XLOOKUP(D404, Products!$A$2:$A$21, Products!$B$2:$B$21, "Not Found")</f>
        <v>Mech Keyboard</v>
      </c>
      <c r="G404" t="str">
        <f>_xlfn.XLOOKUP(D404, Products!$A$2:$A$21, Products!$C$2:$C$21)</f>
        <v>Accessories</v>
      </c>
      <c r="H404">
        <f>_xlfn.XLOOKUP(D404, Products!$A$2:$A$21, Products!$E$2:$E$21, 0)</f>
        <v>149</v>
      </c>
      <c r="I404">
        <f>_xlfn.XLOOKUP(D404, Products!$A$2:$A$21, Products!$F$2:$F$21,0)</f>
        <v>72</v>
      </c>
      <c r="J404" t="str">
        <f>_xlfn.XLOOKUP(C404, Stores!$A$2:$A$7, Stores!$D$2:$D$7)</f>
        <v>Sydney North</v>
      </c>
      <c r="K404">
        <f t="shared" si="12"/>
        <v>149</v>
      </c>
      <c r="L404">
        <f t="shared" si="13"/>
        <v>77</v>
      </c>
    </row>
    <row r="405" spans="1:12">
      <c r="A405" t="s">
        <v>444</v>
      </c>
      <c r="B405" s="2">
        <v>46266</v>
      </c>
      <c r="C405" t="s">
        <v>16</v>
      </c>
      <c r="D405" t="s">
        <v>37</v>
      </c>
      <c r="E405">
        <v>1</v>
      </c>
      <c r="F405" t="str">
        <f>_xlfn.XLOOKUP(D405, Products!$A$2:$A$21, Products!$B$2:$B$21, "Not Found")</f>
        <v>Console Controller</v>
      </c>
      <c r="G405" t="str">
        <f>_xlfn.XLOOKUP(D405, Products!$A$2:$A$21, Products!$C$2:$C$21)</f>
        <v>Gaming</v>
      </c>
      <c r="H405">
        <f>_xlfn.XLOOKUP(D405, Products!$A$2:$A$21, Products!$E$2:$E$21, 0)</f>
        <v>99</v>
      </c>
      <c r="I405">
        <f>_xlfn.XLOOKUP(D405, Products!$A$2:$A$21, Products!$F$2:$F$21,0)</f>
        <v>58</v>
      </c>
      <c r="J405" t="str">
        <f>_xlfn.XLOOKUP(C405, Stores!$A$2:$A$7, Stores!$D$2:$D$7)</f>
        <v>Sydney East</v>
      </c>
      <c r="K405">
        <f t="shared" si="12"/>
        <v>99</v>
      </c>
      <c r="L405">
        <f t="shared" si="13"/>
        <v>41</v>
      </c>
    </row>
    <row r="406" spans="1:12">
      <c r="A406" t="s">
        <v>445</v>
      </c>
      <c r="B406" s="2">
        <v>46266</v>
      </c>
      <c r="C406" t="s">
        <v>16</v>
      </c>
      <c r="D406" t="s">
        <v>52</v>
      </c>
      <c r="E406">
        <v>1</v>
      </c>
      <c r="F406" t="str">
        <f>_xlfn.XLOOKUP(D406, Products!$A$2:$A$21, Products!$B$2:$B$21, "Not Found")</f>
        <v>Mech Keyboard</v>
      </c>
      <c r="G406" t="str">
        <f>_xlfn.XLOOKUP(D406, Products!$A$2:$A$21, Products!$C$2:$C$21)</f>
        <v>Accessories</v>
      </c>
      <c r="H406">
        <f>_xlfn.XLOOKUP(D406, Products!$A$2:$A$21, Products!$E$2:$E$21, 0)</f>
        <v>149</v>
      </c>
      <c r="I406">
        <f>_xlfn.XLOOKUP(D406, Products!$A$2:$A$21, Products!$F$2:$F$21,0)</f>
        <v>72</v>
      </c>
      <c r="J406" t="str">
        <f>_xlfn.XLOOKUP(C406, Stores!$A$2:$A$7, Stores!$D$2:$D$7)</f>
        <v>Sydney East</v>
      </c>
      <c r="K406">
        <f t="shared" si="12"/>
        <v>149</v>
      </c>
      <c r="L406">
        <f t="shared" si="13"/>
        <v>77</v>
      </c>
    </row>
    <row r="407" spans="1:12">
      <c r="A407" t="s">
        <v>446</v>
      </c>
      <c r="B407" s="2">
        <v>46266</v>
      </c>
      <c r="C407" t="s">
        <v>19</v>
      </c>
      <c r="D407" t="s">
        <v>52</v>
      </c>
      <c r="E407">
        <v>1</v>
      </c>
      <c r="F407" t="str">
        <f>_xlfn.XLOOKUP(D407, Products!$A$2:$A$21, Products!$B$2:$B$21, "Not Found")</f>
        <v>Mech Keyboard</v>
      </c>
      <c r="G407" t="str">
        <f>_xlfn.XLOOKUP(D407, Products!$A$2:$A$21, Products!$C$2:$C$21)</f>
        <v>Accessories</v>
      </c>
      <c r="H407">
        <f>_xlfn.XLOOKUP(D407, Products!$A$2:$A$21, Products!$E$2:$E$21, 0)</f>
        <v>149</v>
      </c>
      <c r="I407">
        <f>_xlfn.XLOOKUP(D407, Products!$A$2:$A$21, Products!$F$2:$F$21,0)</f>
        <v>72</v>
      </c>
      <c r="J407" t="str">
        <f>_xlfn.XLOOKUP(C407, Stores!$A$2:$A$7, Stores!$D$2:$D$7)</f>
        <v>Sydney North</v>
      </c>
      <c r="K407">
        <f t="shared" si="12"/>
        <v>149</v>
      </c>
      <c r="L407">
        <f t="shared" si="13"/>
        <v>77</v>
      </c>
    </row>
    <row r="408" spans="1:12">
      <c r="A408" t="s">
        <v>447</v>
      </c>
      <c r="B408" s="2">
        <v>46266</v>
      </c>
      <c r="C408" t="s">
        <v>25</v>
      </c>
      <c r="D408" t="s">
        <v>17</v>
      </c>
      <c r="E408">
        <v>1</v>
      </c>
      <c r="F408" t="str">
        <f>_xlfn.XLOOKUP(D408, Products!$A$2:$A$21, Products!$B$2:$B$21, "Not Found")</f>
        <v>Wireless Earbuds</v>
      </c>
      <c r="G408" t="str">
        <f>_xlfn.XLOOKUP(D408, Products!$A$2:$A$21, Products!$C$2:$C$21)</f>
        <v>Audio</v>
      </c>
      <c r="H408">
        <f>_xlfn.XLOOKUP(D408, Products!$A$2:$A$21, Products!$E$2:$E$21, 0)</f>
        <v>249</v>
      </c>
      <c r="I408">
        <f>_xlfn.XLOOKUP(D408, Products!$A$2:$A$21, Products!$F$2:$F$21,0)</f>
        <v>140</v>
      </c>
      <c r="J408" t="str">
        <f>_xlfn.XLOOKUP(C408, Stores!$A$2:$A$7, Stores!$D$2:$D$7)</f>
        <v>Sydney South</v>
      </c>
      <c r="K408">
        <f t="shared" si="12"/>
        <v>249</v>
      </c>
      <c r="L408">
        <f t="shared" si="13"/>
        <v>109</v>
      </c>
    </row>
    <row r="409" spans="1:12">
      <c r="A409" t="s">
        <v>448</v>
      </c>
      <c r="B409" s="2">
        <v>46266</v>
      </c>
      <c r="C409" t="s">
        <v>51</v>
      </c>
      <c r="D409" t="s">
        <v>93</v>
      </c>
      <c r="E409">
        <v>1</v>
      </c>
      <c r="F409" t="str">
        <f>_xlfn.XLOOKUP(D409, Products!$A$2:$A$21, Products!$B$2:$B$21, "Not Found")</f>
        <v>Smartphone 256GB</v>
      </c>
      <c r="G409" t="str">
        <f>_xlfn.XLOOKUP(D409, Products!$A$2:$A$21, Products!$C$2:$C$21)</f>
        <v>Phones</v>
      </c>
      <c r="H409">
        <f>_xlfn.XLOOKUP(D409, Products!$A$2:$A$21, Products!$E$2:$E$21, 0)</f>
        <v>1499</v>
      </c>
      <c r="I409">
        <f>_xlfn.XLOOKUP(D409, Products!$A$2:$A$21, Products!$F$2:$F$21,0)</f>
        <v>1180</v>
      </c>
      <c r="J409" t="str">
        <f>_xlfn.XLOOKUP(C409, Stores!$A$2:$A$7, Stores!$D$2:$D$7)</f>
        <v>Sydney South</v>
      </c>
      <c r="K409">
        <f t="shared" si="12"/>
        <v>1499</v>
      </c>
      <c r="L409">
        <f t="shared" si="13"/>
        <v>319</v>
      </c>
    </row>
    <row r="410" spans="1:12">
      <c r="A410" t="s">
        <v>449</v>
      </c>
      <c r="B410" s="2">
        <v>46266</v>
      </c>
      <c r="C410" t="s">
        <v>51</v>
      </c>
      <c r="D410" t="s">
        <v>23</v>
      </c>
      <c r="E410">
        <v>2</v>
      </c>
      <c r="F410" t="str">
        <f>_xlfn.XLOOKUP(D410, Products!$A$2:$A$21, Products!$B$2:$B$21, "Not Found")</f>
        <v>Video Game</v>
      </c>
      <c r="G410" t="str">
        <f>_xlfn.XLOOKUP(D410, Products!$A$2:$A$21, Products!$C$2:$C$21)</f>
        <v>Gaming</v>
      </c>
      <c r="H410">
        <f>_xlfn.XLOOKUP(D410, Products!$A$2:$A$21, Products!$E$2:$E$21, 0)</f>
        <v>79</v>
      </c>
      <c r="I410">
        <f>_xlfn.XLOOKUP(D410, Products!$A$2:$A$21, Products!$F$2:$F$21,0)</f>
        <v>52</v>
      </c>
      <c r="J410" t="str">
        <f>_xlfn.XLOOKUP(C410, Stores!$A$2:$A$7, Stores!$D$2:$D$7)</f>
        <v>Sydney South</v>
      </c>
      <c r="K410">
        <f t="shared" si="12"/>
        <v>158</v>
      </c>
      <c r="L410">
        <f t="shared" si="13"/>
        <v>54</v>
      </c>
    </row>
    <row r="411" spans="1:12">
      <c r="A411" t="s">
        <v>450</v>
      </c>
      <c r="B411" s="2">
        <v>46267</v>
      </c>
      <c r="C411" t="s">
        <v>25</v>
      </c>
      <c r="D411" t="s">
        <v>29</v>
      </c>
      <c r="E411">
        <v>1</v>
      </c>
      <c r="F411" t="str">
        <f>_xlfn.XLOOKUP(D411, Products!$A$2:$A$21, Products!$B$2:$B$21, "Not Found")</f>
        <v>Phone Case</v>
      </c>
      <c r="G411" t="str">
        <f>_xlfn.XLOOKUP(D411, Products!$A$2:$A$21, Products!$C$2:$C$21)</f>
        <v>Accessories</v>
      </c>
      <c r="H411">
        <f>_xlfn.XLOOKUP(D411, Products!$A$2:$A$21, Products!$E$2:$E$21, 0)</f>
        <v>39</v>
      </c>
      <c r="I411">
        <f>_xlfn.XLOOKUP(D411, Products!$A$2:$A$21, Products!$F$2:$F$21,0)</f>
        <v>9</v>
      </c>
      <c r="J411" t="str">
        <f>_xlfn.XLOOKUP(C411, Stores!$A$2:$A$7, Stores!$D$2:$D$7)</f>
        <v>Sydney South</v>
      </c>
      <c r="K411">
        <f t="shared" si="12"/>
        <v>39</v>
      </c>
      <c r="L411">
        <f t="shared" si="13"/>
        <v>30</v>
      </c>
    </row>
    <row r="412" spans="1:12">
      <c r="A412" t="s">
        <v>451</v>
      </c>
      <c r="B412" s="2">
        <v>46267</v>
      </c>
      <c r="C412" t="s">
        <v>13</v>
      </c>
      <c r="D412" t="s">
        <v>29</v>
      </c>
      <c r="E412">
        <v>2</v>
      </c>
      <c r="F412" t="str">
        <f>_xlfn.XLOOKUP(D412, Products!$A$2:$A$21, Products!$B$2:$B$21, "Not Found")</f>
        <v>Phone Case</v>
      </c>
      <c r="G412" t="str">
        <f>_xlfn.XLOOKUP(D412, Products!$A$2:$A$21, Products!$C$2:$C$21)</f>
        <v>Accessories</v>
      </c>
      <c r="H412">
        <f>_xlfn.XLOOKUP(D412, Products!$A$2:$A$21, Products!$E$2:$E$21, 0)</f>
        <v>39</v>
      </c>
      <c r="I412">
        <f>_xlfn.XLOOKUP(D412, Products!$A$2:$A$21, Products!$F$2:$F$21,0)</f>
        <v>9</v>
      </c>
      <c r="J412" t="str">
        <f>_xlfn.XLOOKUP(C412, Stores!$A$2:$A$7, Stores!$D$2:$D$7)</f>
        <v>Sydney West</v>
      </c>
      <c r="K412">
        <f t="shared" si="12"/>
        <v>78</v>
      </c>
      <c r="L412">
        <f t="shared" si="13"/>
        <v>60</v>
      </c>
    </row>
    <row r="413" spans="1:12">
      <c r="A413" t="s">
        <v>452</v>
      </c>
      <c r="B413" s="2">
        <v>46267</v>
      </c>
      <c r="C413" t="s">
        <v>51</v>
      </c>
      <c r="D413" t="s">
        <v>63</v>
      </c>
      <c r="E413">
        <v>3</v>
      </c>
      <c r="F413" t="str">
        <f>_xlfn.XLOOKUP(D413, Products!$A$2:$A$21, Products!$B$2:$B$21, "Not Found")</f>
        <v>27in Monitor</v>
      </c>
      <c r="G413" t="str">
        <f>_xlfn.XLOOKUP(D413, Products!$A$2:$A$21, Products!$C$2:$C$21)</f>
        <v>Computers</v>
      </c>
      <c r="H413">
        <f>_xlfn.XLOOKUP(D413, Products!$A$2:$A$21, Products!$E$2:$E$21, 0)</f>
        <v>399</v>
      </c>
      <c r="I413">
        <f>_xlfn.XLOOKUP(D413, Products!$A$2:$A$21, Products!$F$2:$F$21,0)</f>
        <v>290</v>
      </c>
      <c r="J413" t="str">
        <f>_xlfn.XLOOKUP(C413, Stores!$A$2:$A$7, Stores!$D$2:$D$7)</f>
        <v>Sydney South</v>
      </c>
      <c r="K413">
        <f t="shared" si="12"/>
        <v>1197</v>
      </c>
      <c r="L413">
        <f t="shared" si="13"/>
        <v>327</v>
      </c>
    </row>
    <row r="414" spans="1:12">
      <c r="A414" t="s">
        <v>453</v>
      </c>
      <c r="B414" s="2">
        <v>46267</v>
      </c>
      <c r="C414" t="s">
        <v>51</v>
      </c>
      <c r="D414" t="s">
        <v>14</v>
      </c>
      <c r="E414">
        <v>1</v>
      </c>
      <c r="F414" t="str">
        <f>_xlfn.XLOOKUP(D414, Products!$A$2:$A$21, Products!$B$2:$B$21, "Not Found")</f>
        <v>Gaming Mouse</v>
      </c>
      <c r="G414" t="str">
        <f>_xlfn.XLOOKUP(D414, Products!$A$2:$A$21, Products!$C$2:$C$21)</f>
        <v>Accessories</v>
      </c>
      <c r="H414">
        <f>_xlfn.XLOOKUP(D414, Products!$A$2:$A$21, Products!$E$2:$E$21, 0)</f>
        <v>89</v>
      </c>
      <c r="I414">
        <f>_xlfn.XLOOKUP(D414, Products!$A$2:$A$21, Products!$F$2:$F$21,0)</f>
        <v>41</v>
      </c>
      <c r="J414" t="str">
        <f>_xlfn.XLOOKUP(C414, Stores!$A$2:$A$7, Stores!$D$2:$D$7)</f>
        <v>Sydney South</v>
      </c>
      <c r="K414">
        <f t="shared" si="12"/>
        <v>89</v>
      </c>
      <c r="L414">
        <f t="shared" si="13"/>
        <v>48</v>
      </c>
    </row>
    <row r="415" spans="1:12">
      <c r="A415" t="s">
        <v>454</v>
      </c>
      <c r="B415" s="2">
        <v>46267</v>
      </c>
      <c r="C415" t="s">
        <v>19</v>
      </c>
      <c r="D415" t="s">
        <v>32</v>
      </c>
      <c r="E415">
        <v>1</v>
      </c>
      <c r="F415" t="str">
        <f>_xlfn.XLOOKUP(D415, Products!$A$2:$A$21, Products!$B$2:$B$21, "Not Found")</f>
        <v>USB-C Charger</v>
      </c>
      <c r="G415" t="str">
        <f>_xlfn.XLOOKUP(D415, Products!$A$2:$A$21, Products!$C$2:$C$21)</f>
        <v>Accessories</v>
      </c>
      <c r="H415">
        <f>_xlfn.XLOOKUP(D415, Products!$A$2:$A$21, Products!$E$2:$E$21, 0)</f>
        <v>49</v>
      </c>
      <c r="I415">
        <f>_xlfn.XLOOKUP(D415, Products!$A$2:$A$21, Products!$F$2:$F$21,0)</f>
        <v>14</v>
      </c>
      <c r="J415" t="str">
        <f>_xlfn.XLOOKUP(C415, Stores!$A$2:$A$7, Stores!$D$2:$D$7)</f>
        <v>Sydney North</v>
      </c>
      <c r="K415">
        <f t="shared" si="12"/>
        <v>49</v>
      </c>
      <c r="L415">
        <f t="shared" si="13"/>
        <v>35</v>
      </c>
    </row>
    <row r="416" spans="1:12">
      <c r="A416" t="s">
        <v>455</v>
      </c>
      <c r="B416" s="2">
        <v>46267</v>
      </c>
      <c r="C416" t="s">
        <v>51</v>
      </c>
      <c r="D416" t="s">
        <v>61</v>
      </c>
      <c r="E416">
        <v>3</v>
      </c>
      <c r="F416" t="str">
        <f>_xlfn.XLOOKUP(D416, Products!$A$2:$A$21, Products!$B$2:$B$21, "Not Found")</f>
        <v>Soundbar</v>
      </c>
      <c r="G416" t="str">
        <f>_xlfn.XLOOKUP(D416, Products!$A$2:$A$21, Products!$C$2:$C$21)</f>
        <v>Audio</v>
      </c>
      <c r="H416">
        <f>_xlfn.XLOOKUP(D416, Products!$A$2:$A$21, Products!$E$2:$E$21, 0)</f>
        <v>699</v>
      </c>
      <c r="I416">
        <f>_xlfn.XLOOKUP(D416, Products!$A$2:$A$21, Products!$F$2:$F$21,0)</f>
        <v>450</v>
      </c>
      <c r="J416" t="str">
        <f>_xlfn.XLOOKUP(C416, Stores!$A$2:$A$7, Stores!$D$2:$D$7)</f>
        <v>Sydney South</v>
      </c>
      <c r="K416">
        <f t="shared" si="12"/>
        <v>2097</v>
      </c>
      <c r="L416">
        <f t="shared" si="13"/>
        <v>747</v>
      </c>
    </row>
    <row r="417" spans="1:12">
      <c r="A417" t="s">
        <v>456</v>
      </c>
      <c r="B417" s="2">
        <v>46267</v>
      </c>
      <c r="C417" t="s">
        <v>16</v>
      </c>
      <c r="D417" t="s">
        <v>32</v>
      </c>
      <c r="E417">
        <v>1</v>
      </c>
      <c r="F417" t="str">
        <f>_xlfn.XLOOKUP(D417, Products!$A$2:$A$21, Products!$B$2:$B$21, "Not Found")</f>
        <v>USB-C Charger</v>
      </c>
      <c r="G417" t="str">
        <f>_xlfn.XLOOKUP(D417, Products!$A$2:$A$21, Products!$C$2:$C$21)</f>
        <v>Accessories</v>
      </c>
      <c r="H417">
        <f>_xlfn.XLOOKUP(D417, Products!$A$2:$A$21, Products!$E$2:$E$21, 0)</f>
        <v>49</v>
      </c>
      <c r="I417">
        <f>_xlfn.XLOOKUP(D417, Products!$A$2:$A$21, Products!$F$2:$F$21,0)</f>
        <v>14</v>
      </c>
      <c r="J417" t="str">
        <f>_xlfn.XLOOKUP(C417, Stores!$A$2:$A$7, Stores!$D$2:$D$7)</f>
        <v>Sydney East</v>
      </c>
      <c r="K417">
        <f t="shared" si="12"/>
        <v>49</v>
      </c>
      <c r="L417">
        <f t="shared" si="13"/>
        <v>35</v>
      </c>
    </row>
    <row r="418" spans="1:12">
      <c r="A418" t="s">
        <v>457</v>
      </c>
      <c r="B418" s="2">
        <v>46267</v>
      </c>
      <c r="C418" t="s">
        <v>19</v>
      </c>
      <c r="D418" t="s">
        <v>48</v>
      </c>
      <c r="E418">
        <v>3</v>
      </c>
      <c r="F418" t="str">
        <f>_xlfn.XLOOKUP(D418, Products!$A$2:$A$21, Products!$B$2:$B$21, "Not Found")</f>
        <v>Tablet 11in</v>
      </c>
      <c r="G418" t="str">
        <f>_xlfn.XLOOKUP(D418, Products!$A$2:$A$21, Products!$C$2:$C$21)</f>
        <v>Computers</v>
      </c>
      <c r="H418">
        <f>_xlfn.XLOOKUP(D418, Products!$A$2:$A$21, Products!$E$2:$E$21, 0)</f>
        <v>899</v>
      </c>
      <c r="I418">
        <f>_xlfn.XLOOKUP(D418, Products!$A$2:$A$21, Products!$F$2:$F$21,0)</f>
        <v>690</v>
      </c>
      <c r="J418" t="str">
        <f>_xlfn.XLOOKUP(C418, Stores!$A$2:$A$7, Stores!$D$2:$D$7)</f>
        <v>Sydney North</v>
      </c>
      <c r="K418">
        <f t="shared" si="12"/>
        <v>2697</v>
      </c>
      <c r="L418">
        <f t="shared" si="13"/>
        <v>627</v>
      </c>
    </row>
    <row r="419" spans="1:12">
      <c r="A419" t="s">
        <v>458</v>
      </c>
      <c r="B419" s="2">
        <v>46267</v>
      </c>
      <c r="C419" t="s">
        <v>51</v>
      </c>
      <c r="D419" t="s">
        <v>14</v>
      </c>
      <c r="E419">
        <v>1</v>
      </c>
      <c r="F419" t="str">
        <f>_xlfn.XLOOKUP(D419, Products!$A$2:$A$21, Products!$B$2:$B$21, "Not Found")</f>
        <v>Gaming Mouse</v>
      </c>
      <c r="G419" t="str">
        <f>_xlfn.XLOOKUP(D419, Products!$A$2:$A$21, Products!$C$2:$C$21)</f>
        <v>Accessories</v>
      </c>
      <c r="H419">
        <f>_xlfn.XLOOKUP(D419, Products!$A$2:$A$21, Products!$E$2:$E$21, 0)</f>
        <v>89</v>
      </c>
      <c r="I419">
        <f>_xlfn.XLOOKUP(D419, Products!$A$2:$A$21, Products!$F$2:$F$21,0)</f>
        <v>41</v>
      </c>
      <c r="J419" t="str">
        <f>_xlfn.XLOOKUP(C419, Stores!$A$2:$A$7, Stores!$D$2:$D$7)</f>
        <v>Sydney South</v>
      </c>
      <c r="K419">
        <f t="shared" si="12"/>
        <v>89</v>
      </c>
      <c r="L419">
        <f t="shared" si="13"/>
        <v>48</v>
      </c>
    </row>
    <row r="420" spans="1:12">
      <c r="A420" t="s">
        <v>459</v>
      </c>
      <c r="B420" s="2">
        <v>46268</v>
      </c>
      <c r="C420" t="s">
        <v>16</v>
      </c>
      <c r="D420" t="s">
        <v>29</v>
      </c>
      <c r="E420">
        <v>1</v>
      </c>
      <c r="F420" t="str">
        <f>_xlfn.XLOOKUP(D420, Products!$A$2:$A$21, Products!$B$2:$B$21, "Not Found")</f>
        <v>Phone Case</v>
      </c>
      <c r="G420" t="str">
        <f>_xlfn.XLOOKUP(D420, Products!$A$2:$A$21, Products!$C$2:$C$21)</f>
        <v>Accessories</v>
      </c>
      <c r="H420">
        <f>_xlfn.XLOOKUP(D420, Products!$A$2:$A$21, Products!$E$2:$E$21, 0)</f>
        <v>39</v>
      </c>
      <c r="I420">
        <f>_xlfn.XLOOKUP(D420, Products!$A$2:$A$21, Products!$F$2:$F$21,0)</f>
        <v>9</v>
      </c>
      <c r="J420" t="str">
        <f>_xlfn.XLOOKUP(C420, Stores!$A$2:$A$7, Stores!$D$2:$D$7)</f>
        <v>Sydney East</v>
      </c>
      <c r="K420">
        <f t="shared" si="12"/>
        <v>39</v>
      </c>
      <c r="L420">
        <f t="shared" si="13"/>
        <v>30</v>
      </c>
    </row>
    <row r="421" spans="1:12">
      <c r="A421" t="s">
        <v>460</v>
      </c>
      <c r="B421" s="2">
        <v>46268</v>
      </c>
      <c r="C421" t="s">
        <v>13</v>
      </c>
      <c r="D421" t="s">
        <v>74</v>
      </c>
      <c r="E421">
        <v>2</v>
      </c>
      <c r="F421" t="str">
        <f>_xlfn.XLOOKUP(D421, Products!$A$2:$A$21, Products!$B$2:$B$21, "Not Found")</f>
        <v>Over-Ear Headphones</v>
      </c>
      <c r="G421" t="str">
        <f>_xlfn.XLOOKUP(D421, Products!$A$2:$A$21, Products!$C$2:$C$21)</f>
        <v>Audio</v>
      </c>
      <c r="H421">
        <f>_xlfn.XLOOKUP(D421, Products!$A$2:$A$21, Products!$E$2:$E$21, 0)</f>
        <v>499</v>
      </c>
      <c r="I421">
        <f>_xlfn.XLOOKUP(D421, Products!$A$2:$A$21, Products!$F$2:$F$21,0)</f>
        <v>310</v>
      </c>
      <c r="J421" t="str">
        <f>_xlfn.XLOOKUP(C421, Stores!$A$2:$A$7, Stores!$D$2:$D$7)</f>
        <v>Sydney West</v>
      </c>
      <c r="K421">
        <f t="shared" si="12"/>
        <v>998</v>
      </c>
      <c r="L421">
        <f t="shared" si="13"/>
        <v>378</v>
      </c>
    </row>
    <row r="422" spans="1:12">
      <c r="A422" t="s">
        <v>461</v>
      </c>
      <c r="B422" s="2">
        <v>46268</v>
      </c>
      <c r="C422" t="s">
        <v>51</v>
      </c>
      <c r="D422" t="s">
        <v>100</v>
      </c>
      <c r="E422">
        <v>2</v>
      </c>
      <c r="F422" t="str">
        <f>_xlfn.XLOOKUP(D422, Products!$A$2:$A$21, Products!$B$2:$B$21, "Not Found")</f>
        <v>Laptop 14in</v>
      </c>
      <c r="G422" t="str">
        <f>_xlfn.XLOOKUP(D422, Products!$A$2:$A$21, Products!$C$2:$C$21)</f>
        <v>Computers</v>
      </c>
      <c r="H422">
        <f>_xlfn.XLOOKUP(D422, Products!$A$2:$A$21, Products!$E$2:$E$21, 0)</f>
        <v>1199</v>
      </c>
      <c r="I422">
        <f>_xlfn.XLOOKUP(D422, Products!$A$2:$A$21, Products!$F$2:$F$21,0)</f>
        <v>930</v>
      </c>
      <c r="J422" t="str">
        <f>_xlfn.XLOOKUP(C422, Stores!$A$2:$A$7, Stores!$D$2:$D$7)</f>
        <v>Sydney South</v>
      </c>
      <c r="K422">
        <f t="shared" si="12"/>
        <v>2398</v>
      </c>
      <c r="L422">
        <f t="shared" si="13"/>
        <v>538</v>
      </c>
    </row>
    <row r="423" spans="1:12">
      <c r="A423" t="s">
        <v>462</v>
      </c>
      <c r="B423" s="2">
        <v>46268</v>
      </c>
      <c r="C423" t="s">
        <v>19</v>
      </c>
      <c r="D423" t="s">
        <v>93</v>
      </c>
      <c r="E423">
        <v>1</v>
      </c>
      <c r="F423" t="str">
        <f>_xlfn.XLOOKUP(D423, Products!$A$2:$A$21, Products!$B$2:$B$21, "Not Found")</f>
        <v>Smartphone 256GB</v>
      </c>
      <c r="G423" t="str">
        <f>_xlfn.XLOOKUP(D423, Products!$A$2:$A$21, Products!$C$2:$C$21)</f>
        <v>Phones</v>
      </c>
      <c r="H423">
        <f>_xlfn.XLOOKUP(D423, Products!$A$2:$A$21, Products!$E$2:$E$21, 0)</f>
        <v>1499</v>
      </c>
      <c r="I423">
        <f>_xlfn.XLOOKUP(D423, Products!$A$2:$A$21, Products!$F$2:$F$21,0)</f>
        <v>1180</v>
      </c>
      <c r="J423" t="str">
        <f>_xlfn.XLOOKUP(C423, Stores!$A$2:$A$7, Stores!$D$2:$D$7)</f>
        <v>Sydney North</v>
      </c>
      <c r="K423">
        <f t="shared" si="12"/>
        <v>1499</v>
      </c>
      <c r="L423">
        <f t="shared" si="13"/>
        <v>319</v>
      </c>
    </row>
    <row r="424" spans="1:12">
      <c r="A424" t="s">
        <v>463</v>
      </c>
      <c r="B424" s="2">
        <v>46268</v>
      </c>
      <c r="C424" t="s">
        <v>19</v>
      </c>
      <c r="D424" t="s">
        <v>17</v>
      </c>
      <c r="E424">
        <v>1</v>
      </c>
      <c r="F424" t="str">
        <f>_xlfn.XLOOKUP(D424, Products!$A$2:$A$21, Products!$B$2:$B$21, "Not Found")</f>
        <v>Wireless Earbuds</v>
      </c>
      <c r="G424" t="str">
        <f>_xlfn.XLOOKUP(D424, Products!$A$2:$A$21, Products!$C$2:$C$21)</f>
        <v>Audio</v>
      </c>
      <c r="H424">
        <f>_xlfn.XLOOKUP(D424, Products!$A$2:$A$21, Products!$E$2:$E$21, 0)</f>
        <v>249</v>
      </c>
      <c r="I424">
        <f>_xlfn.XLOOKUP(D424, Products!$A$2:$A$21, Products!$F$2:$F$21,0)</f>
        <v>140</v>
      </c>
      <c r="J424" t="str">
        <f>_xlfn.XLOOKUP(C424, Stores!$A$2:$A$7, Stores!$D$2:$D$7)</f>
        <v>Sydney North</v>
      </c>
      <c r="K424">
        <f t="shared" si="12"/>
        <v>249</v>
      </c>
      <c r="L424">
        <f t="shared" si="13"/>
        <v>109</v>
      </c>
    </row>
    <row r="425" spans="1:12">
      <c r="A425" t="s">
        <v>464</v>
      </c>
      <c r="B425" s="2">
        <v>46268</v>
      </c>
      <c r="C425" t="s">
        <v>16</v>
      </c>
      <c r="D425" t="s">
        <v>17</v>
      </c>
      <c r="E425">
        <v>4</v>
      </c>
      <c r="F425" t="str">
        <f>_xlfn.XLOOKUP(D425, Products!$A$2:$A$21, Products!$B$2:$B$21, "Not Found")</f>
        <v>Wireless Earbuds</v>
      </c>
      <c r="G425" t="str">
        <f>_xlfn.XLOOKUP(D425, Products!$A$2:$A$21, Products!$C$2:$C$21)</f>
        <v>Audio</v>
      </c>
      <c r="H425">
        <f>_xlfn.XLOOKUP(D425, Products!$A$2:$A$21, Products!$E$2:$E$21, 0)</f>
        <v>249</v>
      </c>
      <c r="I425">
        <f>_xlfn.XLOOKUP(D425, Products!$A$2:$A$21, Products!$F$2:$F$21,0)</f>
        <v>140</v>
      </c>
      <c r="J425" t="str">
        <f>_xlfn.XLOOKUP(C425, Stores!$A$2:$A$7, Stores!$D$2:$D$7)</f>
        <v>Sydney East</v>
      </c>
      <c r="K425">
        <f t="shared" si="12"/>
        <v>996</v>
      </c>
      <c r="L425">
        <f t="shared" si="13"/>
        <v>436</v>
      </c>
    </row>
    <row r="426" spans="1:12">
      <c r="A426" t="s">
        <v>465</v>
      </c>
      <c r="B426" s="2">
        <v>46269</v>
      </c>
      <c r="C426" t="s">
        <v>19</v>
      </c>
      <c r="D426" t="s">
        <v>37</v>
      </c>
      <c r="E426">
        <v>1</v>
      </c>
      <c r="F426" t="str">
        <f>_xlfn.XLOOKUP(D426, Products!$A$2:$A$21, Products!$B$2:$B$21, "Not Found")</f>
        <v>Console Controller</v>
      </c>
      <c r="G426" t="str">
        <f>_xlfn.XLOOKUP(D426, Products!$A$2:$A$21, Products!$C$2:$C$21)</f>
        <v>Gaming</v>
      </c>
      <c r="H426">
        <f>_xlfn.XLOOKUP(D426, Products!$A$2:$A$21, Products!$E$2:$E$21, 0)</f>
        <v>99</v>
      </c>
      <c r="I426">
        <f>_xlfn.XLOOKUP(D426, Products!$A$2:$A$21, Products!$F$2:$F$21,0)</f>
        <v>58</v>
      </c>
      <c r="J426" t="str">
        <f>_xlfn.XLOOKUP(C426, Stores!$A$2:$A$7, Stores!$D$2:$D$7)</f>
        <v>Sydney North</v>
      </c>
      <c r="K426">
        <f t="shared" si="12"/>
        <v>99</v>
      </c>
      <c r="L426">
        <f t="shared" si="13"/>
        <v>41</v>
      </c>
    </row>
    <row r="427" spans="1:12">
      <c r="A427" t="s">
        <v>466</v>
      </c>
      <c r="B427" s="2">
        <v>46269</v>
      </c>
      <c r="C427" t="s">
        <v>25</v>
      </c>
      <c r="D427" t="s">
        <v>14</v>
      </c>
      <c r="E427">
        <v>1</v>
      </c>
      <c r="F427" t="str">
        <f>_xlfn.XLOOKUP(D427, Products!$A$2:$A$21, Products!$B$2:$B$21, "Not Found")</f>
        <v>Gaming Mouse</v>
      </c>
      <c r="G427" t="str">
        <f>_xlfn.XLOOKUP(D427, Products!$A$2:$A$21, Products!$C$2:$C$21)</f>
        <v>Accessories</v>
      </c>
      <c r="H427">
        <f>_xlfn.XLOOKUP(D427, Products!$A$2:$A$21, Products!$E$2:$E$21, 0)</f>
        <v>89</v>
      </c>
      <c r="I427">
        <f>_xlfn.XLOOKUP(D427, Products!$A$2:$A$21, Products!$F$2:$F$21,0)</f>
        <v>41</v>
      </c>
      <c r="J427" t="str">
        <f>_xlfn.XLOOKUP(C427, Stores!$A$2:$A$7, Stores!$D$2:$D$7)</f>
        <v>Sydney South</v>
      </c>
      <c r="K427">
        <f t="shared" si="12"/>
        <v>89</v>
      </c>
      <c r="L427">
        <f t="shared" si="13"/>
        <v>48</v>
      </c>
    </row>
    <row r="428" spans="1:12">
      <c r="A428" t="s">
        <v>467</v>
      </c>
      <c r="B428" s="2">
        <v>46269</v>
      </c>
      <c r="C428" t="s">
        <v>51</v>
      </c>
      <c r="D428" t="s">
        <v>63</v>
      </c>
      <c r="E428">
        <v>1</v>
      </c>
      <c r="F428" t="str">
        <f>_xlfn.XLOOKUP(D428, Products!$A$2:$A$21, Products!$B$2:$B$21, "Not Found")</f>
        <v>27in Monitor</v>
      </c>
      <c r="G428" t="str">
        <f>_xlfn.XLOOKUP(D428, Products!$A$2:$A$21, Products!$C$2:$C$21)</f>
        <v>Computers</v>
      </c>
      <c r="H428">
        <f>_xlfn.XLOOKUP(D428, Products!$A$2:$A$21, Products!$E$2:$E$21, 0)</f>
        <v>399</v>
      </c>
      <c r="I428">
        <f>_xlfn.XLOOKUP(D428, Products!$A$2:$A$21, Products!$F$2:$F$21,0)</f>
        <v>290</v>
      </c>
      <c r="J428" t="str">
        <f>_xlfn.XLOOKUP(C428, Stores!$A$2:$A$7, Stores!$D$2:$D$7)</f>
        <v>Sydney South</v>
      </c>
      <c r="K428">
        <f t="shared" si="12"/>
        <v>399</v>
      </c>
      <c r="L428">
        <f t="shared" si="13"/>
        <v>109</v>
      </c>
    </row>
    <row r="429" spans="1:12">
      <c r="A429" t="s">
        <v>468</v>
      </c>
      <c r="B429" s="2">
        <v>46269</v>
      </c>
      <c r="C429" t="s">
        <v>19</v>
      </c>
      <c r="D429" t="s">
        <v>52</v>
      </c>
      <c r="E429">
        <v>1</v>
      </c>
      <c r="F429" t="str">
        <f>_xlfn.XLOOKUP(D429, Products!$A$2:$A$21, Products!$B$2:$B$21, "Not Found")</f>
        <v>Mech Keyboard</v>
      </c>
      <c r="G429" t="str">
        <f>_xlfn.XLOOKUP(D429, Products!$A$2:$A$21, Products!$C$2:$C$21)</f>
        <v>Accessories</v>
      </c>
      <c r="H429">
        <f>_xlfn.XLOOKUP(D429, Products!$A$2:$A$21, Products!$E$2:$E$21, 0)</f>
        <v>149</v>
      </c>
      <c r="I429">
        <f>_xlfn.XLOOKUP(D429, Products!$A$2:$A$21, Products!$F$2:$F$21,0)</f>
        <v>72</v>
      </c>
      <c r="J429" t="str">
        <f>_xlfn.XLOOKUP(C429, Stores!$A$2:$A$7, Stores!$D$2:$D$7)</f>
        <v>Sydney North</v>
      </c>
      <c r="K429">
        <f t="shared" si="12"/>
        <v>149</v>
      </c>
      <c r="L429">
        <f t="shared" si="13"/>
        <v>77</v>
      </c>
    </row>
    <row r="430" spans="1:12">
      <c r="A430" t="s">
        <v>469</v>
      </c>
      <c r="B430" s="2">
        <v>46269</v>
      </c>
      <c r="C430" t="s">
        <v>51</v>
      </c>
      <c r="D430" t="s">
        <v>74</v>
      </c>
      <c r="E430">
        <v>1</v>
      </c>
      <c r="F430" t="str">
        <f>_xlfn.XLOOKUP(D430, Products!$A$2:$A$21, Products!$B$2:$B$21, "Not Found")</f>
        <v>Over-Ear Headphones</v>
      </c>
      <c r="G430" t="str">
        <f>_xlfn.XLOOKUP(D430, Products!$A$2:$A$21, Products!$C$2:$C$21)</f>
        <v>Audio</v>
      </c>
      <c r="H430">
        <f>_xlfn.XLOOKUP(D430, Products!$A$2:$A$21, Products!$E$2:$E$21, 0)</f>
        <v>499</v>
      </c>
      <c r="I430">
        <f>_xlfn.XLOOKUP(D430, Products!$A$2:$A$21, Products!$F$2:$F$21,0)</f>
        <v>310</v>
      </c>
      <c r="J430" t="str">
        <f>_xlfn.XLOOKUP(C430, Stores!$A$2:$A$7, Stores!$D$2:$D$7)</f>
        <v>Sydney South</v>
      </c>
      <c r="K430">
        <f t="shared" si="12"/>
        <v>499</v>
      </c>
      <c r="L430">
        <f t="shared" si="13"/>
        <v>189</v>
      </c>
    </row>
    <row r="431" spans="1:12">
      <c r="A431" t="s">
        <v>470</v>
      </c>
      <c r="B431" s="2">
        <v>46269</v>
      </c>
      <c r="C431" t="s">
        <v>19</v>
      </c>
      <c r="D431" t="s">
        <v>54</v>
      </c>
      <c r="E431">
        <v>4</v>
      </c>
      <c r="F431" t="str">
        <f>_xlfn.XLOOKUP(D431, Products!$A$2:$A$21, Products!$B$2:$B$21, "Not Found")</f>
        <v>55in TV</v>
      </c>
      <c r="G431" t="str">
        <f>_xlfn.XLOOKUP(D431, Products!$A$2:$A$21, Products!$C$2:$C$21)</f>
        <v>TV</v>
      </c>
      <c r="H431">
        <f>_xlfn.XLOOKUP(D431, Products!$A$2:$A$21, Products!$E$2:$E$21, 0)</f>
        <v>1299</v>
      </c>
      <c r="I431">
        <f>_xlfn.XLOOKUP(D431, Products!$A$2:$A$21, Products!$F$2:$F$21,0)</f>
        <v>980</v>
      </c>
      <c r="J431" t="str">
        <f>_xlfn.XLOOKUP(C431, Stores!$A$2:$A$7, Stores!$D$2:$D$7)</f>
        <v>Sydney North</v>
      </c>
      <c r="K431">
        <f t="shared" si="12"/>
        <v>5196</v>
      </c>
      <c r="L431">
        <f t="shared" si="13"/>
        <v>1276</v>
      </c>
    </row>
    <row r="432" spans="1:12">
      <c r="A432" t="s">
        <v>471</v>
      </c>
      <c r="B432" s="2">
        <v>46269</v>
      </c>
      <c r="C432" t="s">
        <v>22</v>
      </c>
      <c r="D432" t="s">
        <v>32</v>
      </c>
      <c r="E432">
        <v>2</v>
      </c>
      <c r="F432" t="str">
        <f>_xlfn.XLOOKUP(D432, Products!$A$2:$A$21, Products!$B$2:$B$21, "Not Found")</f>
        <v>USB-C Charger</v>
      </c>
      <c r="G432" t="str">
        <f>_xlfn.XLOOKUP(D432, Products!$A$2:$A$21, Products!$C$2:$C$21)</f>
        <v>Accessories</v>
      </c>
      <c r="H432">
        <f>_xlfn.XLOOKUP(D432, Products!$A$2:$A$21, Products!$E$2:$E$21, 0)</f>
        <v>49</v>
      </c>
      <c r="I432">
        <f>_xlfn.XLOOKUP(D432, Products!$A$2:$A$21, Products!$F$2:$F$21,0)</f>
        <v>14</v>
      </c>
      <c r="J432" t="str">
        <f>_xlfn.XLOOKUP(C432, Stores!$A$2:$A$7, Stores!$D$2:$D$7)</f>
        <v>Sydney West</v>
      </c>
      <c r="K432">
        <f t="shared" si="12"/>
        <v>98</v>
      </c>
      <c r="L432">
        <f t="shared" si="13"/>
        <v>70</v>
      </c>
    </row>
    <row r="433" spans="1:12">
      <c r="A433" t="s">
        <v>472</v>
      </c>
      <c r="B433" s="2">
        <v>46269</v>
      </c>
      <c r="C433" t="s">
        <v>16</v>
      </c>
      <c r="D433" t="s">
        <v>44</v>
      </c>
      <c r="E433">
        <v>1</v>
      </c>
      <c r="F433" t="str">
        <f>_xlfn.XLOOKUP(D433, Products!$A$2:$A$21, Products!$B$2:$B$21, "Not Found")</f>
        <v>Smartphone 128GB</v>
      </c>
      <c r="G433" t="str">
        <f>_xlfn.XLOOKUP(D433, Products!$A$2:$A$21, Products!$C$2:$C$21)</f>
        <v>Phones</v>
      </c>
      <c r="H433">
        <f>_xlfn.XLOOKUP(D433, Products!$A$2:$A$21, Products!$E$2:$E$21, 0)</f>
        <v>1099</v>
      </c>
      <c r="I433">
        <f>_xlfn.XLOOKUP(D433, Products!$A$2:$A$21, Products!$F$2:$F$21,0)</f>
        <v>860</v>
      </c>
      <c r="J433" t="str">
        <f>_xlfn.XLOOKUP(C433, Stores!$A$2:$A$7, Stores!$D$2:$D$7)</f>
        <v>Sydney East</v>
      </c>
      <c r="K433">
        <f t="shared" si="12"/>
        <v>1099</v>
      </c>
      <c r="L433">
        <f t="shared" si="13"/>
        <v>239</v>
      </c>
    </row>
    <row r="434" spans="1:12">
      <c r="A434" t="s">
        <v>473</v>
      </c>
      <c r="B434" s="2">
        <v>46269</v>
      </c>
      <c r="C434" t="s">
        <v>25</v>
      </c>
      <c r="D434" t="s">
        <v>14</v>
      </c>
      <c r="E434">
        <v>2</v>
      </c>
      <c r="F434" t="str">
        <f>_xlfn.XLOOKUP(D434, Products!$A$2:$A$21, Products!$B$2:$B$21, "Not Found")</f>
        <v>Gaming Mouse</v>
      </c>
      <c r="G434" t="str">
        <f>_xlfn.XLOOKUP(D434, Products!$A$2:$A$21, Products!$C$2:$C$21)</f>
        <v>Accessories</v>
      </c>
      <c r="H434">
        <f>_xlfn.XLOOKUP(D434, Products!$A$2:$A$21, Products!$E$2:$E$21, 0)</f>
        <v>89</v>
      </c>
      <c r="I434">
        <f>_xlfn.XLOOKUP(D434, Products!$A$2:$A$21, Products!$F$2:$F$21,0)</f>
        <v>41</v>
      </c>
      <c r="J434" t="str">
        <f>_xlfn.XLOOKUP(C434, Stores!$A$2:$A$7, Stores!$D$2:$D$7)</f>
        <v>Sydney South</v>
      </c>
      <c r="K434">
        <f t="shared" si="12"/>
        <v>178</v>
      </c>
      <c r="L434">
        <f t="shared" si="13"/>
        <v>96</v>
      </c>
    </row>
    <row r="435" spans="1:12">
      <c r="A435" t="s">
        <v>474</v>
      </c>
      <c r="B435" s="2">
        <v>46269</v>
      </c>
      <c r="C435" t="s">
        <v>16</v>
      </c>
      <c r="D435" t="s">
        <v>146</v>
      </c>
      <c r="E435">
        <v>3</v>
      </c>
      <c r="F435" t="str">
        <f>_xlfn.XLOOKUP(D435, Products!$A$2:$A$21, Products!$B$2:$B$21, "Not Found")</f>
        <v>Game Console</v>
      </c>
      <c r="G435" t="str">
        <f>_xlfn.XLOOKUP(D435, Products!$A$2:$A$21, Products!$C$2:$C$21)</f>
        <v>Gaming</v>
      </c>
      <c r="H435">
        <f>_xlfn.XLOOKUP(D435, Products!$A$2:$A$21, Products!$E$2:$E$21, 0)</f>
        <v>499</v>
      </c>
      <c r="I435">
        <f>_xlfn.XLOOKUP(D435, Products!$A$2:$A$21, Products!$F$2:$F$21,0)</f>
        <v>420</v>
      </c>
      <c r="J435" t="str">
        <f>_xlfn.XLOOKUP(C435, Stores!$A$2:$A$7, Stores!$D$2:$D$7)</f>
        <v>Sydney East</v>
      </c>
      <c r="K435">
        <f t="shared" si="12"/>
        <v>1497</v>
      </c>
      <c r="L435">
        <f t="shared" si="13"/>
        <v>237</v>
      </c>
    </row>
    <row r="436" spans="1:12">
      <c r="A436" t="s">
        <v>475</v>
      </c>
      <c r="B436" s="2">
        <v>46269</v>
      </c>
      <c r="C436" t="s">
        <v>25</v>
      </c>
      <c r="D436" t="s">
        <v>23</v>
      </c>
      <c r="E436">
        <v>1</v>
      </c>
      <c r="F436" t="str">
        <f>_xlfn.XLOOKUP(D436, Products!$A$2:$A$21, Products!$B$2:$B$21, "Not Found")</f>
        <v>Video Game</v>
      </c>
      <c r="G436" t="str">
        <f>_xlfn.XLOOKUP(D436, Products!$A$2:$A$21, Products!$C$2:$C$21)</f>
        <v>Gaming</v>
      </c>
      <c r="H436">
        <f>_xlfn.XLOOKUP(D436, Products!$A$2:$A$21, Products!$E$2:$E$21, 0)</f>
        <v>79</v>
      </c>
      <c r="I436">
        <f>_xlfn.XLOOKUP(D436, Products!$A$2:$A$21, Products!$F$2:$F$21,0)</f>
        <v>52</v>
      </c>
      <c r="J436" t="str">
        <f>_xlfn.XLOOKUP(C436, Stores!$A$2:$A$7, Stores!$D$2:$D$7)</f>
        <v>Sydney South</v>
      </c>
      <c r="K436">
        <f t="shared" si="12"/>
        <v>79</v>
      </c>
      <c r="L436">
        <f t="shared" si="13"/>
        <v>27</v>
      </c>
    </row>
    <row r="437" spans="1:12">
      <c r="A437" t="s">
        <v>476</v>
      </c>
      <c r="B437" s="2">
        <v>46269</v>
      </c>
      <c r="C437" t="s">
        <v>13</v>
      </c>
      <c r="D437" t="s">
        <v>20</v>
      </c>
      <c r="E437">
        <v>1</v>
      </c>
      <c r="F437" t="str">
        <f>_xlfn.XLOOKUP(D437, Products!$A$2:$A$21, Products!$B$2:$B$21, "Not Found")</f>
        <v>Bluetooth Speaker</v>
      </c>
      <c r="G437" t="str">
        <f>_xlfn.XLOOKUP(D437, Products!$A$2:$A$21, Products!$C$2:$C$21)</f>
        <v>Audio</v>
      </c>
      <c r="H437">
        <f>_xlfn.XLOOKUP(D437, Products!$A$2:$A$21, Products!$E$2:$E$21, 0)</f>
        <v>179</v>
      </c>
      <c r="I437">
        <f>_xlfn.XLOOKUP(D437, Products!$A$2:$A$21, Products!$F$2:$F$21,0)</f>
        <v>95</v>
      </c>
      <c r="J437" t="str">
        <f>_xlfn.XLOOKUP(C437, Stores!$A$2:$A$7, Stores!$D$2:$D$7)</f>
        <v>Sydney West</v>
      </c>
      <c r="K437">
        <f t="shared" si="12"/>
        <v>179</v>
      </c>
      <c r="L437">
        <f t="shared" si="13"/>
        <v>84</v>
      </c>
    </row>
    <row r="438" spans="1:12">
      <c r="A438" t="s">
        <v>477</v>
      </c>
      <c r="B438" s="2">
        <v>46270</v>
      </c>
      <c r="C438" t="s">
        <v>13</v>
      </c>
      <c r="D438" t="s">
        <v>63</v>
      </c>
      <c r="E438">
        <v>1</v>
      </c>
      <c r="F438" t="str">
        <f>_xlfn.XLOOKUP(D438, Products!$A$2:$A$21, Products!$B$2:$B$21, "Not Found")</f>
        <v>27in Monitor</v>
      </c>
      <c r="G438" t="str">
        <f>_xlfn.XLOOKUP(D438, Products!$A$2:$A$21, Products!$C$2:$C$21)</f>
        <v>Computers</v>
      </c>
      <c r="H438">
        <f>_xlfn.XLOOKUP(D438, Products!$A$2:$A$21, Products!$E$2:$E$21, 0)</f>
        <v>399</v>
      </c>
      <c r="I438">
        <f>_xlfn.XLOOKUP(D438, Products!$A$2:$A$21, Products!$F$2:$F$21,0)</f>
        <v>290</v>
      </c>
      <c r="J438" t="str">
        <f>_xlfn.XLOOKUP(C438, Stores!$A$2:$A$7, Stores!$D$2:$D$7)</f>
        <v>Sydney West</v>
      </c>
      <c r="K438">
        <f t="shared" si="12"/>
        <v>399</v>
      </c>
      <c r="L438">
        <f t="shared" si="13"/>
        <v>109</v>
      </c>
    </row>
    <row r="439" spans="1:12">
      <c r="A439" t="s">
        <v>478</v>
      </c>
      <c r="B439" s="2">
        <v>46270</v>
      </c>
      <c r="C439" t="s">
        <v>22</v>
      </c>
      <c r="D439" t="s">
        <v>61</v>
      </c>
      <c r="E439">
        <v>1</v>
      </c>
      <c r="F439" t="str">
        <f>_xlfn.XLOOKUP(D439, Products!$A$2:$A$21, Products!$B$2:$B$21, "Not Found")</f>
        <v>Soundbar</v>
      </c>
      <c r="G439" t="str">
        <f>_xlfn.XLOOKUP(D439, Products!$A$2:$A$21, Products!$C$2:$C$21)</f>
        <v>Audio</v>
      </c>
      <c r="H439">
        <f>_xlfn.XLOOKUP(D439, Products!$A$2:$A$21, Products!$E$2:$E$21, 0)</f>
        <v>699</v>
      </c>
      <c r="I439">
        <f>_xlfn.XLOOKUP(D439, Products!$A$2:$A$21, Products!$F$2:$F$21,0)</f>
        <v>450</v>
      </c>
      <c r="J439" t="str">
        <f>_xlfn.XLOOKUP(C439, Stores!$A$2:$A$7, Stores!$D$2:$D$7)</f>
        <v>Sydney West</v>
      </c>
      <c r="K439">
        <f t="shared" si="12"/>
        <v>699</v>
      </c>
      <c r="L439">
        <f t="shared" si="13"/>
        <v>249</v>
      </c>
    </row>
    <row r="440" spans="1:12">
      <c r="A440" t="s">
        <v>479</v>
      </c>
      <c r="B440" s="2">
        <v>46270</v>
      </c>
      <c r="C440" t="s">
        <v>16</v>
      </c>
      <c r="D440" t="s">
        <v>74</v>
      </c>
      <c r="E440">
        <v>2</v>
      </c>
      <c r="F440" t="str">
        <f>_xlfn.XLOOKUP(D440, Products!$A$2:$A$21, Products!$B$2:$B$21, "Not Found")</f>
        <v>Over-Ear Headphones</v>
      </c>
      <c r="G440" t="str">
        <f>_xlfn.XLOOKUP(D440, Products!$A$2:$A$21, Products!$C$2:$C$21)</f>
        <v>Audio</v>
      </c>
      <c r="H440">
        <f>_xlfn.XLOOKUP(D440, Products!$A$2:$A$21, Products!$E$2:$E$21, 0)</f>
        <v>499</v>
      </c>
      <c r="I440">
        <f>_xlfn.XLOOKUP(D440, Products!$A$2:$A$21, Products!$F$2:$F$21,0)</f>
        <v>310</v>
      </c>
      <c r="J440" t="str">
        <f>_xlfn.XLOOKUP(C440, Stores!$A$2:$A$7, Stores!$D$2:$D$7)</f>
        <v>Sydney East</v>
      </c>
      <c r="K440">
        <f t="shared" si="12"/>
        <v>998</v>
      </c>
      <c r="L440">
        <f t="shared" si="13"/>
        <v>378</v>
      </c>
    </row>
    <row r="441" spans="1:12">
      <c r="A441" t="s">
        <v>480</v>
      </c>
      <c r="B441" s="2">
        <v>46270</v>
      </c>
      <c r="C441" t="s">
        <v>16</v>
      </c>
      <c r="D441" t="s">
        <v>32</v>
      </c>
      <c r="E441">
        <v>3</v>
      </c>
      <c r="F441" t="str">
        <f>_xlfn.XLOOKUP(D441, Products!$A$2:$A$21, Products!$B$2:$B$21, "Not Found")</f>
        <v>USB-C Charger</v>
      </c>
      <c r="G441" t="str">
        <f>_xlfn.XLOOKUP(D441, Products!$A$2:$A$21, Products!$C$2:$C$21)</f>
        <v>Accessories</v>
      </c>
      <c r="H441">
        <f>_xlfn.XLOOKUP(D441, Products!$A$2:$A$21, Products!$E$2:$E$21, 0)</f>
        <v>49</v>
      </c>
      <c r="I441">
        <f>_xlfn.XLOOKUP(D441, Products!$A$2:$A$21, Products!$F$2:$F$21,0)</f>
        <v>14</v>
      </c>
      <c r="J441" t="str">
        <f>_xlfn.XLOOKUP(C441, Stores!$A$2:$A$7, Stores!$D$2:$D$7)</f>
        <v>Sydney East</v>
      </c>
      <c r="K441">
        <f t="shared" si="12"/>
        <v>147</v>
      </c>
      <c r="L441">
        <f t="shared" si="13"/>
        <v>105</v>
      </c>
    </row>
    <row r="442" spans="1:12">
      <c r="A442" t="s">
        <v>481</v>
      </c>
      <c r="B442" s="2">
        <v>46270</v>
      </c>
      <c r="C442" t="s">
        <v>25</v>
      </c>
      <c r="D442" t="s">
        <v>54</v>
      </c>
      <c r="E442">
        <v>1</v>
      </c>
      <c r="F442" t="str">
        <f>_xlfn.XLOOKUP(D442, Products!$A$2:$A$21, Products!$B$2:$B$21, "Not Found")</f>
        <v>55in TV</v>
      </c>
      <c r="G442" t="str">
        <f>_xlfn.XLOOKUP(D442, Products!$A$2:$A$21, Products!$C$2:$C$21)</f>
        <v>TV</v>
      </c>
      <c r="H442">
        <f>_xlfn.XLOOKUP(D442, Products!$A$2:$A$21, Products!$E$2:$E$21, 0)</f>
        <v>1299</v>
      </c>
      <c r="I442">
        <f>_xlfn.XLOOKUP(D442, Products!$A$2:$A$21, Products!$F$2:$F$21,0)</f>
        <v>980</v>
      </c>
      <c r="J442" t="str">
        <f>_xlfn.XLOOKUP(C442, Stores!$A$2:$A$7, Stores!$D$2:$D$7)</f>
        <v>Sydney South</v>
      </c>
      <c r="K442">
        <f t="shared" si="12"/>
        <v>1299</v>
      </c>
      <c r="L442">
        <f t="shared" si="13"/>
        <v>319</v>
      </c>
    </row>
    <row r="443" spans="1:12">
      <c r="A443" t="s">
        <v>482</v>
      </c>
      <c r="B443" s="2">
        <v>46270</v>
      </c>
      <c r="C443" t="s">
        <v>13</v>
      </c>
      <c r="D443" t="s">
        <v>32</v>
      </c>
      <c r="E443">
        <v>1</v>
      </c>
      <c r="F443" t="str">
        <f>_xlfn.XLOOKUP(D443, Products!$A$2:$A$21, Products!$B$2:$B$21, "Not Found")</f>
        <v>USB-C Charger</v>
      </c>
      <c r="G443" t="str">
        <f>_xlfn.XLOOKUP(D443, Products!$A$2:$A$21, Products!$C$2:$C$21)</f>
        <v>Accessories</v>
      </c>
      <c r="H443">
        <f>_xlfn.XLOOKUP(D443, Products!$A$2:$A$21, Products!$E$2:$E$21, 0)</f>
        <v>49</v>
      </c>
      <c r="I443">
        <f>_xlfn.XLOOKUP(D443, Products!$A$2:$A$21, Products!$F$2:$F$21,0)</f>
        <v>14</v>
      </c>
      <c r="J443" t="str">
        <f>_xlfn.XLOOKUP(C443, Stores!$A$2:$A$7, Stores!$D$2:$D$7)</f>
        <v>Sydney West</v>
      </c>
      <c r="K443">
        <f t="shared" si="12"/>
        <v>49</v>
      </c>
      <c r="L443">
        <f t="shared" si="13"/>
        <v>35</v>
      </c>
    </row>
    <row r="444" spans="1:12">
      <c r="A444" t="s">
        <v>483</v>
      </c>
      <c r="B444" s="2">
        <v>46271</v>
      </c>
      <c r="C444" t="s">
        <v>16</v>
      </c>
      <c r="D444" t="s">
        <v>100</v>
      </c>
      <c r="E444">
        <v>3</v>
      </c>
      <c r="F444" t="str">
        <f>_xlfn.XLOOKUP(D444, Products!$A$2:$A$21, Products!$B$2:$B$21, "Not Found")</f>
        <v>Laptop 14in</v>
      </c>
      <c r="G444" t="str">
        <f>_xlfn.XLOOKUP(D444, Products!$A$2:$A$21, Products!$C$2:$C$21)</f>
        <v>Computers</v>
      </c>
      <c r="H444">
        <f>_xlfn.XLOOKUP(D444, Products!$A$2:$A$21, Products!$E$2:$E$21, 0)</f>
        <v>1199</v>
      </c>
      <c r="I444">
        <f>_xlfn.XLOOKUP(D444, Products!$A$2:$A$21, Products!$F$2:$F$21,0)</f>
        <v>930</v>
      </c>
      <c r="J444" t="str">
        <f>_xlfn.XLOOKUP(C444, Stores!$A$2:$A$7, Stores!$D$2:$D$7)</f>
        <v>Sydney East</v>
      </c>
      <c r="K444">
        <f t="shared" si="12"/>
        <v>3597</v>
      </c>
      <c r="L444">
        <f t="shared" si="13"/>
        <v>807</v>
      </c>
    </row>
    <row r="445" spans="1:12">
      <c r="A445" t="s">
        <v>484</v>
      </c>
      <c r="B445" s="2">
        <v>46271</v>
      </c>
      <c r="C445" t="s">
        <v>16</v>
      </c>
      <c r="D445" t="s">
        <v>146</v>
      </c>
      <c r="E445">
        <v>1</v>
      </c>
      <c r="F445" t="str">
        <f>_xlfn.XLOOKUP(D445, Products!$A$2:$A$21, Products!$B$2:$B$21, "Not Found")</f>
        <v>Game Console</v>
      </c>
      <c r="G445" t="str">
        <f>_xlfn.XLOOKUP(D445, Products!$A$2:$A$21, Products!$C$2:$C$21)</f>
        <v>Gaming</v>
      </c>
      <c r="H445">
        <f>_xlfn.XLOOKUP(D445, Products!$A$2:$A$21, Products!$E$2:$E$21, 0)</f>
        <v>499</v>
      </c>
      <c r="I445">
        <f>_xlfn.XLOOKUP(D445, Products!$A$2:$A$21, Products!$F$2:$F$21,0)</f>
        <v>420</v>
      </c>
      <c r="J445" t="str">
        <f>_xlfn.XLOOKUP(C445, Stores!$A$2:$A$7, Stores!$D$2:$D$7)</f>
        <v>Sydney East</v>
      </c>
      <c r="K445">
        <f t="shared" si="12"/>
        <v>499</v>
      </c>
      <c r="L445">
        <f t="shared" si="13"/>
        <v>79</v>
      </c>
    </row>
    <row r="446" spans="1:12">
      <c r="A446" t="s">
        <v>485</v>
      </c>
      <c r="B446" s="2">
        <v>46271</v>
      </c>
      <c r="C446" t="s">
        <v>13</v>
      </c>
      <c r="D446" t="s">
        <v>48</v>
      </c>
      <c r="E446">
        <v>1</v>
      </c>
      <c r="F446" t="str">
        <f>_xlfn.XLOOKUP(D446, Products!$A$2:$A$21, Products!$B$2:$B$21, "Not Found")</f>
        <v>Tablet 11in</v>
      </c>
      <c r="G446" t="str">
        <f>_xlfn.XLOOKUP(D446, Products!$A$2:$A$21, Products!$C$2:$C$21)</f>
        <v>Computers</v>
      </c>
      <c r="H446">
        <f>_xlfn.XLOOKUP(D446, Products!$A$2:$A$21, Products!$E$2:$E$21, 0)</f>
        <v>899</v>
      </c>
      <c r="I446">
        <f>_xlfn.XLOOKUP(D446, Products!$A$2:$A$21, Products!$F$2:$F$21,0)</f>
        <v>690</v>
      </c>
      <c r="J446" t="str">
        <f>_xlfn.XLOOKUP(C446, Stores!$A$2:$A$7, Stores!$D$2:$D$7)</f>
        <v>Sydney West</v>
      </c>
      <c r="K446">
        <f t="shared" si="12"/>
        <v>899</v>
      </c>
      <c r="L446">
        <f t="shared" si="13"/>
        <v>209</v>
      </c>
    </row>
    <row r="447" spans="1:12">
      <c r="A447" t="s">
        <v>486</v>
      </c>
      <c r="B447" s="2">
        <v>46271</v>
      </c>
      <c r="C447" t="s">
        <v>19</v>
      </c>
      <c r="D447" t="s">
        <v>20</v>
      </c>
      <c r="E447">
        <v>1</v>
      </c>
      <c r="F447" t="str">
        <f>_xlfn.XLOOKUP(D447, Products!$A$2:$A$21, Products!$B$2:$B$21, "Not Found")</f>
        <v>Bluetooth Speaker</v>
      </c>
      <c r="G447" t="str">
        <f>_xlfn.XLOOKUP(D447, Products!$A$2:$A$21, Products!$C$2:$C$21)</f>
        <v>Audio</v>
      </c>
      <c r="H447">
        <f>_xlfn.XLOOKUP(D447, Products!$A$2:$A$21, Products!$E$2:$E$21, 0)</f>
        <v>179</v>
      </c>
      <c r="I447">
        <f>_xlfn.XLOOKUP(D447, Products!$A$2:$A$21, Products!$F$2:$F$21,0)</f>
        <v>95</v>
      </c>
      <c r="J447" t="str">
        <f>_xlfn.XLOOKUP(C447, Stores!$A$2:$A$7, Stores!$D$2:$D$7)</f>
        <v>Sydney North</v>
      </c>
      <c r="K447">
        <f t="shared" si="12"/>
        <v>179</v>
      </c>
      <c r="L447">
        <f t="shared" si="13"/>
        <v>84</v>
      </c>
    </row>
    <row r="448" spans="1:12">
      <c r="A448" t="s">
        <v>487</v>
      </c>
      <c r="B448" s="2">
        <v>46271</v>
      </c>
      <c r="C448" t="s">
        <v>22</v>
      </c>
      <c r="D448" t="s">
        <v>63</v>
      </c>
      <c r="E448">
        <v>1</v>
      </c>
      <c r="F448" t="str">
        <f>_xlfn.XLOOKUP(D448, Products!$A$2:$A$21, Products!$B$2:$B$21, "Not Found")</f>
        <v>27in Monitor</v>
      </c>
      <c r="G448" t="str">
        <f>_xlfn.XLOOKUP(D448, Products!$A$2:$A$21, Products!$C$2:$C$21)</f>
        <v>Computers</v>
      </c>
      <c r="H448">
        <f>_xlfn.XLOOKUP(D448, Products!$A$2:$A$21, Products!$E$2:$E$21, 0)</f>
        <v>399</v>
      </c>
      <c r="I448">
        <f>_xlfn.XLOOKUP(D448, Products!$A$2:$A$21, Products!$F$2:$F$21,0)</f>
        <v>290</v>
      </c>
      <c r="J448" t="str">
        <f>_xlfn.XLOOKUP(C448, Stores!$A$2:$A$7, Stores!$D$2:$D$7)</f>
        <v>Sydney West</v>
      </c>
      <c r="K448">
        <f t="shared" si="12"/>
        <v>399</v>
      </c>
      <c r="L448">
        <f t="shared" si="13"/>
        <v>109</v>
      </c>
    </row>
    <row r="449" spans="1:12">
      <c r="A449" t="s">
        <v>488</v>
      </c>
      <c r="B449" s="2">
        <v>46271</v>
      </c>
      <c r="C449" t="s">
        <v>25</v>
      </c>
      <c r="D449" t="s">
        <v>32</v>
      </c>
      <c r="E449">
        <v>1</v>
      </c>
      <c r="F449" t="str">
        <f>_xlfn.XLOOKUP(D449, Products!$A$2:$A$21, Products!$B$2:$B$21, "Not Found")</f>
        <v>USB-C Charger</v>
      </c>
      <c r="G449" t="str">
        <f>_xlfn.XLOOKUP(D449, Products!$A$2:$A$21, Products!$C$2:$C$21)</f>
        <v>Accessories</v>
      </c>
      <c r="H449">
        <f>_xlfn.XLOOKUP(D449, Products!$A$2:$A$21, Products!$E$2:$E$21, 0)</f>
        <v>49</v>
      </c>
      <c r="I449">
        <f>_xlfn.XLOOKUP(D449, Products!$A$2:$A$21, Products!$F$2:$F$21,0)</f>
        <v>14</v>
      </c>
      <c r="J449" t="str">
        <f>_xlfn.XLOOKUP(C449, Stores!$A$2:$A$7, Stores!$D$2:$D$7)</f>
        <v>Sydney South</v>
      </c>
      <c r="K449">
        <f t="shared" si="12"/>
        <v>49</v>
      </c>
      <c r="L449">
        <f t="shared" si="13"/>
        <v>35</v>
      </c>
    </row>
    <row r="450" spans="1:12">
      <c r="A450" t="s">
        <v>489</v>
      </c>
      <c r="B450" s="2">
        <v>46271</v>
      </c>
      <c r="C450" t="s">
        <v>13</v>
      </c>
      <c r="D450" t="s">
        <v>93</v>
      </c>
      <c r="E450">
        <v>1</v>
      </c>
      <c r="F450" t="str">
        <f>_xlfn.XLOOKUP(D450, Products!$A$2:$A$21, Products!$B$2:$B$21, "Not Found")</f>
        <v>Smartphone 256GB</v>
      </c>
      <c r="G450" t="str">
        <f>_xlfn.XLOOKUP(D450, Products!$A$2:$A$21, Products!$C$2:$C$21)</f>
        <v>Phones</v>
      </c>
      <c r="H450">
        <f>_xlfn.XLOOKUP(D450, Products!$A$2:$A$21, Products!$E$2:$E$21, 0)</f>
        <v>1499</v>
      </c>
      <c r="I450">
        <f>_xlfn.XLOOKUP(D450, Products!$A$2:$A$21, Products!$F$2:$F$21,0)</f>
        <v>1180</v>
      </c>
      <c r="J450" t="str">
        <f>_xlfn.XLOOKUP(C450, Stores!$A$2:$A$7, Stores!$D$2:$D$7)</f>
        <v>Sydney West</v>
      </c>
      <c r="K450">
        <f t="shared" si="12"/>
        <v>1499</v>
      </c>
      <c r="L450">
        <f t="shared" si="13"/>
        <v>319</v>
      </c>
    </row>
    <row r="451" spans="1:12">
      <c r="A451" t="s">
        <v>490</v>
      </c>
      <c r="B451" s="2">
        <v>46271</v>
      </c>
      <c r="C451" t="s">
        <v>25</v>
      </c>
      <c r="D451" t="s">
        <v>63</v>
      </c>
      <c r="E451">
        <v>1</v>
      </c>
      <c r="F451" t="str">
        <f>_xlfn.XLOOKUP(D451, Products!$A$2:$A$21, Products!$B$2:$B$21, "Not Found")</f>
        <v>27in Monitor</v>
      </c>
      <c r="G451" t="str">
        <f>_xlfn.XLOOKUP(D451, Products!$A$2:$A$21, Products!$C$2:$C$21)</f>
        <v>Computers</v>
      </c>
      <c r="H451">
        <f>_xlfn.XLOOKUP(D451, Products!$A$2:$A$21, Products!$E$2:$E$21, 0)</f>
        <v>399</v>
      </c>
      <c r="I451">
        <f>_xlfn.XLOOKUP(D451, Products!$A$2:$A$21, Products!$F$2:$F$21,0)</f>
        <v>290</v>
      </c>
      <c r="J451" t="str">
        <f>_xlfn.XLOOKUP(C451, Stores!$A$2:$A$7, Stores!$D$2:$D$7)</f>
        <v>Sydney South</v>
      </c>
      <c r="K451">
        <f t="shared" ref="K451:K514" si="14" xml:space="preserve"> E451*H451</f>
        <v>399</v>
      </c>
      <c r="L451">
        <f t="shared" ref="L451:L514" si="15" xml:space="preserve"> K451 - (E451 * I451)</f>
        <v>109</v>
      </c>
    </row>
    <row r="452" spans="1:12">
      <c r="A452" t="s">
        <v>491</v>
      </c>
      <c r="B452" s="2">
        <v>46271</v>
      </c>
      <c r="C452" t="s">
        <v>16</v>
      </c>
      <c r="D452" t="s">
        <v>20</v>
      </c>
      <c r="E452">
        <v>2</v>
      </c>
      <c r="F452" t="str">
        <f>_xlfn.XLOOKUP(D452, Products!$A$2:$A$21, Products!$B$2:$B$21, "Not Found")</f>
        <v>Bluetooth Speaker</v>
      </c>
      <c r="G452" t="str">
        <f>_xlfn.XLOOKUP(D452, Products!$A$2:$A$21, Products!$C$2:$C$21)</f>
        <v>Audio</v>
      </c>
      <c r="H452">
        <f>_xlfn.XLOOKUP(D452, Products!$A$2:$A$21, Products!$E$2:$E$21, 0)</f>
        <v>179</v>
      </c>
      <c r="I452">
        <f>_xlfn.XLOOKUP(D452, Products!$A$2:$A$21, Products!$F$2:$F$21,0)</f>
        <v>95</v>
      </c>
      <c r="J452" t="str">
        <f>_xlfn.XLOOKUP(C452, Stores!$A$2:$A$7, Stores!$D$2:$D$7)</f>
        <v>Sydney East</v>
      </c>
      <c r="K452">
        <f t="shared" si="14"/>
        <v>358</v>
      </c>
      <c r="L452">
        <f t="shared" si="15"/>
        <v>168</v>
      </c>
    </row>
    <row r="453" spans="1:12">
      <c r="A453" t="s">
        <v>492</v>
      </c>
      <c r="B453" s="2">
        <v>46272</v>
      </c>
      <c r="C453" t="s">
        <v>25</v>
      </c>
      <c r="D453" t="s">
        <v>14</v>
      </c>
      <c r="E453">
        <v>1</v>
      </c>
      <c r="F453" t="str">
        <f>_xlfn.XLOOKUP(D453, Products!$A$2:$A$21, Products!$B$2:$B$21, "Not Found")</f>
        <v>Gaming Mouse</v>
      </c>
      <c r="G453" t="str">
        <f>_xlfn.XLOOKUP(D453, Products!$A$2:$A$21, Products!$C$2:$C$21)</f>
        <v>Accessories</v>
      </c>
      <c r="H453">
        <f>_xlfn.XLOOKUP(D453, Products!$A$2:$A$21, Products!$E$2:$E$21, 0)</f>
        <v>89</v>
      </c>
      <c r="I453">
        <f>_xlfn.XLOOKUP(D453, Products!$A$2:$A$21, Products!$F$2:$F$21,0)</f>
        <v>41</v>
      </c>
      <c r="J453" t="str">
        <f>_xlfn.XLOOKUP(C453, Stores!$A$2:$A$7, Stores!$D$2:$D$7)</f>
        <v>Sydney South</v>
      </c>
      <c r="K453">
        <f t="shared" si="14"/>
        <v>89</v>
      </c>
      <c r="L453">
        <f t="shared" si="15"/>
        <v>48</v>
      </c>
    </row>
    <row r="454" spans="1:12">
      <c r="A454" t="s">
        <v>493</v>
      </c>
      <c r="B454" s="2">
        <v>46272</v>
      </c>
      <c r="C454" t="s">
        <v>22</v>
      </c>
      <c r="D454" t="s">
        <v>48</v>
      </c>
      <c r="E454">
        <v>1</v>
      </c>
      <c r="F454" t="str">
        <f>_xlfn.XLOOKUP(D454, Products!$A$2:$A$21, Products!$B$2:$B$21, "Not Found")</f>
        <v>Tablet 11in</v>
      </c>
      <c r="G454" t="str">
        <f>_xlfn.XLOOKUP(D454, Products!$A$2:$A$21, Products!$C$2:$C$21)</f>
        <v>Computers</v>
      </c>
      <c r="H454">
        <f>_xlfn.XLOOKUP(D454, Products!$A$2:$A$21, Products!$E$2:$E$21, 0)</f>
        <v>899</v>
      </c>
      <c r="I454">
        <f>_xlfn.XLOOKUP(D454, Products!$A$2:$A$21, Products!$F$2:$F$21,0)</f>
        <v>690</v>
      </c>
      <c r="J454" t="str">
        <f>_xlfn.XLOOKUP(C454, Stores!$A$2:$A$7, Stores!$D$2:$D$7)</f>
        <v>Sydney West</v>
      </c>
      <c r="K454">
        <f t="shared" si="14"/>
        <v>899</v>
      </c>
      <c r="L454">
        <f t="shared" si="15"/>
        <v>209</v>
      </c>
    </row>
    <row r="455" spans="1:12">
      <c r="A455" t="s">
        <v>494</v>
      </c>
      <c r="B455" s="2">
        <v>46272</v>
      </c>
      <c r="C455" t="s">
        <v>19</v>
      </c>
      <c r="D455" t="s">
        <v>23</v>
      </c>
      <c r="E455">
        <v>2</v>
      </c>
      <c r="F455" t="str">
        <f>_xlfn.XLOOKUP(D455, Products!$A$2:$A$21, Products!$B$2:$B$21, "Not Found")</f>
        <v>Video Game</v>
      </c>
      <c r="G455" t="str">
        <f>_xlfn.XLOOKUP(D455, Products!$A$2:$A$21, Products!$C$2:$C$21)</f>
        <v>Gaming</v>
      </c>
      <c r="H455">
        <f>_xlfn.XLOOKUP(D455, Products!$A$2:$A$21, Products!$E$2:$E$21, 0)</f>
        <v>79</v>
      </c>
      <c r="I455">
        <f>_xlfn.XLOOKUP(D455, Products!$A$2:$A$21, Products!$F$2:$F$21,0)</f>
        <v>52</v>
      </c>
      <c r="J455" t="str">
        <f>_xlfn.XLOOKUP(C455, Stores!$A$2:$A$7, Stores!$D$2:$D$7)</f>
        <v>Sydney North</v>
      </c>
      <c r="K455">
        <f t="shared" si="14"/>
        <v>158</v>
      </c>
      <c r="L455">
        <f t="shared" si="15"/>
        <v>54</v>
      </c>
    </row>
    <row r="456" spans="1:12">
      <c r="A456" t="s">
        <v>495</v>
      </c>
      <c r="B456" s="2">
        <v>46272</v>
      </c>
      <c r="C456" t="s">
        <v>22</v>
      </c>
      <c r="D456" t="s">
        <v>63</v>
      </c>
      <c r="E456">
        <v>3</v>
      </c>
      <c r="F456" t="str">
        <f>_xlfn.XLOOKUP(D456, Products!$A$2:$A$21, Products!$B$2:$B$21, "Not Found")</f>
        <v>27in Monitor</v>
      </c>
      <c r="G456" t="str">
        <f>_xlfn.XLOOKUP(D456, Products!$A$2:$A$21, Products!$C$2:$C$21)</f>
        <v>Computers</v>
      </c>
      <c r="H456">
        <f>_xlfn.XLOOKUP(D456, Products!$A$2:$A$21, Products!$E$2:$E$21, 0)</f>
        <v>399</v>
      </c>
      <c r="I456">
        <f>_xlfn.XLOOKUP(D456, Products!$A$2:$A$21, Products!$F$2:$F$21,0)</f>
        <v>290</v>
      </c>
      <c r="J456" t="str">
        <f>_xlfn.XLOOKUP(C456, Stores!$A$2:$A$7, Stores!$D$2:$D$7)</f>
        <v>Sydney West</v>
      </c>
      <c r="K456">
        <f t="shared" si="14"/>
        <v>1197</v>
      </c>
      <c r="L456">
        <f t="shared" si="15"/>
        <v>327</v>
      </c>
    </row>
    <row r="457" spans="1:12">
      <c r="A457" t="s">
        <v>496</v>
      </c>
      <c r="B457" s="2">
        <v>46272</v>
      </c>
      <c r="C457" t="s">
        <v>51</v>
      </c>
      <c r="D457" t="s">
        <v>44</v>
      </c>
      <c r="E457">
        <v>1</v>
      </c>
      <c r="F457" t="str">
        <f>_xlfn.XLOOKUP(D457, Products!$A$2:$A$21, Products!$B$2:$B$21, "Not Found")</f>
        <v>Smartphone 128GB</v>
      </c>
      <c r="G457" t="str">
        <f>_xlfn.XLOOKUP(D457, Products!$A$2:$A$21, Products!$C$2:$C$21)</f>
        <v>Phones</v>
      </c>
      <c r="H457">
        <f>_xlfn.XLOOKUP(D457, Products!$A$2:$A$21, Products!$E$2:$E$21, 0)</f>
        <v>1099</v>
      </c>
      <c r="I457">
        <f>_xlfn.XLOOKUP(D457, Products!$A$2:$A$21, Products!$F$2:$F$21,0)</f>
        <v>860</v>
      </c>
      <c r="J457" t="str">
        <f>_xlfn.XLOOKUP(C457, Stores!$A$2:$A$7, Stores!$D$2:$D$7)</f>
        <v>Sydney South</v>
      </c>
      <c r="K457">
        <f t="shared" si="14"/>
        <v>1099</v>
      </c>
      <c r="L457">
        <f t="shared" si="15"/>
        <v>239</v>
      </c>
    </row>
    <row r="458" spans="1:12">
      <c r="A458" t="s">
        <v>497</v>
      </c>
      <c r="B458" s="2">
        <v>46272</v>
      </c>
      <c r="C458" t="s">
        <v>25</v>
      </c>
      <c r="D458" t="s">
        <v>32</v>
      </c>
      <c r="E458">
        <v>1</v>
      </c>
      <c r="F458" t="str">
        <f>_xlfn.XLOOKUP(D458, Products!$A$2:$A$21, Products!$B$2:$B$21, "Not Found")</f>
        <v>USB-C Charger</v>
      </c>
      <c r="G458" t="str">
        <f>_xlfn.XLOOKUP(D458, Products!$A$2:$A$21, Products!$C$2:$C$21)</f>
        <v>Accessories</v>
      </c>
      <c r="H458">
        <f>_xlfn.XLOOKUP(D458, Products!$A$2:$A$21, Products!$E$2:$E$21, 0)</f>
        <v>49</v>
      </c>
      <c r="I458">
        <f>_xlfn.XLOOKUP(D458, Products!$A$2:$A$21, Products!$F$2:$F$21,0)</f>
        <v>14</v>
      </c>
      <c r="J458" t="str">
        <f>_xlfn.XLOOKUP(C458, Stores!$A$2:$A$7, Stores!$D$2:$D$7)</f>
        <v>Sydney South</v>
      </c>
      <c r="K458">
        <f t="shared" si="14"/>
        <v>49</v>
      </c>
      <c r="L458">
        <f t="shared" si="15"/>
        <v>35</v>
      </c>
    </row>
    <row r="459" spans="1:12">
      <c r="A459" t="s">
        <v>498</v>
      </c>
      <c r="B459" s="2">
        <v>46272</v>
      </c>
      <c r="C459" t="s">
        <v>13</v>
      </c>
      <c r="D459" t="s">
        <v>54</v>
      </c>
      <c r="E459">
        <v>1</v>
      </c>
      <c r="F459" t="str">
        <f>_xlfn.XLOOKUP(D459, Products!$A$2:$A$21, Products!$B$2:$B$21, "Not Found")</f>
        <v>55in TV</v>
      </c>
      <c r="G459" t="str">
        <f>_xlfn.XLOOKUP(D459, Products!$A$2:$A$21, Products!$C$2:$C$21)</f>
        <v>TV</v>
      </c>
      <c r="H459">
        <f>_xlfn.XLOOKUP(D459, Products!$A$2:$A$21, Products!$E$2:$E$21, 0)</f>
        <v>1299</v>
      </c>
      <c r="I459">
        <f>_xlfn.XLOOKUP(D459, Products!$A$2:$A$21, Products!$F$2:$F$21,0)</f>
        <v>980</v>
      </c>
      <c r="J459" t="str">
        <f>_xlfn.XLOOKUP(C459, Stores!$A$2:$A$7, Stores!$D$2:$D$7)</f>
        <v>Sydney West</v>
      </c>
      <c r="K459">
        <f t="shared" si="14"/>
        <v>1299</v>
      </c>
      <c r="L459">
        <f t="shared" si="15"/>
        <v>319</v>
      </c>
    </row>
    <row r="460" spans="1:12">
      <c r="A460" t="s">
        <v>499</v>
      </c>
      <c r="B460" s="2">
        <v>46273</v>
      </c>
      <c r="C460" t="s">
        <v>13</v>
      </c>
      <c r="D460" t="s">
        <v>14</v>
      </c>
      <c r="E460">
        <v>1</v>
      </c>
      <c r="F460" t="str">
        <f>_xlfn.XLOOKUP(D460, Products!$A$2:$A$21, Products!$B$2:$B$21, "Not Found")</f>
        <v>Gaming Mouse</v>
      </c>
      <c r="G460" t="str">
        <f>_xlfn.XLOOKUP(D460, Products!$A$2:$A$21, Products!$C$2:$C$21)</f>
        <v>Accessories</v>
      </c>
      <c r="H460">
        <f>_xlfn.XLOOKUP(D460, Products!$A$2:$A$21, Products!$E$2:$E$21, 0)</f>
        <v>89</v>
      </c>
      <c r="I460">
        <f>_xlfn.XLOOKUP(D460, Products!$A$2:$A$21, Products!$F$2:$F$21,0)</f>
        <v>41</v>
      </c>
      <c r="J460" t="str">
        <f>_xlfn.XLOOKUP(C460, Stores!$A$2:$A$7, Stores!$D$2:$D$7)</f>
        <v>Sydney West</v>
      </c>
      <c r="K460">
        <f t="shared" si="14"/>
        <v>89</v>
      </c>
      <c r="L460">
        <f t="shared" si="15"/>
        <v>48</v>
      </c>
    </row>
    <row r="461" spans="1:12">
      <c r="A461" t="s">
        <v>500</v>
      </c>
      <c r="B461" s="2">
        <v>46273</v>
      </c>
      <c r="C461" t="s">
        <v>51</v>
      </c>
      <c r="D461" t="s">
        <v>29</v>
      </c>
      <c r="E461">
        <v>2</v>
      </c>
      <c r="F461" t="str">
        <f>_xlfn.XLOOKUP(D461, Products!$A$2:$A$21, Products!$B$2:$B$21, "Not Found")</f>
        <v>Phone Case</v>
      </c>
      <c r="G461" t="str">
        <f>_xlfn.XLOOKUP(D461, Products!$A$2:$A$21, Products!$C$2:$C$21)</f>
        <v>Accessories</v>
      </c>
      <c r="H461">
        <f>_xlfn.XLOOKUP(D461, Products!$A$2:$A$21, Products!$E$2:$E$21, 0)</f>
        <v>39</v>
      </c>
      <c r="I461">
        <f>_xlfn.XLOOKUP(D461, Products!$A$2:$A$21, Products!$F$2:$F$21,0)</f>
        <v>9</v>
      </c>
      <c r="J461" t="str">
        <f>_xlfn.XLOOKUP(C461, Stores!$A$2:$A$7, Stores!$D$2:$D$7)</f>
        <v>Sydney South</v>
      </c>
      <c r="K461">
        <f t="shared" si="14"/>
        <v>78</v>
      </c>
      <c r="L461">
        <f t="shared" si="15"/>
        <v>60</v>
      </c>
    </row>
    <row r="462" spans="1:12">
      <c r="A462" t="s">
        <v>501</v>
      </c>
      <c r="B462" s="2">
        <v>46273</v>
      </c>
      <c r="C462" t="s">
        <v>51</v>
      </c>
      <c r="D462" t="s">
        <v>14</v>
      </c>
      <c r="E462">
        <v>1</v>
      </c>
      <c r="F462" t="str">
        <f>_xlfn.XLOOKUP(D462, Products!$A$2:$A$21, Products!$B$2:$B$21, "Not Found")</f>
        <v>Gaming Mouse</v>
      </c>
      <c r="G462" t="str">
        <f>_xlfn.XLOOKUP(D462, Products!$A$2:$A$21, Products!$C$2:$C$21)</f>
        <v>Accessories</v>
      </c>
      <c r="H462">
        <f>_xlfn.XLOOKUP(D462, Products!$A$2:$A$21, Products!$E$2:$E$21, 0)</f>
        <v>89</v>
      </c>
      <c r="I462">
        <f>_xlfn.XLOOKUP(D462, Products!$A$2:$A$21, Products!$F$2:$F$21,0)</f>
        <v>41</v>
      </c>
      <c r="J462" t="str">
        <f>_xlfn.XLOOKUP(C462, Stores!$A$2:$A$7, Stores!$D$2:$D$7)</f>
        <v>Sydney South</v>
      </c>
      <c r="K462">
        <f t="shared" si="14"/>
        <v>89</v>
      </c>
      <c r="L462">
        <f t="shared" si="15"/>
        <v>48</v>
      </c>
    </row>
    <row r="463" spans="1:12">
      <c r="A463" t="s">
        <v>502</v>
      </c>
      <c r="B463" s="2">
        <v>46274</v>
      </c>
      <c r="C463" t="s">
        <v>51</v>
      </c>
      <c r="D463" t="s">
        <v>37</v>
      </c>
      <c r="E463">
        <v>1</v>
      </c>
      <c r="F463" t="str">
        <f>_xlfn.XLOOKUP(D463, Products!$A$2:$A$21, Products!$B$2:$B$21, "Not Found")</f>
        <v>Console Controller</v>
      </c>
      <c r="G463" t="str">
        <f>_xlfn.XLOOKUP(D463, Products!$A$2:$A$21, Products!$C$2:$C$21)</f>
        <v>Gaming</v>
      </c>
      <c r="H463">
        <f>_xlfn.XLOOKUP(D463, Products!$A$2:$A$21, Products!$E$2:$E$21, 0)</f>
        <v>99</v>
      </c>
      <c r="I463">
        <f>_xlfn.XLOOKUP(D463, Products!$A$2:$A$21, Products!$F$2:$F$21,0)</f>
        <v>58</v>
      </c>
      <c r="J463" t="str">
        <f>_xlfn.XLOOKUP(C463, Stores!$A$2:$A$7, Stores!$D$2:$D$7)</f>
        <v>Sydney South</v>
      </c>
      <c r="K463">
        <f t="shared" si="14"/>
        <v>99</v>
      </c>
      <c r="L463">
        <f t="shared" si="15"/>
        <v>41</v>
      </c>
    </row>
    <row r="464" spans="1:12">
      <c r="A464" t="s">
        <v>503</v>
      </c>
      <c r="B464" s="2">
        <v>46274</v>
      </c>
      <c r="C464" t="s">
        <v>19</v>
      </c>
      <c r="D464" t="s">
        <v>29</v>
      </c>
      <c r="E464">
        <v>1</v>
      </c>
      <c r="F464" t="str">
        <f>_xlfn.XLOOKUP(D464, Products!$A$2:$A$21, Products!$B$2:$B$21, "Not Found")</f>
        <v>Phone Case</v>
      </c>
      <c r="G464" t="str">
        <f>_xlfn.XLOOKUP(D464, Products!$A$2:$A$21, Products!$C$2:$C$21)</f>
        <v>Accessories</v>
      </c>
      <c r="H464">
        <f>_xlfn.XLOOKUP(D464, Products!$A$2:$A$21, Products!$E$2:$E$21, 0)</f>
        <v>39</v>
      </c>
      <c r="I464">
        <f>_xlfn.XLOOKUP(D464, Products!$A$2:$A$21, Products!$F$2:$F$21,0)</f>
        <v>9</v>
      </c>
      <c r="J464" t="str">
        <f>_xlfn.XLOOKUP(C464, Stores!$A$2:$A$7, Stores!$D$2:$D$7)</f>
        <v>Sydney North</v>
      </c>
      <c r="K464">
        <f t="shared" si="14"/>
        <v>39</v>
      </c>
      <c r="L464">
        <f t="shared" si="15"/>
        <v>30</v>
      </c>
    </row>
    <row r="465" spans="1:12">
      <c r="A465" t="s">
        <v>504</v>
      </c>
      <c r="B465" s="2">
        <v>46274</v>
      </c>
      <c r="C465" t="s">
        <v>19</v>
      </c>
      <c r="D465" t="s">
        <v>20</v>
      </c>
      <c r="E465">
        <v>1</v>
      </c>
      <c r="F465" t="str">
        <f>_xlfn.XLOOKUP(D465, Products!$A$2:$A$21, Products!$B$2:$B$21, "Not Found")</f>
        <v>Bluetooth Speaker</v>
      </c>
      <c r="G465" t="str">
        <f>_xlfn.XLOOKUP(D465, Products!$A$2:$A$21, Products!$C$2:$C$21)</f>
        <v>Audio</v>
      </c>
      <c r="H465">
        <f>_xlfn.XLOOKUP(D465, Products!$A$2:$A$21, Products!$E$2:$E$21, 0)</f>
        <v>179</v>
      </c>
      <c r="I465">
        <f>_xlfn.XLOOKUP(D465, Products!$A$2:$A$21, Products!$F$2:$F$21,0)</f>
        <v>95</v>
      </c>
      <c r="J465" t="str">
        <f>_xlfn.XLOOKUP(C465, Stores!$A$2:$A$7, Stores!$D$2:$D$7)</f>
        <v>Sydney North</v>
      </c>
      <c r="K465">
        <f t="shared" si="14"/>
        <v>179</v>
      </c>
      <c r="L465">
        <f t="shared" si="15"/>
        <v>84</v>
      </c>
    </row>
    <row r="466" spans="1:12">
      <c r="A466" t="s">
        <v>505</v>
      </c>
      <c r="B466" s="2">
        <v>46274</v>
      </c>
      <c r="C466" t="s">
        <v>13</v>
      </c>
      <c r="D466" t="s">
        <v>20</v>
      </c>
      <c r="E466">
        <v>2</v>
      </c>
      <c r="F466" t="str">
        <f>_xlfn.XLOOKUP(D466, Products!$A$2:$A$21, Products!$B$2:$B$21, "Not Found")</f>
        <v>Bluetooth Speaker</v>
      </c>
      <c r="G466" t="str">
        <f>_xlfn.XLOOKUP(D466, Products!$A$2:$A$21, Products!$C$2:$C$21)</f>
        <v>Audio</v>
      </c>
      <c r="H466">
        <f>_xlfn.XLOOKUP(D466, Products!$A$2:$A$21, Products!$E$2:$E$21, 0)</f>
        <v>179</v>
      </c>
      <c r="I466">
        <f>_xlfn.XLOOKUP(D466, Products!$A$2:$A$21, Products!$F$2:$F$21,0)</f>
        <v>95</v>
      </c>
      <c r="J466" t="str">
        <f>_xlfn.XLOOKUP(C466, Stores!$A$2:$A$7, Stores!$D$2:$D$7)</f>
        <v>Sydney West</v>
      </c>
      <c r="K466">
        <f t="shared" si="14"/>
        <v>358</v>
      </c>
      <c r="L466">
        <f t="shared" si="15"/>
        <v>168</v>
      </c>
    </row>
    <row r="467" spans="1:12">
      <c r="A467" t="s">
        <v>506</v>
      </c>
      <c r="B467" s="2">
        <v>46274</v>
      </c>
      <c r="C467" t="s">
        <v>51</v>
      </c>
      <c r="D467" t="s">
        <v>32</v>
      </c>
      <c r="E467">
        <v>1</v>
      </c>
      <c r="F467" t="str">
        <f>_xlfn.XLOOKUP(D467, Products!$A$2:$A$21, Products!$B$2:$B$21, "Not Found")</f>
        <v>USB-C Charger</v>
      </c>
      <c r="G467" t="str">
        <f>_xlfn.XLOOKUP(D467, Products!$A$2:$A$21, Products!$C$2:$C$21)</f>
        <v>Accessories</v>
      </c>
      <c r="H467">
        <f>_xlfn.XLOOKUP(D467, Products!$A$2:$A$21, Products!$E$2:$E$21, 0)</f>
        <v>49</v>
      </c>
      <c r="I467">
        <f>_xlfn.XLOOKUP(D467, Products!$A$2:$A$21, Products!$F$2:$F$21,0)</f>
        <v>14</v>
      </c>
      <c r="J467" t="str">
        <f>_xlfn.XLOOKUP(C467, Stores!$A$2:$A$7, Stores!$D$2:$D$7)</f>
        <v>Sydney South</v>
      </c>
      <c r="K467">
        <f t="shared" si="14"/>
        <v>49</v>
      </c>
      <c r="L467">
        <f t="shared" si="15"/>
        <v>35</v>
      </c>
    </row>
    <row r="468" spans="1:12">
      <c r="A468" t="s">
        <v>507</v>
      </c>
      <c r="B468" s="2">
        <v>46274</v>
      </c>
      <c r="C468" t="s">
        <v>22</v>
      </c>
      <c r="D468" t="s">
        <v>29</v>
      </c>
      <c r="E468">
        <v>1</v>
      </c>
      <c r="F468" t="str">
        <f>_xlfn.XLOOKUP(D468, Products!$A$2:$A$21, Products!$B$2:$B$21, "Not Found")</f>
        <v>Phone Case</v>
      </c>
      <c r="G468" t="str">
        <f>_xlfn.XLOOKUP(D468, Products!$A$2:$A$21, Products!$C$2:$C$21)</f>
        <v>Accessories</v>
      </c>
      <c r="H468">
        <f>_xlfn.XLOOKUP(D468, Products!$A$2:$A$21, Products!$E$2:$E$21, 0)</f>
        <v>39</v>
      </c>
      <c r="I468">
        <f>_xlfn.XLOOKUP(D468, Products!$A$2:$A$21, Products!$F$2:$F$21,0)</f>
        <v>9</v>
      </c>
      <c r="J468" t="str">
        <f>_xlfn.XLOOKUP(C468, Stores!$A$2:$A$7, Stores!$D$2:$D$7)</f>
        <v>Sydney West</v>
      </c>
      <c r="K468">
        <f t="shared" si="14"/>
        <v>39</v>
      </c>
      <c r="L468">
        <f t="shared" si="15"/>
        <v>30</v>
      </c>
    </row>
    <row r="469" spans="1:12">
      <c r="A469" t="s">
        <v>508</v>
      </c>
      <c r="B469" s="2">
        <v>46274</v>
      </c>
      <c r="C469" t="s">
        <v>25</v>
      </c>
      <c r="D469" t="s">
        <v>74</v>
      </c>
      <c r="E469">
        <v>1</v>
      </c>
      <c r="F469" t="str">
        <f>_xlfn.XLOOKUP(D469, Products!$A$2:$A$21, Products!$B$2:$B$21, "Not Found")</f>
        <v>Over-Ear Headphones</v>
      </c>
      <c r="G469" t="str">
        <f>_xlfn.XLOOKUP(D469, Products!$A$2:$A$21, Products!$C$2:$C$21)</f>
        <v>Audio</v>
      </c>
      <c r="H469">
        <f>_xlfn.XLOOKUP(D469, Products!$A$2:$A$21, Products!$E$2:$E$21, 0)</f>
        <v>499</v>
      </c>
      <c r="I469">
        <f>_xlfn.XLOOKUP(D469, Products!$A$2:$A$21, Products!$F$2:$F$21,0)</f>
        <v>310</v>
      </c>
      <c r="J469" t="str">
        <f>_xlfn.XLOOKUP(C469, Stores!$A$2:$A$7, Stores!$D$2:$D$7)</f>
        <v>Sydney South</v>
      </c>
      <c r="K469">
        <f t="shared" si="14"/>
        <v>499</v>
      </c>
      <c r="L469">
        <f t="shared" si="15"/>
        <v>189</v>
      </c>
    </row>
    <row r="470" spans="1:12">
      <c r="A470" t="s">
        <v>509</v>
      </c>
      <c r="B470" s="2">
        <v>46274</v>
      </c>
      <c r="C470" t="s">
        <v>22</v>
      </c>
      <c r="D470" t="s">
        <v>44</v>
      </c>
      <c r="E470">
        <v>2</v>
      </c>
      <c r="F470" t="str">
        <f>_xlfn.XLOOKUP(D470, Products!$A$2:$A$21, Products!$B$2:$B$21, "Not Found")</f>
        <v>Smartphone 128GB</v>
      </c>
      <c r="G470" t="str">
        <f>_xlfn.XLOOKUP(D470, Products!$A$2:$A$21, Products!$C$2:$C$21)</f>
        <v>Phones</v>
      </c>
      <c r="H470">
        <f>_xlfn.XLOOKUP(D470, Products!$A$2:$A$21, Products!$E$2:$E$21, 0)</f>
        <v>1099</v>
      </c>
      <c r="I470">
        <f>_xlfn.XLOOKUP(D470, Products!$A$2:$A$21, Products!$F$2:$F$21,0)</f>
        <v>860</v>
      </c>
      <c r="J470" t="str">
        <f>_xlfn.XLOOKUP(C470, Stores!$A$2:$A$7, Stores!$D$2:$D$7)</f>
        <v>Sydney West</v>
      </c>
      <c r="K470">
        <f t="shared" si="14"/>
        <v>2198</v>
      </c>
      <c r="L470">
        <f t="shared" si="15"/>
        <v>478</v>
      </c>
    </row>
    <row r="471" spans="1:12">
      <c r="A471" t="s">
        <v>510</v>
      </c>
      <c r="B471" s="2">
        <v>46275</v>
      </c>
      <c r="C471" t="s">
        <v>22</v>
      </c>
      <c r="D471" t="s">
        <v>124</v>
      </c>
      <c r="E471">
        <v>1</v>
      </c>
      <c r="F471" t="str">
        <f>_xlfn.XLOOKUP(D471, Products!$A$2:$A$21, Products!$B$2:$B$21, "Not Found")</f>
        <v>65in TV</v>
      </c>
      <c r="G471" t="str">
        <f>_xlfn.XLOOKUP(D471, Products!$A$2:$A$21, Products!$C$2:$C$21)</f>
        <v>TV</v>
      </c>
      <c r="H471">
        <f>_xlfn.XLOOKUP(D471, Products!$A$2:$A$21, Products!$E$2:$E$21, 0)</f>
        <v>1999</v>
      </c>
      <c r="I471">
        <f>_xlfn.XLOOKUP(D471, Products!$A$2:$A$21, Products!$F$2:$F$21,0)</f>
        <v>1520</v>
      </c>
      <c r="J471" t="str">
        <f>_xlfn.XLOOKUP(C471, Stores!$A$2:$A$7, Stores!$D$2:$D$7)</f>
        <v>Sydney West</v>
      </c>
      <c r="K471">
        <f t="shared" si="14"/>
        <v>1999</v>
      </c>
      <c r="L471">
        <f t="shared" si="15"/>
        <v>479</v>
      </c>
    </row>
    <row r="472" spans="1:12">
      <c r="A472" t="s">
        <v>511</v>
      </c>
      <c r="B472" s="2">
        <v>46275</v>
      </c>
      <c r="C472" t="s">
        <v>51</v>
      </c>
      <c r="D472" t="s">
        <v>14</v>
      </c>
      <c r="E472">
        <v>1</v>
      </c>
      <c r="F472" t="str">
        <f>_xlfn.XLOOKUP(D472, Products!$A$2:$A$21, Products!$B$2:$B$21, "Not Found")</f>
        <v>Gaming Mouse</v>
      </c>
      <c r="G472" t="str">
        <f>_xlfn.XLOOKUP(D472, Products!$A$2:$A$21, Products!$C$2:$C$21)</f>
        <v>Accessories</v>
      </c>
      <c r="H472">
        <f>_xlfn.XLOOKUP(D472, Products!$A$2:$A$21, Products!$E$2:$E$21, 0)</f>
        <v>89</v>
      </c>
      <c r="I472">
        <f>_xlfn.XLOOKUP(D472, Products!$A$2:$A$21, Products!$F$2:$F$21,0)</f>
        <v>41</v>
      </c>
      <c r="J472" t="str">
        <f>_xlfn.XLOOKUP(C472, Stores!$A$2:$A$7, Stores!$D$2:$D$7)</f>
        <v>Sydney South</v>
      </c>
      <c r="K472">
        <f t="shared" si="14"/>
        <v>89</v>
      </c>
      <c r="L472">
        <f t="shared" si="15"/>
        <v>48</v>
      </c>
    </row>
    <row r="473" spans="1:12">
      <c r="A473" t="s">
        <v>512</v>
      </c>
      <c r="B473" s="2">
        <v>46275</v>
      </c>
      <c r="C473" t="s">
        <v>22</v>
      </c>
      <c r="D473" t="s">
        <v>37</v>
      </c>
      <c r="E473">
        <v>1</v>
      </c>
      <c r="F473" t="str">
        <f>_xlfn.XLOOKUP(D473, Products!$A$2:$A$21, Products!$B$2:$B$21, "Not Found")</f>
        <v>Console Controller</v>
      </c>
      <c r="G473" t="str">
        <f>_xlfn.XLOOKUP(D473, Products!$A$2:$A$21, Products!$C$2:$C$21)</f>
        <v>Gaming</v>
      </c>
      <c r="H473">
        <f>_xlfn.XLOOKUP(D473, Products!$A$2:$A$21, Products!$E$2:$E$21, 0)</f>
        <v>99</v>
      </c>
      <c r="I473">
        <f>_xlfn.XLOOKUP(D473, Products!$A$2:$A$21, Products!$F$2:$F$21,0)</f>
        <v>58</v>
      </c>
      <c r="J473" t="str">
        <f>_xlfn.XLOOKUP(C473, Stores!$A$2:$A$7, Stores!$D$2:$D$7)</f>
        <v>Sydney West</v>
      </c>
      <c r="K473">
        <f t="shared" si="14"/>
        <v>99</v>
      </c>
      <c r="L473">
        <f t="shared" si="15"/>
        <v>41</v>
      </c>
    </row>
    <row r="474" spans="1:12">
      <c r="A474" t="s">
        <v>513</v>
      </c>
      <c r="B474" s="2">
        <v>46275</v>
      </c>
      <c r="C474" t="s">
        <v>22</v>
      </c>
      <c r="D474" t="s">
        <v>32</v>
      </c>
      <c r="E474">
        <v>1</v>
      </c>
      <c r="F474" t="str">
        <f>_xlfn.XLOOKUP(D474, Products!$A$2:$A$21, Products!$B$2:$B$21, "Not Found")</f>
        <v>USB-C Charger</v>
      </c>
      <c r="G474" t="str">
        <f>_xlfn.XLOOKUP(D474, Products!$A$2:$A$21, Products!$C$2:$C$21)</f>
        <v>Accessories</v>
      </c>
      <c r="H474">
        <f>_xlfn.XLOOKUP(D474, Products!$A$2:$A$21, Products!$E$2:$E$21, 0)</f>
        <v>49</v>
      </c>
      <c r="I474">
        <f>_xlfn.XLOOKUP(D474, Products!$A$2:$A$21, Products!$F$2:$F$21,0)</f>
        <v>14</v>
      </c>
      <c r="J474" t="str">
        <f>_xlfn.XLOOKUP(C474, Stores!$A$2:$A$7, Stores!$D$2:$D$7)</f>
        <v>Sydney West</v>
      </c>
      <c r="K474">
        <f t="shared" si="14"/>
        <v>49</v>
      </c>
      <c r="L474">
        <f t="shared" si="15"/>
        <v>35</v>
      </c>
    </row>
    <row r="475" spans="1:12">
      <c r="A475" t="s">
        <v>514</v>
      </c>
      <c r="B475" s="2">
        <v>46275</v>
      </c>
      <c r="C475" t="s">
        <v>25</v>
      </c>
      <c r="D475" t="s">
        <v>20</v>
      </c>
      <c r="E475">
        <v>4</v>
      </c>
      <c r="F475" t="str">
        <f>_xlfn.XLOOKUP(D475, Products!$A$2:$A$21, Products!$B$2:$B$21, "Not Found")</f>
        <v>Bluetooth Speaker</v>
      </c>
      <c r="G475" t="str">
        <f>_xlfn.XLOOKUP(D475, Products!$A$2:$A$21, Products!$C$2:$C$21)</f>
        <v>Audio</v>
      </c>
      <c r="H475">
        <f>_xlfn.XLOOKUP(D475, Products!$A$2:$A$21, Products!$E$2:$E$21, 0)</f>
        <v>179</v>
      </c>
      <c r="I475">
        <f>_xlfn.XLOOKUP(D475, Products!$A$2:$A$21, Products!$F$2:$F$21,0)</f>
        <v>95</v>
      </c>
      <c r="J475" t="str">
        <f>_xlfn.XLOOKUP(C475, Stores!$A$2:$A$7, Stores!$D$2:$D$7)</f>
        <v>Sydney South</v>
      </c>
      <c r="K475">
        <f t="shared" si="14"/>
        <v>716</v>
      </c>
      <c r="L475">
        <f t="shared" si="15"/>
        <v>336</v>
      </c>
    </row>
    <row r="476" spans="1:12">
      <c r="A476" t="s">
        <v>515</v>
      </c>
      <c r="B476" s="2">
        <v>46276</v>
      </c>
      <c r="C476" t="s">
        <v>25</v>
      </c>
      <c r="D476" t="s">
        <v>165</v>
      </c>
      <c r="E476">
        <v>2</v>
      </c>
      <c r="F476" t="str">
        <f>_xlfn.XLOOKUP(D476, Products!$A$2:$A$21, Products!$B$2:$B$21, "Not Found")</f>
        <v>Smartwatch</v>
      </c>
      <c r="G476" t="str">
        <f>_xlfn.XLOOKUP(D476, Products!$A$2:$A$21, Products!$C$2:$C$21)</f>
        <v>Phones</v>
      </c>
      <c r="H476">
        <f>_xlfn.XLOOKUP(D476, Products!$A$2:$A$21, Products!$E$2:$E$21, 0)</f>
        <v>649</v>
      </c>
      <c r="I476">
        <f>_xlfn.XLOOKUP(D476, Products!$A$2:$A$21, Products!$F$2:$F$21,0)</f>
        <v>480</v>
      </c>
      <c r="J476" t="str">
        <f>_xlfn.XLOOKUP(C476, Stores!$A$2:$A$7, Stores!$D$2:$D$7)</f>
        <v>Sydney South</v>
      </c>
      <c r="K476">
        <f t="shared" si="14"/>
        <v>1298</v>
      </c>
      <c r="L476">
        <f t="shared" si="15"/>
        <v>338</v>
      </c>
    </row>
    <row r="477" spans="1:12">
      <c r="A477" t="s">
        <v>516</v>
      </c>
      <c r="B477" s="2">
        <v>46276</v>
      </c>
      <c r="C477" t="s">
        <v>13</v>
      </c>
      <c r="D477" t="s">
        <v>20</v>
      </c>
      <c r="E477">
        <v>1</v>
      </c>
      <c r="F477" t="str">
        <f>_xlfn.XLOOKUP(D477, Products!$A$2:$A$21, Products!$B$2:$B$21, "Not Found")</f>
        <v>Bluetooth Speaker</v>
      </c>
      <c r="G477" t="str">
        <f>_xlfn.XLOOKUP(D477, Products!$A$2:$A$21, Products!$C$2:$C$21)</f>
        <v>Audio</v>
      </c>
      <c r="H477">
        <f>_xlfn.XLOOKUP(D477, Products!$A$2:$A$21, Products!$E$2:$E$21, 0)</f>
        <v>179</v>
      </c>
      <c r="I477">
        <f>_xlfn.XLOOKUP(D477, Products!$A$2:$A$21, Products!$F$2:$F$21,0)</f>
        <v>95</v>
      </c>
      <c r="J477" t="str">
        <f>_xlfn.XLOOKUP(C477, Stores!$A$2:$A$7, Stores!$D$2:$D$7)</f>
        <v>Sydney West</v>
      </c>
      <c r="K477">
        <f t="shared" si="14"/>
        <v>179</v>
      </c>
      <c r="L477">
        <f t="shared" si="15"/>
        <v>84</v>
      </c>
    </row>
    <row r="478" spans="1:12">
      <c r="A478" t="s">
        <v>517</v>
      </c>
      <c r="B478" s="2">
        <v>46276</v>
      </c>
      <c r="C478" t="s">
        <v>22</v>
      </c>
      <c r="D478" t="s">
        <v>81</v>
      </c>
      <c r="E478">
        <v>1</v>
      </c>
      <c r="F478" t="str">
        <f>_xlfn.XLOOKUP(D478, Products!$A$2:$A$21, Products!$B$2:$B$21, "Not Found")</f>
        <v>Laptop 16in</v>
      </c>
      <c r="G478" t="str">
        <f>_xlfn.XLOOKUP(D478, Products!$A$2:$A$21, Products!$C$2:$C$21)</f>
        <v>Computers</v>
      </c>
      <c r="H478">
        <f>_xlfn.XLOOKUP(D478, Products!$A$2:$A$21, Products!$E$2:$E$21, 0)</f>
        <v>1799</v>
      </c>
      <c r="I478">
        <f>_xlfn.XLOOKUP(D478, Products!$A$2:$A$21, Products!$F$2:$F$21,0)</f>
        <v>1390</v>
      </c>
      <c r="J478" t="str">
        <f>_xlfn.XLOOKUP(C478, Stores!$A$2:$A$7, Stores!$D$2:$D$7)</f>
        <v>Sydney West</v>
      </c>
      <c r="K478">
        <f t="shared" si="14"/>
        <v>1799</v>
      </c>
      <c r="L478">
        <f t="shared" si="15"/>
        <v>409</v>
      </c>
    </row>
    <row r="479" spans="1:12">
      <c r="A479" t="s">
        <v>518</v>
      </c>
      <c r="B479" s="2">
        <v>46277</v>
      </c>
      <c r="C479" t="s">
        <v>51</v>
      </c>
      <c r="D479" t="s">
        <v>32</v>
      </c>
      <c r="E479">
        <v>1</v>
      </c>
      <c r="F479" t="str">
        <f>_xlfn.XLOOKUP(D479, Products!$A$2:$A$21, Products!$B$2:$B$21, "Not Found")</f>
        <v>USB-C Charger</v>
      </c>
      <c r="G479" t="str">
        <f>_xlfn.XLOOKUP(D479, Products!$A$2:$A$21, Products!$C$2:$C$21)</f>
        <v>Accessories</v>
      </c>
      <c r="H479">
        <f>_xlfn.XLOOKUP(D479, Products!$A$2:$A$21, Products!$E$2:$E$21, 0)</f>
        <v>49</v>
      </c>
      <c r="I479">
        <f>_xlfn.XLOOKUP(D479, Products!$A$2:$A$21, Products!$F$2:$F$21,0)</f>
        <v>14</v>
      </c>
      <c r="J479" t="str">
        <f>_xlfn.XLOOKUP(C479, Stores!$A$2:$A$7, Stores!$D$2:$D$7)</f>
        <v>Sydney South</v>
      </c>
      <c r="K479">
        <f t="shared" si="14"/>
        <v>49</v>
      </c>
      <c r="L479">
        <f t="shared" si="15"/>
        <v>35</v>
      </c>
    </row>
    <row r="480" spans="1:12">
      <c r="A480" t="s">
        <v>519</v>
      </c>
      <c r="B480" s="2">
        <v>46277</v>
      </c>
      <c r="C480" t="s">
        <v>16</v>
      </c>
      <c r="D480" t="s">
        <v>74</v>
      </c>
      <c r="E480">
        <v>2</v>
      </c>
      <c r="F480" t="str">
        <f>_xlfn.XLOOKUP(D480, Products!$A$2:$A$21, Products!$B$2:$B$21, "Not Found")</f>
        <v>Over-Ear Headphones</v>
      </c>
      <c r="G480" t="str">
        <f>_xlfn.XLOOKUP(D480, Products!$A$2:$A$21, Products!$C$2:$C$21)</f>
        <v>Audio</v>
      </c>
      <c r="H480">
        <f>_xlfn.XLOOKUP(D480, Products!$A$2:$A$21, Products!$E$2:$E$21, 0)</f>
        <v>499</v>
      </c>
      <c r="I480">
        <f>_xlfn.XLOOKUP(D480, Products!$A$2:$A$21, Products!$F$2:$F$21,0)</f>
        <v>310</v>
      </c>
      <c r="J480" t="str">
        <f>_xlfn.XLOOKUP(C480, Stores!$A$2:$A$7, Stores!$D$2:$D$7)</f>
        <v>Sydney East</v>
      </c>
      <c r="K480">
        <f t="shared" si="14"/>
        <v>998</v>
      </c>
      <c r="L480">
        <f t="shared" si="15"/>
        <v>378</v>
      </c>
    </row>
    <row r="481" spans="1:12">
      <c r="A481" t="s">
        <v>520</v>
      </c>
      <c r="B481" s="2">
        <v>46277</v>
      </c>
      <c r="C481" t="s">
        <v>16</v>
      </c>
      <c r="D481" t="s">
        <v>29</v>
      </c>
      <c r="E481">
        <v>2</v>
      </c>
      <c r="F481" t="str">
        <f>_xlfn.XLOOKUP(D481, Products!$A$2:$A$21, Products!$B$2:$B$21, "Not Found")</f>
        <v>Phone Case</v>
      </c>
      <c r="G481" t="str">
        <f>_xlfn.XLOOKUP(D481, Products!$A$2:$A$21, Products!$C$2:$C$21)</f>
        <v>Accessories</v>
      </c>
      <c r="H481">
        <f>_xlfn.XLOOKUP(D481, Products!$A$2:$A$21, Products!$E$2:$E$21, 0)</f>
        <v>39</v>
      </c>
      <c r="I481">
        <f>_xlfn.XLOOKUP(D481, Products!$A$2:$A$21, Products!$F$2:$F$21,0)</f>
        <v>9</v>
      </c>
      <c r="J481" t="str">
        <f>_xlfn.XLOOKUP(C481, Stores!$A$2:$A$7, Stores!$D$2:$D$7)</f>
        <v>Sydney East</v>
      </c>
      <c r="K481">
        <f t="shared" si="14"/>
        <v>78</v>
      </c>
      <c r="L481">
        <f t="shared" si="15"/>
        <v>60</v>
      </c>
    </row>
    <row r="482" spans="1:12">
      <c r="A482" t="s">
        <v>521</v>
      </c>
      <c r="B482" s="2">
        <v>46277</v>
      </c>
      <c r="C482" t="s">
        <v>22</v>
      </c>
      <c r="D482" t="s">
        <v>14</v>
      </c>
      <c r="E482">
        <v>1</v>
      </c>
      <c r="F482" t="str">
        <f>_xlfn.XLOOKUP(D482, Products!$A$2:$A$21, Products!$B$2:$B$21, "Not Found")</f>
        <v>Gaming Mouse</v>
      </c>
      <c r="G482" t="str">
        <f>_xlfn.XLOOKUP(D482, Products!$A$2:$A$21, Products!$C$2:$C$21)</f>
        <v>Accessories</v>
      </c>
      <c r="H482">
        <f>_xlfn.XLOOKUP(D482, Products!$A$2:$A$21, Products!$E$2:$E$21, 0)</f>
        <v>89</v>
      </c>
      <c r="I482">
        <f>_xlfn.XLOOKUP(D482, Products!$A$2:$A$21, Products!$F$2:$F$21,0)</f>
        <v>41</v>
      </c>
      <c r="J482" t="str">
        <f>_xlfn.XLOOKUP(C482, Stores!$A$2:$A$7, Stores!$D$2:$D$7)</f>
        <v>Sydney West</v>
      </c>
      <c r="K482">
        <f t="shared" si="14"/>
        <v>89</v>
      </c>
      <c r="L482">
        <f t="shared" si="15"/>
        <v>48</v>
      </c>
    </row>
    <row r="483" spans="1:12">
      <c r="A483" t="s">
        <v>522</v>
      </c>
      <c r="B483" s="2">
        <v>46277</v>
      </c>
      <c r="C483" t="s">
        <v>13</v>
      </c>
      <c r="D483" t="s">
        <v>93</v>
      </c>
      <c r="E483">
        <v>1</v>
      </c>
      <c r="F483" t="str">
        <f>_xlfn.XLOOKUP(D483, Products!$A$2:$A$21, Products!$B$2:$B$21, "Not Found")</f>
        <v>Smartphone 256GB</v>
      </c>
      <c r="G483" t="str">
        <f>_xlfn.XLOOKUP(D483, Products!$A$2:$A$21, Products!$C$2:$C$21)</f>
        <v>Phones</v>
      </c>
      <c r="H483">
        <f>_xlfn.XLOOKUP(D483, Products!$A$2:$A$21, Products!$E$2:$E$21, 0)</f>
        <v>1499</v>
      </c>
      <c r="I483">
        <f>_xlfn.XLOOKUP(D483, Products!$A$2:$A$21, Products!$F$2:$F$21,0)</f>
        <v>1180</v>
      </c>
      <c r="J483" t="str">
        <f>_xlfn.XLOOKUP(C483, Stores!$A$2:$A$7, Stores!$D$2:$D$7)</f>
        <v>Sydney West</v>
      </c>
      <c r="K483">
        <f t="shared" si="14"/>
        <v>1499</v>
      </c>
      <c r="L483">
        <f t="shared" si="15"/>
        <v>319</v>
      </c>
    </row>
    <row r="484" spans="1:12">
      <c r="A484" t="s">
        <v>523</v>
      </c>
      <c r="B484" s="2">
        <v>46277</v>
      </c>
      <c r="C484" t="s">
        <v>19</v>
      </c>
      <c r="D484" t="s">
        <v>32</v>
      </c>
      <c r="E484">
        <v>1</v>
      </c>
      <c r="F484" t="str">
        <f>_xlfn.XLOOKUP(D484, Products!$A$2:$A$21, Products!$B$2:$B$21, "Not Found")</f>
        <v>USB-C Charger</v>
      </c>
      <c r="G484" t="str">
        <f>_xlfn.XLOOKUP(D484, Products!$A$2:$A$21, Products!$C$2:$C$21)</f>
        <v>Accessories</v>
      </c>
      <c r="H484">
        <f>_xlfn.XLOOKUP(D484, Products!$A$2:$A$21, Products!$E$2:$E$21, 0)</f>
        <v>49</v>
      </c>
      <c r="I484">
        <f>_xlfn.XLOOKUP(D484, Products!$A$2:$A$21, Products!$F$2:$F$21,0)</f>
        <v>14</v>
      </c>
      <c r="J484" t="str">
        <f>_xlfn.XLOOKUP(C484, Stores!$A$2:$A$7, Stores!$D$2:$D$7)</f>
        <v>Sydney North</v>
      </c>
      <c r="K484">
        <f t="shared" si="14"/>
        <v>49</v>
      </c>
      <c r="L484">
        <f t="shared" si="15"/>
        <v>35</v>
      </c>
    </row>
    <row r="485" spans="1:12">
      <c r="A485" t="s">
        <v>524</v>
      </c>
      <c r="B485" s="2">
        <v>46278</v>
      </c>
      <c r="C485" t="s">
        <v>19</v>
      </c>
      <c r="D485" t="s">
        <v>74</v>
      </c>
      <c r="E485">
        <v>1</v>
      </c>
      <c r="F485" t="str">
        <f>_xlfn.XLOOKUP(D485, Products!$A$2:$A$21, Products!$B$2:$B$21, "Not Found")</f>
        <v>Over-Ear Headphones</v>
      </c>
      <c r="G485" t="str">
        <f>_xlfn.XLOOKUP(D485, Products!$A$2:$A$21, Products!$C$2:$C$21)</f>
        <v>Audio</v>
      </c>
      <c r="H485">
        <f>_xlfn.XLOOKUP(D485, Products!$A$2:$A$21, Products!$E$2:$E$21, 0)</f>
        <v>499</v>
      </c>
      <c r="I485">
        <f>_xlfn.XLOOKUP(D485, Products!$A$2:$A$21, Products!$F$2:$F$21,0)</f>
        <v>310</v>
      </c>
      <c r="J485" t="str">
        <f>_xlfn.XLOOKUP(C485, Stores!$A$2:$A$7, Stores!$D$2:$D$7)</f>
        <v>Sydney North</v>
      </c>
      <c r="K485">
        <f t="shared" si="14"/>
        <v>499</v>
      </c>
      <c r="L485">
        <f t="shared" si="15"/>
        <v>189</v>
      </c>
    </row>
    <row r="486" spans="1:12">
      <c r="A486" t="s">
        <v>525</v>
      </c>
      <c r="B486" s="2">
        <v>46278</v>
      </c>
      <c r="C486" t="s">
        <v>13</v>
      </c>
      <c r="D486" t="s">
        <v>14</v>
      </c>
      <c r="E486">
        <v>1</v>
      </c>
      <c r="F486" t="str">
        <f>_xlfn.XLOOKUP(D486, Products!$A$2:$A$21, Products!$B$2:$B$21, "Not Found")</f>
        <v>Gaming Mouse</v>
      </c>
      <c r="G486" t="str">
        <f>_xlfn.XLOOKUP(D486, Products!$A$2:$A$21, Products!$C$2:$C$21)</f>
        <v>Accessories</v>
      </c>
      <c r="H486">
        <f>_xlfn.XLOOKUP(D486, Products!$A$2:$A$21, Products!$E$2:$E$21, 0)</f>
        <v>89</v>
      </c>
      <c r="I486">
        <f>_xlfn.XLOOKUP(D486, Products!$A$2:$A$21, Products!$F$2:$F$21,0)</f>
        <v>41</v>
      </c>
      <c r="J486" t="str">
        <f>_xlfn.XLOOKUP(C486, Stores!$A$2:$A$7, Stores!$D$2:$D$7)</f>
        <v>Sydney West</v>
      </c>
      <c r="K486">
        <f t="shared" si="14"/>
        <v>89</v>
      </c>
      <c r="L486">
        <f t="shared" si="15"/>
        <v>48</v>
      </c>
    </row>
    <row r="487" spans="1:12">
      <c r="A487" t="s">
        <v>526</v>
      </c>
      <c r="B487" s="2">
        <v>46278</v>
      </c>
      <c r="C487" t="s">
        <v>13</v>
      </c>
      <c r="D487" t="s">
        <v>44</v>
      </c>
      <c r="E487">
        <v>1</v>
      </c>
      <c r="F487" t="str">
        <f>_xlfn.XLOOKUP(D487, Products!$A$2:$A$21, Products!$B$2:$B$21, "Not Found")</f>
        <v>Smartphone 128GB</v>
      </c>
      <c r="G487" t="str">
        <f>_xlfn.XLOOKUP(D487, Products!$A$2:$A$21, Products!$C$2:$C$21)</f>
        <v>Phones</v>
      </c>
      <c r="H487">
        <f>_xlfn.XLOOKUP(D487, Products!$A$2:$A$21, Products!$E$2:$E$21, 0)</f>
        <v>1099</v>
      </c>
      <c r="I487">
        <f>_xlfn.XLOOKUP(D487, Products!$A$2:$A$21, Products!$F$2:$F$21,0)</f>
        <v>860</v>
      </c>
      <c r="J487" t="str">
        <f>_xlfn.XLOOKUP(C487, Stores!$A$2:$A$7, Stores!$D$2:$D$7)</f>
        <v>Sydney West</v>
      </c>
      <c r="K487">
        <f t="shared" si="14"/>
        <v>1099</v>
      </c>
      <c r="L487">
        <f t="shared" si="15"/>
        <v>239</v>
      </c>
    </row>
    <row r="488" spans="1:12">
      <c r="A488" t="s">
        <v>527</v>
      </c>
      <c r="B488" s="2">
        <v>46278</v>
      </c>
      <c r="C488" t="s">
        <v>13</v>
      </c>
      <c r="D488" t="s">
        <v>63</v>
      </c>
      <c r="E488">
        <v>4</v>
      </c>
      <c r="F488" t="str">
        <f>_xlfn.XLOOKUP(D488, Products!$A$2:$A$21, Products!$B$2:$B$21, "Not Found")</f>
        <v>27in Monitor</v>
      </c>
      <c r="G488" t="str">
        <f>_xlfn.XLOOKUP(D488, Products!$A$2:$A$21, Products!$C$2:$C$21)</f>
        <v>Computers</v>
      </c>
      <c r="H488">
        <f>_xlfn.XLOOKUP(D488, Products!$A$2:$A$21, Products!$E$2:$E$21, 0)</f>
        <v>399</v>
      </c>
      <c r="I488">
        <f>_xlfn.XLOOKUP(D488, Products!$A$2:$A$21, Products!$F$2:$F$21,0)</f>
        <v>290</v>
      </c>
      <c r="J488" t="str">
        <f>_xlfn.XLOOKUP(C488, Stores!$A$2:$A$7, Stores!$D$2:$D$7)</f>
        <v>Sydney West</v>
      </c>
      <c r="K488">
        <f t="shared" si="14"/>
        <v>1596</v>
      </c>
      <c r="L488">
        <f t="shared" si="15"/>
        <v>436</v>
      </c>
    </row>
    <row r="489" spans="1:12">
      <c r="A489" t="s">
        <v>528</v>
      </c>
      <c r="B489" s="2">
        <v>46278</v>
      </c>
      <c r="C489" t="s">
        <v>25</v>
      </c>
      <c r="D489" t="s">
        <v>32</v>
      </c>
      <c r="E489">
        <v>1</v>
      </c>
      <c r="F489" t="str">
        <f>_xlfn.XLOOKUP(D489, Products!$A$2:$A$21, Products!$B$2:$B$21, "Not Found")</f>
        <v>USB-C Charger</v>
      </c>
      <c r="G489" t="str">
        <f>_xlfn.XLOOKUP(D489, Products!$A$2:$A$21, Products!$C$2:$C$21)</f>
        <v>Accessories</v>
      </c>
      <c r="H489">
        <f>_xlfn.XLOOKUP(D489, Products!$A$2:$A$21, Products!$E$2:$E$21, 0)</f>
        <v>49</v>
      </c>
      <c r="I489">
        <f>_xlfn.XLOOKUP(D489, Products!$A$2:$A$21, Products!$F$2:$F$21,0)</f>
        <v>14</v>
      </c>
      <c r="J489" t="str">
        <f>_xlfn.XLOOKUP(C489, Stores!$A$2:$A$7, Stores!$D$2:$D$7)</f>
        <v>Sydney South</v>
      </c>
      <c r="K489">
        <f t="shared" si="14"/>
        <v>49</v>
      </c>
      <c r="L489">
        <f t="shared" si="15"/>
        <v>35</v>
      </c>
    </row>
    <row r="490" spans="1:12">
      <c r="A490" t="s">
        <v>529</v>
      </c>
      <c r="B490" s="2">
        <v>46278</v>
      </c>
      <c r="C490" t="s">
        <v>13</v>
      </c>
      <c r="D490" t="s">
        <v>74</v>
      </c>
      <c r="E490">
        <v>2</v>
      </c>
      <c r="F490" t="str">
        <f>_xlfn.XLOOKUP(D490, Products!$A$2:$A$21, Products!$B$2:$B$21, "Not Found")</f>
        <v>Over-Ear Headphones</v>
      </c>
      <c r="G490" t="str">
        <f>_xlfn.XLOOKUP(D490, Products!$A$2:$A$21, Products!$C$2:$C$21)</f>
        <v>Audio</v>
      </c>
      <c r="H490">
        <f>_xlfn.XLOOKUP(D490, Products!$A$2:$A$21, Products!$E$2:$E$21, 0)</f>
        <v>499</v>
      </c>
      <c r="I490">
        <f>_xlfn.XLOOKUP(D490, Products!$A$2:$A$21, Products!$F$2:$F$21,0)</f>
        <v>310</v>
      </c>
      <c r="J490" t="str">
        <f>_xlfn.XLOOKUP(C490, Stores!$A$2:$A$7, Stores!$D$2:$D$7)</f>
        <v>Sydney West</v>
      </c>
      <c r="K490">
        <f t="shared" si="14"/>
        <v>998</v>
      </c>
      <c r="L490">
        <f t="shared" si="15"/>
        <v>378</v>
      </c>
    </row>
    <row r="491" spans="1:12">
      <c r="A491" t="s">
        <v>530</v>
      </c>
      <c r="B491" s="2">
        <v>46278</v>
      </c>
      <c r="C491" t="s">
        <v>25</v>
      </c>
      <c r="D491" t="s">
        <v>54</v>
      </c>
      <c r="E491">
        <v>1</v>
      </c>
      <c r="F491" t="str">
        <f>_xlfn.XLOOKUP(D491, Products!$A$2:$A$21, Products!$B$2:$B$21, "Not Found")</f>
        <v>55in TV</v>
      </c>
      <c r="G491" t="str">
        <f>_xlfn.XLOOKUP(D491, Products!$A$2:$A$21, Products!$C$2:$C$21)</f>
        <v>TV</v>
      </c>
      <c r="H491">
        <f>_xlfn.XLOOKUP(D491, Products!$A$2:$A$21, Products!$E$2:$E$21, 0)</f>
        <v>1299</v>
      </c>
      <c r="I491">
        <f>_xlfn.XLOOKUP(D491, Products!$A$2:$A$21, Products!$F$2:$F$21,0)</f>
        <v>980</v>
      </c>
      <c r="J491" t="str">
        <f>_xlfn.XLOOKUP(C491, Stores!$A$2:$A$7, Stores!$D$2:$D$7)</f>
        <v>Sydney South</v>
      </c>
      <c r="K491">
        <f t="shared" si="14"/>
        <v>1299</v>
      </c>
      <c r="L491">
        <f t="shared" si="15"/>
        <v>319</v>
      </c>
    </row>
    <row r="492" spans="1:12">
      <c r="A492" t="s">
        <v>531</v>
      </c>
      <c r="B492" s="2">
        <v>46278</v>
      </c>
      <c r="C492" t="s">
        <v>13</v>
      </c>
      <c r="D492" t="s">
        <v>93</v>
      </c>
      <c r="E492">
        <v>1</v>
      </c>
      <c r="F492" t="str">
        <f>_xlfn.XLOOKUP(D492, Products!$A$2:$A$21, Products!$B$2:$B$21, "Not Found")</f>
        <v>Smartphone 256GB</v>
      </c>
      <c r="G492" t="str">
        <f>_xlfn.XLOOKUP(D492, Products!$A$2:$A$21, Products!$C$2:$C$21)</f>
        <v>Phones</v>
      </c>
      <c r="H492">
        <f>_xlfn.XLOOKUP(D492, Products!$A$2:$A$21, Products!$E$2:$E$21, 0)</f>
        <v>1499</v>
      </c>
      <c r="I492">
        <f>_xlfn.XLOOKUP(D492, Products!$A$2:$A$21, Products!$F$2:$F$21,0)</f>
        <v>1180</v>
      </c>
      <c r="J492" t="str">
        <f>_xlfn.XLOOKUP(C492, Stores!$A$2:$A$7, Stores!$D$2:$D$7)</f>
        <v>Sydney West</v>
      </c>
      <c r="K492">
        <f t="shared" si="14"/>
        <v>1499</v>
      </c>
      <c r="L492">
        <f t="shared" si="15"/>
        <v>319</v>
      </c>
    </row>
    <row r="493" spans="1:12">
      <c r="A493" t="s">
        <v>532</v>
      </c>
      <c r="B493" s="2">
        <v>46279</v>
      </c>
      <c r="C493" t="s">
        <v>13</v>
      </c>
      <c r="D493" t="s">
        <v>44</v>
      </c>
      <c r="E493">
        <v>1</v>
      </c>
      <c r="F493" t="str">
        <f>_xlfn.XLOOKUP(D493, Products!$A$2:$A$21, Products!$B$2:$B$21, "Not Found")</f>
        <v>Smartphone 128GB</v>
      </c>
      <c r="G493" t="str">
        <f>_xlfn.XLOOKUP(D493, Products!$A$2:$A$21, Products!$C$2:$C$21)</f>
        <v>Phones</v>
      </c>
      <c r="H493">
        <f>_xlfn.XLOOKUP(D493, Products!$A$2:$A$21, Products!$E$2:$E$21, 0)</f>
        <v>1099</v>
      </c>
      <c r="I493">
        <f>_xlfn.XLOOKUP(D493, Products!$A$2:$A$21, Products!$F$2:$F$21,0)</f>
        <v>860</v>
      </c>
      <c r="J493" t="str">
        <f>_xlfn.XLOOKUP(C493, Stores!$A$2:$A$7, Stores!$D$2:$D$7)</f>
        <v>Sydney West</v>
      </c>
      <c r="K493">
        <f t="shared" si="14"/>
        <v>1099</v>
      </c>
      <c r="L493">
        <f t="shared" si="15"/>
        <v>239</v>
      </c>
    </row>
    <row r="494" spans="1:12">
      <c r="A494" t="s">
        <v>533</v>
      </c>
      <c r="B494" s="2">
        <v>46279</v>
      </c>
      <c r="C494" t="s">
        <v>19</v>
      </c>
      <c r="D494" t="s">
        <v>23</v>
      </c>
      <c r="E494">
        <v>1</v>
      </c>
      <c r="F494" t="str">
        <f>_xlfn.XLOOKUP(D494, Products!$A$2:$A$21, Products!$B$2:$B$21, "Not Found")</f>
        <v>Video Game</v>
      </c>
      <c r="G494" t="str">
        <f>_xlfn.XLOOKUP(D494, Products!$A$2:$A$21, Products!$C$2:$C$21)</f>
        <v>Gaming</v>
      </c>
      <c r="H494">
        <f>_xlfn.XLOOKUP(D494, Products!$A$2:$A$21, Products!$E$2:$E$21, 0)</f>
        <v>79</v>
      </c>
      <c r="I494">
        <f>_xlfn.XLOOKUP(D494, Products!$A$2:$A$21, Products!$F$2:$F$21,0)</f>
        <v>52</v>
      </c>
      <c r="J494" t="str">
        <f>_xlfn.XLOOKUP(C494, Stores!$A$2:$A$7, Stores!$D$2:$D$7)</f>
        <v>Sydney North</v>
      </c>
      <c r="K494">
        <f t="shared" si="14"/>
        <v>79</v>
      </c>
      <c r="L494">
        <f t="shared" si="15"/>
        <v>27</v>
      </c>
    </row>
    <row r="495" spans="1:12">
      <c r="A495" t="s">
        <v>534</v>
      </c>
      <c r="B495" s="2">
        <v>46279</v>
      </c>
      <c r="C495" t="s">
        <v>16</v>
      </c>
      <c r="D495" t="s">
        <v>93</v>
      </c>
      <c r="E495">
        <v>1</v>
      </c>
      <c r="F495" t="str">
        <f>_xlfn.XLOOKUP(D495, Products!$A$2:$A$21, Products!$B$2:$B$21, "Not Found")</f>
        <v>Smartphone 256GB</v>
      </c>
      <c r="G495" t="str">
        <f>_xlfn.XLOOKUP(D495, Products!$A$2:$A$21, Products!$C$2:$C$21)</f>
        <v>Phones</v>
      </c>
      <c r="H495">
        <f>_xlfn.XLOOKUP(D495, Products!$A$2:$A$21, Products!$E$2:$E$21, 0)</f>
        <v>1499</v>
      </c>
      <c r="I495">
        <f>_xlfn.XLOOKUP(D495, Products!$A$2:$A$21, Products!$F$2:$F$21,0)</f>
        <v>1180</v>
      </c>
      <c r="J495" t="str">
        <f>_xlfn.XLOOKUP(C495, Stores!$A$2:$A$7, Stores!$D$2:$D$7)</f>
        <v>Sydney East</v>
      </c>
      <c r="K495">
        <f t="shared" si="14"/>
        <v>1499</v>
      </c>
      <c r="L495">
        <f t="shared" si="15"/>
        <v>319</v>
      </c>
    </row>
    <row r="496" spans="1:12">
      <c r="A496" t="s">
        <v>535</v>
      </c>
      <c r="B496" s="2">
        <v>46279</v>
      </c>
      <c r="C496" t="s">
        <v>16</v>
      </c>
      <c r="D496" t="s">
        <v>14</v>
      </c>
      <c r="E496">
        <v>1</v>
      </c>
      <c r="F496" t="str">
        <f>_xlfn.XLOOKUP(D496, Products!$A$2:$A$21, Products!$B$2:$B$21, "Not Found")</f>
        <v>Gaming Mouse</v>
      </c>
      <c r="G496" t="str">
        <f>_xlfn.XLOOKUP(D496, Products!$A$2:$A$21, Products!$C$2:$C$21)</f>
        <v>Accessories</v>
      </c>
      <c r="H496">
        <f>_xlfn.XLOOKUP(D496, Products!$A$2:$A$21, Products!$E$2:$E$21, 0)</f>
        <v>89</v>
      </c>
      <c r="I496">
        <f>_xlfn.XLOOKUP(D496, Products!$A$2:$A$21, Products!$F$2:$F$21,0)</f>
        <v>41</v>
      </c>
      <c r="J496" t="str">
        <f>_xlfn.XLOOKUP(C496, Stores!$A$2:$A$7, Stores!$D$2:$D$7)</f>
        <v>Sydney East</v>
      </c>
      <c r="K496">
        <f t="shared" si="14"/>
        <v>89</v>
      </c>
      <c r="L496">
        <f t="shared" si="15"/>
        <v>48</v>
      </c>
    </row>
    <row r="497" spans="1:12">
      <c r="A497" t="s">
        <v>536</v>
      </c>
      <c r="B497" s="2">
        <v>46279</v>
      </c>
      <c r="C497" t="s">
        <v>25</v>
      </c>
      <c r="D497" t="s">
        <v>44</v>
      </c>
      <c r="E497">
        <v>1</v>
      </c>
      <c r="F497" t="str">
        <f>_xlfn.XLOOKUP(D497, Products!$A$2:$A$21, Products!$B$2:$B$21, "Not Found")</f>
        <v>Smartphone 128GB</v>
      </c>
      <c r="G497" t="str">
        <f>_xlfn.XLOOKUP(D497, Products!$A$2:$A$21, Products!$C$2:$C$21)</f>
        <v>Phones</v>
      </c>
      <c r="H497">
        <f>_xlfn.XLOOKUP(D497, Products!$A$2:$A$21, Products!$E$2:$E$21, 0)</f>
        <v>1099</v>
      </c>
      <c r="I497">
        <f>_xlfn.XLOOKUP(D497, Products!$A$2:$A$21, Products!$F$2:$F$21,0)</f>
        <v>860</v>
      </c>
      <c r="J497" t="str">
        <f>_xlfn.XLOOKUP(C497, Stores!$A$2:$A$7, Stores!$D$2:$D$7)</f>
        <v>Sydney South</v>
      </c>
      <c r="K497">
        <f t="shared" si="14"/>
        <v>1099</v>
      </c>
      <c r="L497">
        <f t="shared" si="15"/>
        <v>239</v>
      </c>
    </row>
    <row r="498" spans="1:12">
      <c r="A498" t="s">
        <v>537</v>
      </c>
      <c r="B498" s="2">
        <v>46279</v>
      </c>
      <c r="C498" t="s">
        <v>51</v>
      </c>
      <c r="D498" t="s">
        <v>14</v>
      </c>
      <c r="E498">
        <v>1</v>
      </c>
      <c r="F498" t="str">
        <f>_xlfn.XLOOKUP(D498, Products!$A$2:$A$21, Products!$B$2:$B$21, "Not Found")</f>
        <v>Gaming Mouse</v>
      </c>
      <c r="G498" t="str">
        <f>_xlfn.XLOOKUP(D498, Products!$A$2:$A$21, Products!$C$2:$C$21)</f>
        <v>Accessories</v>
      </c>
      <c r="H498">
        <f>_xlfn.XLOOKUP(D498, Products!$A$2:$A$21, Products!$E$2:$E$21, 0)</f>
        <v>89</v>
      </c>
      <c r="I498">
        <f>_xlfn.XLOOKUP(D498, Products!$A$2:$A$21, Products!$F$2:$F$21,0)</f>
        <v>41</v>
      </c>
      <c r="J498" t="str">
        <f>_xlfn.XLOOKUP(C498, Stores!$A$2:$A$7, Stores!$D$2:$D$7)</f>
        <v>Sydney South</v>
      </c>
      <c r="K498">
        <f t="shared" si="14"/>
        <v>89</v>
      </c>
      <c r="L498">
        <f t="shared" si="15"/>
        <v>48</v>
      </c>
    </row>
    <row r="499" spans="1:12">
      <c r="A499" t="s">
        <v>538</v>
      </c>
      <c r="B499" s="2">
        <v>46279</v>
      </c>
      <c r="C499" t="s">
        <v>19</v>
      </c>
      <c r="D499" t="s">
        <v>29</v>
      </c>
      <c r="E499">
        <v>1</v>
      </c>
      <c r="F499" t="str">
        <f>_xlfn.XLOOKUP(D499, Products!$A$2:$A$21, Products!$B$2:$B$21, "Not Found")</f>
        <v>Phone Case</v>
      </c>
      <c r="G499" t="str">
        <f>_xlfn.XLOOKUP(D499, Products!$A$2:$A$21, Products!$C$2:$C$21)</f>
        <v>Accessories</v>
      </c>
      <c r="H499">
        <f>_xlfn.XLOOKUP(D499, Products!$A$2:$A$21, Products!$E$2:$E$21, 0)</f>
        <v>39</v>
      </c>
      <c r="I499">
        <f>_xlfn.XLOOKUP(D499, Products!$A$2:$A$21, Products!$F$2:$F$21,0)</f>
        <v>9</v>
      </c>
      <c r="J499" t="str">
        <f>_xlfn.XLOOKUP(C499, Stores!$A$2:$A$7, Stores!$D$2:$D$7)</f>
        <v>Sydney North</v>
      </c>
      <c r="K499">
        <f t="shared" si="14"/>
        <v>39</v>
      </c>
      <c r="L499">
        <f t="shared" si="15"/>
        <v>30</v>
      </c>
    </row>
    <row r="500" spans="1:12">
      <c r="A500" t="s">
        <v>539</v>
      </c>
      <c r="B500" s="2">
        <v>46279</v>
      </c>
      <c r="C500" t="s">
        <v>13</v>
      </c>
      <c r="D500" t="s">
        <v>74</v>
      </c>
      <c r="E500">
        <v>1</v>
      </c>
      <c r="F500" t="str">
        <f>_xlfn.XLOOKUP(D500, Products!$A$2:$A$21, Products!$B$2:$B$21, "Not Found")</f>
        <v>Over-Ear Headphones</v>
      </c>
      <c r="G500" t="str">
        <f>_xlfn.XLOOKUP(D500, Products!$A$2:$A$21, Products!$C$2:$C$21)</f>
        <v>Audio</v>
      </c>
      <c r="H500">
        <f>_xlfn.XLOOKUP(D500, Products!$A$2:$A$21, Products!$E$2:$E$21, 0)</f>
        <v>499</v>
      </c>
      <c r="I500">
        <f>_xlfn.XLOOKUP(D500, Products!$A$2:$A$21, Products!$F$2:$F$21,0)</f>
        <v>310</v>
      </c>
      <c r="J500" t="str">
        <f>_xlfn.XLOOKUP(C500, Stores!$A$2:$A$7, Stores!$D$2:$D$7)</f>
        <v>Sydney West</v>
      </c>
      <c r="K500">
        <f t="shared" si="14"/>
        <v>499</v>
      </c>
      <c r="L500">
        <f t="shared" si="15"/>
        <v>189</v>
      </c>
    </row>
    <row r="501" spans="1:12">
      <c r="A501" t="s">
        <v>540</v>
      </c>
      <c r="B501" s="2">
        <v>46280</v>
      </c>
      <c r="C501" t="s">
        <v>25</v>
      </c>
      <c r="D501" t="s">
        <v>20</v>
      </c>
      <c r="E501">
        <v>1</v>
      </c>
      <c r="F501" t="str">
        <f>_xlfn.XLOOKUP(D501, Products!$A$2:$A$21, Products!$B$2:$B$21, "Not Found")</f>
        <v>Bluetooth Speaker</v>
      </c>
      <c r="G501" t="str">
        <f>_xlfn.XLOOKUP(D501, Products!$A$2:$A$21, Products!$C$2:$C$21)</f>
        <v>Audio</v>
      </c>
      <c r="H501">
        <f>_xlfn.XLOOKUP(D501, Products!$A$2:$A$21, Products!$E$2:$E$21, 0)</f>
        <v>179</v>
      </c>
      <c r="I501">
        <f>_xlfn.XLOOKUP(D501, Products!$A$2:$A$21, Products!$F$2:$F$21,0)</f>
        <v>95</v>
      </c>
      <c r="J501" t="str">
        <f>_xlfn.XLOOKUP(C501, Stores!$A$2:$A$7, Stores!$D$2:$D$7)</f>
        <v>Sydney South</v>
      </c>
      <c r="K501">
        <f t="shared" si="14"/>
        <v>179</v>
      </c>
      <c r="L501">
        <f t="shared" si="15"/>
        <v>84</v>
      </c>
    </row>
    <row r="502" spans="1:12">
      <c r="A502" t="s">
        <v>541</v>
      </c>
      <c r="B502" s="2">
        <v>46280</v>
      </c>
      <c r="C502" t="s">
        <v>19</v>
      </c>
      <c r="D502" t="s">
        <v>32</v>
      </c>
      <c r="E502">
        <v>1</v>
      </c>
      <c r="F502" t="str">
        <f>_xlfn.XLOOKUP(D502, Products!$A$2:$A$21, Products!$B$2:$B$21, "Not Found")</f>
        <v>USB-C Charger</v>
      </c>
      <c r="G502" t="str">
        <f>_xlfn.XLOOKUP(D502, Products!$A$2:$A$21, Products!$C$2:$C$21)</f>
        <v>Accessories</v>
      </c>
      <c r="H502">
        <f>_xlfn.XLOOKUP(D502, Products!$A$2:$A$21, Products!$E$2:$E$21, 0)</f>
        <v>49</v>
      </c>
      <c r="I502">
        <f>_xlfn.XLOOKUP(D502, Products!$A$2:$A$21, Products!$F$2:$F$21,0)</f>
        <v>14</v>
      </c>
      <c r="J502" t="str">
        <f>_xlfn.XLOOKUP(C502, Stores!$A$2:$A$7, Stores!$D$2:$D$7)</f>
        <v>Sydney North</v>
      </c>
      <c r="K502">
        <f t="shared" si="14"/>
        <v>49</v>
      </c>
      <c r="L502">
        <f t="shared" si="15"/>
        <v>35</v>
      </c>
    </row>
    <row r="503" spans="1:12">
      <c r="A503" t="s">
        <v>542</v>
      </c>
      <c r="B503" s="2">
        <v>46280</v>
      </c>
      <c r="C503" t="s">
        <v>19</v>
      </c>
      <c r="D503" t="s">
        <v>48</v>
      </c>
      <c r="E503">
        <v>2</v>
      </c>
      <c r="F503" t="str">
        <f>_xlfn.XLOOKUP(D503, Products!$A$2:$A$21, Products!$B$2:$B$21, "Not Found")</f>
        <v>Tablet 11in</v>
      </c>
      <c r="G503" t="str">
        <f>_xlfn.XLOOKUP(D503, Products!$A$2:$A$21, Products!$C$2:$C$21)</f>
        <v>Computers</v>
      </c>
      <c r="H503">
        <f>_xlfn.XLOOKUP(D503, Products!$A$2:$A$21, Products!$E$2:$E$21, 0)</f>
        <v>899</v>
      </c>
      <c r="I503">
        <f>_xlfn.XLOOKUP(D503, Products!$A$2:$A$21, Products!$F$2:$F$21,0)</f>
        <v>690</v>
      </c>
      <c r="J503" t="str">
        <f>_xlfn.XLOOKUP(C503, Stores!$A$2:$A$7, Stores!$D$2:$D$7)</f>
        <v>Sydney North</v>
      </c>
      <c r="K503">
        <f t="shared" si="14"/>
        <v>1798</v>
      </c>
      <c r="L503">
        <f t="shared" si="15"/>
        <v>418</v>
      </c>
    </row>
    <row r="504" spans="1:12">
      <c r="A504" t="s">
        <v>543</v>
      </c>
      <c r="B504" s="2">
        <v>46280</v>
      </c>
      <c r="C504" t="s">
        <v>25</v>
      </c>
      <c r="D504" t="s">
        <v>17</v>
      </c>
      <c r="E504">
        <v>1</v>
      </c>
      <c r="F504" t="str">
        <f>_xlfn.XLOOKUP(D504, Products!$A$2:$A$21, Products!$B$2:$B$21, "Not Found")</f>
        <v>Wireless Earbuds</v>
      </c>
      <c r="G504" t="str">
        <f>_xlfn.XLOOKUP(D504, Products!$A$2:$A$21, Products!$C$2:$C$21)</f>
        <v>Audio</v>
      </c>
      <c r="H504">
        <f>_xlfn.XLOOKUP(D504, Products!$A$2:$A$21, Products!$E$2:$E$21, 0)</f>
        <v>249</v>
      </c>
      <c r="I504">
        <f>_xlfn.XLOOKUP(D504, Products!$A$2:$A$21, Products!$F$2:$F$21,0)</f>
        <v>140</v>
      </c>
      <c r="J504" t="str">
        <f>_xlfn.XLOOKUP(C504, Stores!$A$2:$A$7, Stores!$D$2:$D$7)</f>
        <v>Sydney South</v>
      </c>
      <c r="K504">
        <f t="shared" si="14"/>
        <v>249</v>
      </c>
      <c r="L504">
        <f t="shared" si="15"/>
        <v>109</v>
      </c>
    </row>
    <row r="505" spans="1:12">
      <c r="A505" t="s">
        <v>544</v>
      </c>
      <c r="B505" s="2">
        <v>46280</v>
      </c>
      <c r="C505" t="s">
        <v>22</v>
      </c>
      <c r="D505" t="s">
        <v>93</v>
      </c>
      <c r="E505">
        <v>2</v>
      </c>
      <c r="F505" t="str">
        <f>_xlfn.XLOOKUP(D505, Products!$A$2:$A$21, Products!$B$2:$B$21, "Not Found")</f>
        <v>Smartphone 256GB</v>
      </c>
      <c r="G505" t="str">
        <f>_xlfn.XLOOKUP(D505, Products!$A$2:$A$21, Products!$C$2:$C$21)</f>
        <v>Phones</v>
      </c>
      <c r="H505">
        <f>_xlfn.XLOOKUP(D505, Products!$A$2:$A$21, Products!$E$2:$E$21, 0)</f>
        <v>1499</v>
      </c>
      <c r="I505">
        <f>_xlfn.XLOOKUP(D505, Products!$A$2:$A$21, Products!$F$2:$F$21,0)</f>
        <v>1180</v>
      </c>
      <c r="J505" t="str">
        <f>_xlfn.XLOOKUP(C505, Stores!$A$2:$A$7, Stores!$D$2:$D$7)</f>
        <v>Sydney West</v>
      </c>
      <c r="K505">
        <f t="shared" si="14"/>
        <v>2998</v>
      </c>
      <c r="L505">
        <f t="shared" si="15"/>
        <v>638</v>
      </c>
    </row>
    <row r="506" spans="1:12">
      <c r="A506" t="s">
        <v>545</v>
      </c>
      <c r="B506" s="2">
        <v>46280</v>
      </c>
      <c r="C506" t="s">
        <v>25</v>
      </c>
      <c r="D506" t="s">
        <v>20</v>
      </c>
      <c r="E506">
        <v>2</v>
      </c>
      <c r="F506" t="str">
        <f>_xlfn.XLOOKUP(D506, Products!$A$2:$A$21, Products!$B$2:$B$21, "Not Found")</f>
        <v>Bluetooth Speaker</v>
      </c>
      <c r="G506" t="str">
        <f>_xlfn.XLOOKUP(D506, Products!$A$2:$A$21, Products!$C$2:$C$21)</f>
        <v>Audio</v>
      </c>
      <c r="H506">
        <f>_xlfn.XLOOKUP(D506, Products!$A$2:$A$21, Products!$E$2:$E$21, 0)</f>
        <v>179</v>
      </c>
      <c r="I506">
        <f>_xlfn.XLOOKUP(D506, Products!$A$2:$A$21, Products!$F$2:$F$21,0)</f>
        <v>95</v>
      </c>
      <c r="J506" t="str">
        <f>_xlfn.XLOOKUP(C506, Stores!$A$2:$A$7, Stores!$D$2:$D$7)</f>
        <v>Sydney South</v>
      </c>
      <c r="K506">
        <f t="shared" si="14"/>
        <v>358</v>
      </c>
      <c r="L506">
        <f t="shared" si="15"/>
        <v>168</v>
      </c>
    </row>
    <row r="507" spans="1:12">
      <c r="A507" t="s">
        <v>546</v>
      </c>
      <c r="B507" s="2">
        <v>46280</v>
      </c>
      <c r="C507" t="s">
        <v>22</v>
      </c>
      <c r="D507" t="s">
        <v>63</v>
      </c>
      <c r="E507">
        <v>1</v>
      </c>
      <c r="F507" t="str">
        <f>_xlfn.XLOOKUP(D507, Products!$A$2:$A$21, Products!$B$2:$B$21, "Not Found")</f>
        <v>27in Monitor</v>
      </c>
      <c r="G507" t="str">
        <f>_xlfn.XLOOKUP(D507, Products!$A$2:$A$21, Products!$C$2:$C$21)</f>
        <v>Computers</v>
      </c>
      <c r="H507">
        <f>_xlfn.XLOOKUP(D507, Products!$A$2:$A$21, Products!$E$2:$E$21, 0)</f>
        <v>399</v>
      </c>
      <c r="I507">
        <f>_xlfn.XLOOKUP(D507, Products!$A$2:$A$21, Products!$F$2:$F$21,0)</f>
        <v>290</v>
      </c>
      <c r="J507" t="str">
        <f>_xlfn.XLOOKUP(C507, Stores!$A$2:$A$7, Stores!$D$2:$D$7)</f>
        <v>Sydney West</v>
      </c>
      <c r="K507">
        <f t="shared" si="14"/>
        <v>399</v>
      </c>
      <c r="L507">
        <f t="shared" si="15"/>
        <v>109</v>
      </c>
    </row>
    <row r="508" spans="1:12">
      <c r="A508" t="s">
        <v>547</v>
      </c>
      <c r="B508" s="2">
        <v>46280</v>
      </c>
      <c r="C508" t="s">
        <v>22</v>
      </c>
      <c r="D508" t="s">
        <v>32</v>
      </c>
      <c r="E508">
        <v>2</v>
      </c>
      <c r="F508" t="str">
        <f>_xlfn.XLOOKUP(D508, Products!$A$2:$A$21, Products!$B$2:$B$21, "Not Found")</f>
        <v>USB-C Charger</v>
      </c>
      <c r="G508" t="str">
        <f>_xlfn.XLOOKUP(D508, Products!$A$2:$A$21, Products!$C$2:$C$21)</f>
        <v>Accessories</v>
      </c>
      <c r="H508">
        <f>_xlfn.XLOOKUP(D508, Products!$A$2:$A$21, Products!$E$2:$E$21, 0)</f>
        <v>49</v>
      </c>
      <c r="I508">
        <f>_xlfn.XLOOKUP(D508, Products!$A$2:$A$21, Products!$F$2:$F$21,0)</f>
        <v>14</v>
      </c>
      <c r="J508" t="str">
        <f>_xlfn.XLOOKUP(C508, Stores!$A$2:$A$7, Stores!$D$2:$D$7)</f>
        <v>Sydney West</v>
      </c>
      <c r="K508">
        <f t="shared" si="14"/>
        <v>98</v>
      </c>
      <c r="L508">
        <f t="shared" si="15"/>
        <v>70</v>
      </c>
    </row>
    <row r="509" spans="1:12">
      <c r="A509" t="s">
        <v>548</v>
      </c>
      <c r="B509" s="2">
        <v>46280</v>
      </c>
      <c r="C509" t="s">
        <v>22</v>
      </c>
      <c r="D509" t="s">
        <v>29</v>
      </c>
      <c r="E509">
        <v>1</v>
      </c>
      <c r="F509" t="str">
        <f>_xlfn.XLOOKUP(D509, Products!$A$2:$A$21, Products!$B$2:$B$21, "Not Found")</f>
        <v>Phone Case</v>
      </c>
      <c r="G509" t="str">
        <f>_xlfn.XLOOKUP(D509, Products!$A$2:$A$21, Products!$C$2:$C$21)</f>
        <v>Accessories</v>
      </c>
      <c r="H509">
        <f>_xlfn.XLOOKUP(D509, Products!$A$2:$A$21, Products!$E$2:$E$21, 0)</f>
        <v>39</v>
      </c>
      <c r="I509">
        <f>_xlfn.XLOOKUP(D509, Products!$A$2:$A$21, Products!$F$2:$F$21,0)</f>
        <v>9</v>
      </c>
      <c r="J509" t="str">
        <f>_xlfn.XLOOKUP(C509, Stores!$A$2:$A$7, Stores!$D$2:$D$7)</f>
        <v>Sydney West</v>
      </c>
      <c r="K509">
        <f t="shared" si="14"/>
        <v>39</v>
      </c>
      <c r="L509">
        <f t="shared" si="15"/>
        <v>30</v>
      </c>
    </row>
    <row r="510" spans="1:12">
      <c r="A510" t="s">
        <v>549</v>
      </c>
      <c r="B510" s="2">
        <v>46281</v>
      </c>
      <c r="C510" t="s">
        <v>25</v>
      </c>
      <c r="D510" t="s">
        <v>48</v>
      </c>
      <c r="E510">
        <v>2</v>
      </c>
      <c r="F510" t="str">
        <f>_xlfn.XLOOKUP(D510, Products!$A$2:$A$21, Products!$B$2:$B$21, "Not Found")</f>
        <v>Tablet 11in</v>
      </c>
      <c r="G510" t="str">
        <f>_xlfn.XLOOKUP(D510, Products!$A$2:$A$21, Products!$C$2:$C$21)</f>
        <v>Computers</v>
      </c>
      <c r="H510">
        <f>_xlfn.XLOOKUP(D510, Products!$A$2:$A$21, Products!$E$2:$E$21, 0)</f>
        <v>899</v>
      </c>
      <c r="I510">
        <f>_xlfn.XLOOKUP(D510, Products!$A$2:$A$21, Products!$F$2:$F$21,0)</f>
        <v>690</v>
      </c>
      <c r="J510" t="str">
        <f>_xlfn.XLOOKUP(C510, Stores!$A$2:$A$7, Stores!$D$2:$D$7)</f>
        <v>Sydney South</v>
      </c>
      <c r="K510">
        <f t="shared" si="14"/>
        <v>1798</v>
      </c>
      <c r="L510">
        <f t="shared" si="15"/>
        <v>418</v>
      </c>
    </row>
    <row r="511" spans="1:12">
      <c r="A511" t="s">
        <v>550</v>
      </c>
      <c r="B511" s="2">
        <v>46281</v>
      </c>
      <c r="C511" t="s">
        <v>51</v>
      </c>
      <c r="D511" t="s">
        <v>17</v>
      </c>
      <c r="E511">
        <v>4</v>
      </c>
      <c r="F511" t="str">
        <f>_xlfn.XLOOKUP(D511, Products!$A$2:$A$21, Products!$B$2:$B$21, "Not Found")</f>
        <v>Wireless Earbuds</v>
      </c>
      <c r="G511" t="str">
        <f>_xlfn.XLOOKUP(D511, Products!$A$2:$A$21, Products!$C$2:$C$21)</f>
        <v>Audio</v>
      </c>
      <c r="H511">
        <f>_xlfn.XLOOKUP(D511, Products!$A$2:$A$21, Products!$E$2:$E$21, 0)</f>
        <v>249</v>
      </c>
      <c r="I511">
        <f>_xlfn.XLOOKUP(D511, Products!$A$2:$A$21, Products!$F$2:$F$21,0)</f>
        <v>140</v>
      </c>
      <c r="J511" t="str">
        <f>_xlfn.XLOOKUP(C511, Stores!$A$2:$A$7, Stores!$D$2:$D$7)</f>
        <v>Sydney South</v>
      </c>
      <c r="K511">
        <f t="shared" si="14"/>
        <v>996</v>
      </c>
      <c r="L511">
        <f t="shared" si="15"/>
        <v>436</v>
      </c>
    </row>
    <row r="512" spans="1:12">
      <c r="A512" t="s">
        <v>551</v>
      </c>
      <c r="B512" s="2">
        <v>46281</v>
      </c>
      <c r="C512" t="s">
        <v>16</v>
      </c>
      <c r="D512" t="s">
        <v>63</v>
      </c>
      <c r="E512">
        <v>1</v>
      </c>
      <c r="F512" t="str">
        <f>_xlfn.XLOOKUP(D512, Products!$A$2:$A$21, Products!$B$2:$B$21, "Not Found")</f>
        <v>27in Monitor</v>
      </c>
      <c r="G512" t="str">
        <f>_xlfn.XLOOKUP(D512, Products!$A$2:$A$21, Products!$C$2:$C$21)</f>
        <v>Computers</v>
      </c>
      <c r="H512">
        <f>_xlfn.XLOOKUP(D512, Products!$A$2:$A$21, Products!$E$2:$E$21, 0)</f>
        <v>399</v>
      </c>
      <c r="I512">
        <f>_xlfn.XLOOKUP(D512, Products!$A$2:$A$21, Products!$F$2:$F$21,0)</f>
        <v>290</v>
      </c>
      <c r="J512" t="str">
        <f>_xlfn.XLOOKUP(C512, Stores!$A$2:$A$7, Stores!$D$2:$D$7)</f>
        <v>Sydney East</v>
      </c>
      <c r="K512">
        <f t="shared" si="14"/>
        <v>399</v>
      </c>
      <c r="L512">
        <f t="shared" si="15"/>
        <v>109</v>
      </c>
    </row>
    <row r="513" spans="1:12">
      <c r="A513" t="s">
        <v>552</v>
      </c>
      <c r="B513" s="2">
        <v>46281</v>
      </c>
      <c r="C513" t="s">
        <v>51</v>
      </c>
      <c r="D513" t="s">
        <v>29</v>
      </c>
      <c r="E513">
        <v>3</v>
      </c>
      <c r="F513" t="str">
        <f>_xlfn.XLOOKUP(D513, Products!$A$2:$A$21, Products!$B$2:$B$21, "Not Found")</f>
        <v>Phone Case</v>
      </c>
      <c r="G513" t="str">
        <f>_xlfn.XLOOKUP(D513, Products!$A$2:$A$21, Products!$C$2:$C$21)</f>
        <v>Accessories</v>
      </c>
      <c r="H513">
        <f>_xlfn.XLOOKUP(D513, Products!$A$2:$A$21, Products!$E$2:$E$21, 0)</f>
        <v>39</v>
      </c>
      <c r="I513">
        <f>_xlfn.XLOOKUP(D513, Products!$A$2:$A$21, Products!$F$2:$F$21,0)</f>
        <v>9</v>
      </c>
      <c r="J513" t="str">
        <f>_xlfn.XLOOKUP(C513, Stores!$A$2:$A$7, Stores!$D$2:$D$7)</f>
        <v>Sydney South</v>
      </c>
      <c r="K513">
        <f t="shared" si="14"/>
        <v>117</v>
      </c>
      <c r="L513">
        <f t="shared" si="15"/>
        <v>90</v>
      </c>
    </row>
    <row r="514" spans="1:12">
      <c r="A514" t="s">
        <v>553</v>
      </c>
      <c r="B514" s="2">
        <v>46281</v>
      </c>
      <c r="C514" t="s">
        <v>25</v>
      </c>
      <c r="D514" t="s">
        <v>52</v>
      </c>
      <c r="E514">
        <v>2</v>
      </c>
      <c r="F514" t="str">
        <f>_xlfn.XLOOKUP(D514, Products!$A$2:$A$21, Products!$B$2:$B$21, "Not Found")</f>
        <v>Mech Keyboard</v>
      </c>
      <c r="G514" t="str">
        <f>_xlfn.XLOOKUP(D514, Products!$A$2:$A$21, Products!$C$2:$C$21)</f>
        <v>Accessories</v>
      </c>
      <c r="H514">
        <f>_xlfn.XLOOKUP(D514, Products!$A$2:$A$21, Products!$E$2:$E$21, 0)</f>
        <v>149</v>
      </c>
      <c r="I514">
        <f>_xlfn.XLOOKUP(D514, Products!$A$2:$A$21, Products!$F$2:$F$21,0)</f>
        <v>72</v>
      </c>
      <c r="J514" t="str">
        <f>_xlfn.XLOOKUP(C514, Stores!$A$2:$A$7, Stores!$D$2:$D$7)</f>
        <v>Sydney South</v>
      </c>
      <c r="K514">
        <f t="shared" si="14"/>
        <v>298</v>
      </c>
      <c r="L514">
        <f t="shared" si="15"/>
        <v>154</v>
      </c>
    </row>
    <row r="515" spans="1:12">
      <c r="A515" t="s">
        <v>554</v>
      </c>
      <c r="B515" s="2">
        <v>46281</v>
      </c>
      <c r="C515" t="s">
        <v>22</v>
      </c>
      <c r="D515" t="s">
        <v>63</v>
      </c>
      <c r="E515">
        <v>3</v>
      </c>
      <c r="F515" t="str">
        <f>_xlfn.XLOOKUP(D515, Products!$A$2:$A$21, Products!$B$2:$B$21, "Not Found")</f>
        <v>27in Monitor</v>
      </c>
      <c r="G515" t="str">
        <f>_xlfn.XLOOKUP(D515, Products!$A$2:$A$21, Products!$C$2:$C$21)</f>
        <v>Computers</v>
      </c>
      <c r="H515">
        <f>_xlfn.XLOOKUP(D515, Products!$A$2:$A$21, Products!$E$2:$E$21, 0)</f>
        <v>399</v>
      </c>
      <c r="I515">
        <f>_xlfn.XLOOKUP(D515, Products!$A$2:$A$21, Products!$F$2:$F$21,0)</f>
        <v>290</v>
      </c>
      <c r="J515" t="str">
        <f>_xlfn.XLOOKUP(C515, Stores!$A$2:$A$7, Stores!$D$2:$D$7)</f>
        <v>Sydney West</v>
      </c>
      <c r="K515">
        <f t="shared" ref="K515:K578" si="16" xml:space="preserve"> E515*H515</f>
        <v>1197</v>
      </c>
      <c r="L515">
        <f t="shared" ref="L515:L578" si="17" xml:space="preserve"> K515 - (E515 * I515)</f>
        <v>327</v>
      </c>
    </row>
    <row r="516" spans="1:12">
      <c r="A516" t="s">
        <v>555</v>
      </c>
      <c r="B516" s="2">
        <v>46281</v>
      </c>
      <c r="C516" t="s">
        <v>13</v>
      </c>
      <c r="D516" t="s">
        <v>17</v>
      </c>
      <c r="E516">
        <v>1</v>
      </c>
      <c r="F516" t="str">
        <f>_xlfn.XLOOKUP(D516, Products!$A$2:$A$21, Products!$B$2:$B$21, "Not Found")</f>
        <v>Wireless Earbuds</v>
      </c>
      <c r="G516" t="str">
        <f>_xlfn.XLOOKUP(D516, Products!$A$2:$A$21, Products!$C$2:$C$21)</f>
        <v>Audio</v>
      </c>
      <c r="H516">
        <f>_xlfn.XLOOKUP(D516, Products!$A$2:$A$21, Products!$E$2:$E$21, 0)</f>
        <v>249</v>
      </c>
      <c r="I516">
        <f>_xlfn.XLOOKUP(D516, Products!$A$2:$A$21, Products!$F$2:$F$21,0)</f>
        <v>140</v>
      </c>
      <c r="J516" t="str">
        <f>_xlfn.XLOOKUP(C516, Stores!$A$2:$A$7, Stores!$D$2:$D$7)</f>
        <v>Sydney West</v>
      </c>
      <c r="K516">
        <f t="shared" si="16"/>
        <v>249</v>
      </c>
      <c r="L516">
        <f t="shared" si="17"/>
        <v>109</v>
      </c>
    </row>
    <row r="517" spans="1:12">
      <c r="A517" t="s">
        <v>556</v>
      </c>
      <c r="B517" s="2">
        <v>46281</v>
      </c>
      <c r="C517" t="s">
        <v>22</v>
      </c>
      <c r="D517" t="s">
        <v>14</v>
      </c>
      <c r="E517">
        <v>1</v>
      </c>
      <c r="F517" t="str">
        <f>_xlfn.XLOOKUP(D517, Products!$A$2:$A$21, Products!$B$2:$B$21, "Not Found")</f>
        <v>Gaming Mouse</v>
      </c>
      <c r="G517" t="str">
        <f>_xlfn.XLOOKUP(D517, Products!$A$2:$A$21, Products!$C$2:$C$21)</f>
        <v>Accessories</v>
      </c>
      <c r="H517">
        <f>_xlfn.XLOOKUP(D517, Products!$A$2:$A$21, Products!$E$2:$E$21, 0)</f>
        <v>89</v>
      </c>
      <c r="I517">
        <f>_xlfn.XLOOKUP(D517, Products!$A$2:$A$21, Products!$F$2:$F$21,0)</f>
        <v>41</v>
      </c>
      <c r="J517" t="str">
        <f>_xlfn.XLOOKUP(C517, Stores!$A$2:$A$7, Stores!$D$2:$D$7)</f>
        <v>Sydney West</v>
      </c>
      <c r="K517">
        <f t="shared" si="16"/>
        <v>89</v>
      </c>
      <c r="L517">
        <f t="shared" si="17"/>
        <v>48</v>
      </c>
    </row>
    <row r="518" spans="1:12">
      <c r="A518" t="s">
        <v>557</v>
      </c>
      <c r="B518" s="2">
        <v>46281</v>
      </c>
      <c r="C518" t="s">
        <v>51</v>
      </c>
      <c r="D518" t="s">
        <v>17</v>
      </c>
      <c r="E518">
        <v>1</v>
      </c>
      <c r="F518" t="str">
        <f>_xlfn.XLOOKUP(D518, Products!$A$2:$A$21, Products!$B$2:$B$21, "Not Found")</f>
        <v>Wireless Earbuds</v>
      </c>
      <c r="G518" t="str">
        <f>_xlfn.XLOOKUP(D518, Products!$A$2:$A$21, Products!$C$2:$C$21)</f>
        <v>Audio</v>
      </c>
      <c r="H518">
        <f>_xlfn.XLOOKUP(D518, Products!$A$2:$A$21, Products!$E$2:$E$21, 0)</f>
        <v>249</v>
      </c>
      <c r="I518">
        <f>_xlfn.XLOOKUP(D518, Products!$A$2:$A$21, Products!$F$2:$F$21,0)</f>
        <v>140</v>
      </c>
      <c r="J518" t="str">
        <f>_xlfn.XLOOKUP(C518, Stores!$A$2:$A$7, Stores!$D$2:$D$7)</f>
        <v>Sydney South</v>
      </c>
      <c r="K518">
        <f t="shared" si="16"/>
        <v>249</v>
      </c>
      <c r="L518">
        <f t="shared" si="17"/>
        <v>109</v>
      </c>
    </row>
    <row r="519" spans="1:12">
      <c r="A519" t="s">
        <v>558</v>
      </c>
      <c r="B519" s="2">
        <v>46282</v>
      </c>
      <c r="C519" t="s">
        <v>25</v>
      </c>
      <c r="D519" t="s">
        <v>23</v>
      </c>
      <c r="E519">
        <v>1</v>
      </c>
      <c r="F519" t="str">
        <f>_xlfn.XLOOKUP(D519, Products!$A$2:$A$21, Products!$B$2:$B$21, "Not Found")</f>
        <v>Video Game</v>
      </c>
      <c r="G519" t="str">
        <f>_xlfn.XLOOKUP(D519, Products!$A$2:$A$21, Products!$C$2:$C$21)</f>
        <v>Gaming</v>
      </c>
      <c r="H519">
        <f>_xlfn.XLOOKUP(D519, Products!$A$2:$A$21, Products!$E$2:$E$21, 0)</f>
        <v>79</v>
      </c>
      <c r="I519">
        <f>_xlfn.XLOOKUP(D519, Products!$A$2:$A$21, Products!$F$2:$F$21,0)</f>
        <v>52</v>
      </c>
      <c r="J519" t="str">
        <f>_xlfn.XLOOKUP(C519, Stores!$A$2:$A$7, Stores!$D$2:$D$7)</f>
        <v>Sydney South</v>
      </c>
      <c r="K519">
        <f t="shared" si="16"/>
        <v>79</v>
      </c>
      <c r="L519">
        <f t="shared" si="17"/>
        <v>27</v>
      </c>
    </row>
    <row r="520" spans="1:12">
      <c r="A520" t="s">
        <v>559</v>
      </c>
      <c r="B520" s="2">
        <v>46282</v>
      </c>
      <c r="C520" t="s">
        <v>25</v>
      </c>
      <c r="D520" t="s">
        <v>17</v>
      </c>
      <c r="E520">
        <v>1</v>
      </c>
      <c r="F520" t="str">
        <f>_xlfn.XLOOKUP(D520, Products!$A$2:$A$21, Products!$B$2:$B$21, "Not Found")</f>
        <v>Wireless Earbuds</v>
      </c>
      <c r="G520" t="str">
        <f>_xlfn.XLOOKUP(D520, Products!$A$2:$A$21, Products!$C$2:$C$21)</f>
        <v>Audio</v>
      </c>
      <c r="H520">
        <f>_xlfn.XLOOKUP(D520, Products!$A$2:$A$21, Products!$E$2:$E$21, 0)</f>
        <v>249</v>
      </c>
      <c r="I520">
        <f>_xlfn.XLOOKUP(D520, Products!$A$2:$A$21, Products!$F$2:$F$21,0)</f>
        <v>140</v>
      </c>
      <c r="J520" t="str">
        <f>_xlfn.XLOOKUP(C520, Stores!$A$2:$A$7, Stores!$D$2:$D$7)</f>
        <v>Sydney South</v>
      </c>
      <c r="K520">
        <f t="shared" si="16"/>
        <v>249</v>
      </c>
      <c r="L520">
        <f t="shared" si="17"/>
        <v>109</v>
      </c>
    </row>
    <row r="521" spans="1:12">
      <c r="A521" t="s">
        <v>560</v>
      </c>
      <c r="B521" s="2">
        <v>46282</v>
      </c>
      <c r="C521" t="s">
        <v>25</v>
      </c>
      <c r="D521" t="s">
        <v>17</v>
      </c>
      <c r="E521">
        <v>1</v>
      </c>
      <c r="F521" t="str">
        <f>_xlfn.XLOOKUP(D521, Products!$A$2:$A$21, Products!$B$2:$B$21, "Not Found")</f>
        <v>Wireless Earbuds</v>
      </c>
      <c r="G521" t="str">
        <f>_xlfn.XLOOKUP(D521, Products!$A$2:$A$21, Products!$C$2:$C$21)</f>
        <v>Audio</v>
      </c>
      <c r="H521">
        <f>_xlfn.XLOOKUP(D521, Products!$A$2:$A$21, Products!$E$2:$E$21, 0)</f>
        <v>249</v>
      </c>
      <c r="I521">
        <f>_xlfn.XLOOKUP(D521, Products!$A$2:$A$21, Products!$F$2:$F$21,0)</f>
        <v>140</v>
      </c>
      <c r="J521" t="str">
        <f>_xlfn.XLOOKUP(C521, Stores!$A$2:$A$7, Stores!$D$2:$D$7)</f>
        <v>Sydney South</v>
      </c>
      <c r="K521">
        <f t="shared" si="16"/>
        <v>249</v>
      </c>
      <c r="L521">
        <f t="shared" si="17"/>
        <v>109</v>
      </c>
    </row>
    <row r="522" spans="1:12">
      <c r="A522" t="s">
        <v>561</v>
      </c>
      <c r="B522" s="2">
        <v>46282</v>
      </c>
      <c r="C522" t="s">
        <v>22</v>
      </c>
      <c r="D522" t="s">
        <v>81</v>
      </c>
      <c r="E522">
        <v>1</v>
      </c>
      <c r="F522" t="str">
        <f>_xlfn.XLOOKUP(D522, Products!$A$2:$A$21, Products!$B$2:$B$21, "Not Found")</f>
        <v>Laptop 16in</v>
      </c>
      <c r="G522" t="str">
        <f>_xlfn.XLOOKUP(D522, Products!$A$2:$A$21, Products!$C$2:$C$21)</f>
        <v>Computers</v>
      </c>
      <c r="H522">
        <f>_xlfn.XLOOKUP(D522, Products!$A$2:$A$21, Products!$E$2:$E$21, 0)</f>
        <v>1799</v>
      </c>
      <c r="I522">
        <f>_xlfn.XLOOKUP(D522, Products!$A$2:$A$21, Products!$F$2:$F$21,0)</f>
        <v>1390</v>
      </c>
      <c r="J522" t="str">
        <f>_xlfn.XLOOKUP(C522, Stores!$A$2:$A$7, Stores!$D$2:$D$7)</f>
        <v>Sydney West</v>
      </c>
      <c r="K522">
        <f t="shared" si="16"/>
        <v>1799</v>
      </c>
      <c r="L522">
        <f t="shared" si="17"/>
        <v>409</v>
      </c>
    </row>
    <row r="523" spans="1:12">
      <c r="A523" t="s">
        <v>562</v>
      </c>
      <c r="B523" s="2">
        <v>46282</v>
      </c>
      <c r="C523" t="s">
        <v>13</v>
      </c>
      <c r="D523" t="s">
        <v>37</v>
      </c>
      <c r="E523">
        <v>1</v>
      </c>
      <c r="F523" t="str">
        <f>_xlfn.XLOOKUP(D523, Products!$A$2:$A$21, Products!$B$2:$B$21, "Not Found")</f>
        <v>Console Controller</v>
      </c>
      <c r="G523" t="str">
        <f>_xlfn.XLOOKUP(D523, Products!$A$2:$A$21, Products!$C$2:$C$21)</f>
        <v>Gaming</v>
      </c>
      <c r="H523">
        <f>_xlfn.XLOOKUP(D523, Products!$A$2:$A$21, Products!$E$2:$E$21, 0)</f>
        <v>99</v>
      </c>
      <c r="I523">
        <f>_xlfn.XLOOKUP(D523, Products!$A$2:$A$21, Products!$F$2:$F$21,0)</f>
        <v>58</v>
      </c>
      <c r="J523" t="str">
        <f>_xlfn.XLOOKUP(C523, Stores!$A$2:$A$7, Stores!$D$2:$D$7)</f>
        <v>Sydney West</v>
      </c>
      <c r="K523">
        <f t="shared" si="16"/>
        <v>99</v>
      </c>
      <c r="L523">
        <f t="shared" si="17"/>
        <v>41</v>
      </c>
    </row>
    <row r="524" spans="1:12">
      <c r="A524" t="s">
        <v>563</v>
      </c>
      <c r="B524" s="2">
        <v>46283</v>
      </c>
      <c r="C524" t="s">
        <v>51</v>
      </c>
      <c r="D524" t="s">
        <v>37</v>
      </c>
      <c r="E524">
        <v>1</v>
      </c>
      <c r="F524" t="str">
        <f>_xlfn.XLOOKUP(D524, Products!$A$2:$A$21, Products!$B$2:$B$21, "Not Found")</f>
        <v>Console Controller</v>
      </c>
      <c r="G524" t="str">
        <f>_xlfn.XLOOKUP(D524, Products!$A$2:$A$21, Products!$C$2:$C$21)</f>
        <v>Gaming</v>
      </c>
      <c r="H524">
        <f>_xlfn.XLOOKUP(D524, Products!$A$2:$A$21, Products!$E$2:$E$21, 0)</f>
        <v>99</v>
      </c>
      <c r="I524">
        <f>_xlfn.XLOOKUP(D524, Products!$A$2:$A$21, Products!$F$2:$F$21,0)</f>
        <v>58</v>
      </c>
      <c r="J524" t="str">
        <f>_xlfn.XLOOKUP(C524, Stores!$A$2:$A$7, Stores!$D$2:$D$7)</f>
        <v>Sydney South</v>
      </c>
      <c r="K524">
        <f t="shared" si="16"/>
        <v>99</v>
      </c>
      <c r="L524">
        <f t="shared" si="17"/>
        <v>41</v>
      </c>
    </row>
    <row r="525" spans="1:12">
      <c r="A525" t="s">
        <v>564</v>
      </c>
      <c r="B525" s="2">
        <v>46283</v>
      </c>
      <c r="C525" t="s">
        <v>16</v>
      </c>
      <c r="D525" t="s">
        <v>14</v>
      </c>
      <c r="E525">
        <v>1</v>
      </c>
      <c r="F525" t="str">
        <f>_xlfn.XLOOKUP(D525, Products!$A$2:$A$21, Products!$B$2:$B$21, "Not Found")</f>
        <v>Gaming Mouse</v>
      </c>
      <c r="G525" t="str">
        <f>_xlfn.XLOOKUP(D525, Products!$A$2:$A$21, Products!$C$2:$C$21)</f>
        <v>Accessories</v>
      </c>
      <c r="H525">
        <f>_xlfn.XLOOKUP(D525, Products!$A$2:$A$21, Products!$E$2:$E$21, 0)</f>
        <v>89</v>
      </c>
      <c r="I525">
        <f>_xlfn.XLOOKUP(D525, Products!$A$2:$A$21, Products!$F$2:$F$21,0)</f>
        <v>41</v>
      </c>
      <c r="J525" t="str">
        <f>_xlfn.XLOOKUP(C525, Stores!$A$2:$A$7, Stores!$D$2:$D$7)</f>
        <v>Sydney East</v>
      </c>
      <c r="K525">
        <f t="shared" si="16"/>
        <v>89</v>
      </c>
      <c r="L525">
        <f t="shared" si="17"/>
        <v>48</v>
      </c>
    </row>
    <row r="526" spans="1:12">
      <c r="A526" t="s">
        <v>565</v>
      </c>
      <c r="B526" s="2">
        <v>46283</v>
      </c>
      <c r="C526" t="s">
        <v>16</v>
      </c>
      <c r="D526" t="s">
        <v>74</v>
      </c>
      <c r="E526">
        <v>1</v>
      </c>
      <c r="F526" t="str">
        <f>_xlfn.XLOOKUP(D526, Products!$A$2:$A$21, Products!$B$2:$B$21, "Not Found")</f>
        <v>Over-Ear Headphones</v>
      </c>
      <c r="G526" t="str">
        <f>_xlfn.XLOOKUP(D526, Products!$A$2:$A$21, Products!$C$2:$C$21)</f>
        <v>Audio</v>
      </c>
      <c r="H526">
        <f>_xlfn.XLOOKUP(D526, Products!$A$2:$A$21, Products!$E$2:$E$21, 0)</f>
        <v>499</v>
      </c>
      <c r="I526">
        <f>_xlfn.XLOOKUP(D526, Products!$A$2:$A$21, Products!$F$2:$F$21,0)</f>
        <v>310</v>
      </c>
      <c r="J526" t="str">
        <f>_xlfn.XLOOKUP(C526, Stores!$A$2:$A$7, Stores!$D$2:$D$7)</f>
        <v>Sydney East</v>
      </c>
      <c r="K526">
        <f t="shared" si="16"/>
        <v>499</v>
      </c>
      <c r="L526">
        <f t="shared" si="17"/>
        <v>189</v>
      </c>
    </row>
    <row r="527" spans="1:12">
      <c r="A527" t="s">
        <v>566</v>
      </c>
      <c r="B527" s="2">
        <v>46284</v>
      </c>
      <c r="C527" t="s">
        <v>25</v>
      </c>
      <c r="D527" t="s">
        <v>32</v>
      </c>
      <c r="E527">
        <v>1</v>
      </c>
      <c r="F527" t="str">
        <f>_xlfn.XLOOKUP(D527, Products!$A$2:$A$21, Products!$B$2:$B$21, "Not Found")</f>
        <v>USB-C Charger</v>
      </c>
      <c r="G527" t="str">
        <f>_xlfn.XLOOKUP(D527, Products!$A$2:$A$21, Products!$C$2:$C$21)</f>
        <v>Accessories</v>
      </c>
      <c r="H527">
        <f>_xlfn.XLOOKUP(D527, Products!$A$2:$A$21, Products!$E$2:$E$21, 0)</f>
        <v>49</v>
      </c>
      <c r="I527">
        <f>_xlfn.XLOOKUP(D527, Products!$A$2:$A$21, Products!$F$2:$F$21,0)</f>
        <v>14</v>
      </c>
      <c r="J527" t="str">
        <f>_xlfn.XLOOKUP(C527, Stores!$A$2:$A$7, Stores!$D$2:$D$7)</f>
        <v>Sydney South</v>
      </c>
      <c r="K527">
        <f t="shared" si="16"/>
        <v>49</v>
      </c>
      <c r="L527">
        <f t="shared" si="17"/>
        <v>35</v>
      </c>
    </row>
    <row r="528" spans="1:12">
      <c r="A528" t="s">
        <v>567</v>
      </c>
      <c r="B528" s="2">
        <v>46284</v>
      </c>
      <c r="C528" t="s">
        <v>22</v>
      </c>
      <c r="D528" t="s">
        <v>93</v>
      </c>
      <c r="E528">
        <v>1</v>
      </c>
      <c r="F528" t="str">
        <f>_xlfn.XLOOKUP(D528, Products!$A$2:$A$21, Products!$B$2:$B$21, "Not Found")</f>
        <v>Smartphone 256GB</v>
      </c>
      <c r="G528" t="str">
        <f>_xlfn.XLOOKUP(D528, Products!$A$2:$A$21, Products!$C$2:$C$21)</f>
        <v>Phones</v>
      </c>
      <c r="H528">
        <f>_xlfn.XLOOKUP(D528, Products!$A$2:$A$21, Products!$E$2:$E$21, 0)</f>
        <v>1499</v>
      </c>
      <c r="I528">
        <f>_xlfn.XLOOKUP(D528, Products!$A$2:$A$21, Products!$F$2:$F$21,0)</f>
        <v>1180</v>
      </c>
      <c r="J528" t="str">
        <f>_xlfn.XLOOKUP(C528, Stores!$A$2:$A$7, Stores!$D$2:$D$7)</f>
        <v>Sydney West</v>
      </c>
      <c r="K528">
        <f t="shared" si="16"/>
        <v>1499</v>
      </c>
      <c r="L528">
        <f t="shared" si="17"/>
        <v>319</v>
      </c>
    </row>
    <row r="529" spans="1:12">
      <c r="A529" t="s">
        <v>568</v>
      </c>
      <c r="B529" s="2">
        <v>46284</v>
      </c>
      <c r="C529" t="s">
        <v>51</v>
      </c>
      <c r="D529" t="s">
        <v>23</v>
      </c>
      <c r="E529">
        <v>1</v>
      </c>
      <c r="F529" t="str">
        <f>_xlfn.XLOOKUP(D529, Products!$A$2:$A$21, Products!$B$2:$B$21, "Not Found")</f>
        <v>Video Game</v>
      </c>
      <c r="G529" t="str">
        <f>_xlfn.XLOOKUP(D529, Products!$A$2:$A$21, Products!$C$2:$C$21)</f>
        <v>Gaming</v>
      </c>
      <c r="H529">
        <f>_xlfn.XLOOKUP(D529, Products!$A$2:$A$21, Products!$E$2:$E$21, 0)</f>
        <v>79</v>
      </c>
      <c r="I529">
        <f>_xlfn.XLOOKUP(D529, Products!$A$2:$A$21, Products!$F$2:$F$21,0)</f>
        <v>52</v>
      </c>
      <c r="J529" t="str">
        <f>_xlfn.XLOOKUP(C529, Stores!$A$2:$A$7, Stores!$D$2:$D$7)</f>
        <v>Sydney South</v>
      </c>
      <c r="K529">
        <f t="shared" si="16"/>
        <v>79</v>
      </c>
      <c r="L529">
        <f t="shared" si="17"/>
        <v>27</v>
      </c>
    </row>
    <row r="530" spans="1:12">
      <c r="A530" t="s">
        <v>569</v>
      </c>
      <c r="B530" s="2">
        <v>46284</v>
      </c>
      <c r="C530" t="s">
        <v>16</v>
      </c>
      <c r="D530" t="s">
        <v>146</v>
      </c>
      <c r="E530">
        <v>1</v>
      </c>
      <c r="F530" t="str">
        <f>_xlfn.XLOOKUP(D530, Products!$A$2:$A$21, Products!$B$2:$B$21, "Not Found")</f>
        <v>Game Console</v>
      </c>
      <c r="G530" t="str">
        <f>_xlfn.XLOOKUP(D530, Products!$A$2:$A$21, Products!$C$2:$C$21)</f>
        <v>Gaming</v>
      </c>
      <c r="H530">
        <f>_xlfn.XLOOKUP(D530, Products!$A$2:$A$21, Products!$E$2:$E$21, 0)</f>
        <v>499</v>
      </c>
      <c r="I530">
        <f>_xlfn.XLOOKUP(D530, Products!$A$2:$A$21, Products!$F$2:$F$21,0)</f>
        <v>420</v>
      </c>
      <c r="J530" t="str">
        <f>_xlfn.XLOOKUP(C530, Stores!$A$2:$A$7, Stores!$D$2:$D$7)</f>
        <v>Sydney East</v>
      </c>
      <c r="K530">
        <f t="shared" si="16"/>
        <v>499</v>
      </c>
      <c r="L530">
        <f t="shared" si="17"/>
        <v>79</v>
      </c>
    </row>
    <row r="531" spans="1:12">
      <c r="A531" t="s">
        <v>570</v>
      </c>
      <c r="B531" s="2">
        <v>46284</v>
      </c>
      <c r="C531" t="s">
        <v>25</v>
      </c>
      <c r="D531" t="s">
        <v>54</v>
      </c>
      <c r="E531">
        <v>1</v>
      </c>
      <c r="F531" t="str">
        <f>_xlfn.XLOOKUP(D531, Products!$A$2:$A$21, Products!$B$2:$B$21, "Not Found")</f>
        <v>55in TV</v>
      </c>
      <c r="G531" t="str">
        <f>_xlfn.XLOOKUP(D531, Products!$A$2:$A$21, Products!$C$2:$C$21)</f>
        <v>TV</v>
      </c>
      <c r="H531">
        <f>_xlfn.XLOOKUP(D531, Products!$A$2:$A$21, Products!$E$2:$E$21, 0)</f>
        <v>1299</v>
      </c>
      <c r="I531">
        <f>_xlfn.XLOOKUP(D531, Products!$A$2:$A$21, Products!$F$2:$F$21,0)</f>
        <v>980</v>
      </c>
      <c r="J531" t="str">
        <f>_xlfn.XLOOKUP(C531, Stores!$A$2:$A$7, Stores!$D$2:$D$7)</f>
        <v>Sydney South</v>
      </c>
      <c r="K531">
        <f t="shared" si="16"/>
        <v>1299</v>
      </c>
      <c r="L531">
        <f t="shared" si="17"/>
        <v>319</v>
      </c>
    </row>
    <row r="532" spans="1:12">
      <c r="A532" t="s">
        <v>571</v>
      </c>
      <c r="B532" s="2">
        <v>46284</v>
      </c>
      <c r="C532" t="s">
        <v>22</v>
      </c>
      <c r="D532" t="s">
        <v>146</v>
      </c>
      <c r="E532">
        <v>1</v>
      </c>
      <c r="F532" t="str">
        <f>_xlfn.XLOOKUP(D532, Products!$A$2:$A$21, Products!$B$2:$B$21, "Not Found")</f>
        <v>Game Console</v>
      </c>
      <c r="G532" t="str">
        <f>_xlfn.XLOOKUP(D532, Products!$A$2:$A$21, Products!$C$2:$C$21)</f>
        <v>Gaming</v>
      </c>
      <c r="H532">
        <f>_xlfn.XLOOKUP(D532, Products!$A$2:$A$21, Products!$E$2:$E$21, 0)</f>
        <v>499</v>
      </c>
      <c r="I532">
        <f>_xlfn.XLOOKUP(D532, Products!$A$2:$A$21, Products!$F$2:$F$21,0)</f>
        <v>420</v>
      </c>
      <c r="J532" t="str">
        <f>_xlfn.XLOOKUP(C532, Stores!$A$2:$A$7, Stores!$D$2:$D$7)</f>
        <v>Sydney West</v>
      </c>
      <c r="K532">
        <f t="shared" si="16"/>
        <v>499</v>
      </c>
      <c r="L532">
        <f t="shared" si="17"/>
        <v>79</v>
      </c>
    </row>
    <row r="533" spans="1:12">
      <c r="A533" t="s">
        <v>572</v>
      </c>
      <c r="B533" s="2">
        <v>46284</v>
      </c>
      <c r="C533" t="s">
        <v>22</v>
      </c>
      <c r="D533" t="s">
        <v>14</v>
      </c>
      <c r="E533">
        <v>3</v>
      </c>
      <c r="F533" t="str">
        <f>_xlfn.XLOOKUP(D533, Products!$A$2:$A$21, Products!$B$2:$B$21, "Not Found")</f>
        <v>Gaming Mouse</v>
      </c>
      <c r="G533" t="str">
        <f>_xlfn.XLOOKUP(D533, Products!$A$2:$A$21, Products!$C$2:$C$21)</f>
        <v>Accessories</v>
      </c>
      <c r="H533">
        <f>_xlfn.XLOOKUP(D533, Products!$A$2:$A$21, Products!$E$2:$E$21, 0)</f>
        <v>89</v>
      </c>
      <c r="I533">
        <f>_xlfn.XLOOKUP(D533, Products!$A$2:$A$21, Products!$F$2:$F$21,0)</f>
        <v>41</v>
      </c>
      <c r="J533" t="str">
        <f>_xlfn.XLOOKUP(C533, Stores!$A$2:$A$7, Stores!$D$2:$D$7)</f>
        <v>Sydney West</v>
      </c>
      <c r="K533">
        <f t="shared" si="16"/>
        <v>267</v>
      </c>
      <c r="L533">
        <f t="shared" si="17"/>
        <v>144</v>
      </c>
    </row>
    <row r="534" spans="1:12">
      <c r="A534" t="s">
        <v>573</v>
      </c>
      <c r="B534" s="2">
        <v>46284</v>
      </c>
      <c r="C534" t="s">
        <v>13</v>
      </c>
      <c r="D534" t="s">
        <v>14</v>
      </c>
      <c r="E534">
        <v>1</v>
      </c>
      <c r="F534" t="str">
        <f>_xlfn.XLOOKUP(D534, Products!$A$2:$A$21, Products!$B$2:$B$21, "Not Found")</f>
        <v>Gaming Mouse</v>
      </c>
      <c r="G534" t="str">
        <f>_xlfn.XLOOKUP(D534, Products!$A$2:$A$21, Products!$C$2:$C$21)</f>
        <v>Accessories</v>
      </c>
      <c r="H534">
        <f>_xlfn.XLOOKUP(D534, Products!$A$2:$A$21, Products!$E$2:$E$21, 0)</f>
        <v>89</v>
      </c>
      <c r="I534">
        <f>_xlfn.XLOOKUP(D534, Products!$A$2:$A$21, Products!$F$2:$F$21,0)</f>
        <v>41</v>
      </c>
      <c r="J534" t="str">
        <f>_xlfn.XLOOKUP(C534, Stores!$A$2:$A$7, Stores!$D$2:$D$7)</f>
        <v>Sydney West</v>
      </c>
      <c r="K534">
        <f t="shared" si="16"/>
        <v>89</v>
      </c>
      <c r="L534">
        <f t="shared" si="17"/>
        <v>48</v>
      </c>
    </row>
    <row r="535" spans="1:12">
      <c r="A535" t="s">
        <v>574</v>
      </c>
      <c r="B535" s="2">
        <v>46284</v>
      </c>
      <c r="C535" t="s">
        <v>51</v>
      </c>
      <c r="D535" t="s">
        <v>29</v>
      </c>
      <c r="E535">
        <v>1</v>
      </c>
      <c r="F535" t="str">
        <f>_xlfn.XLOOKUP(D535, Products!$A$2:$A$21, Products!$B$2:$B$21, "Not Found")</f>
        <v>Phone Case</v>
      </c>
      <c r="G535" t="str">
        <f>_xlfn.XLOOKUP(D535, Products!$A$2:$A$21, Products!$C$2:$C$21)</f>
        <v>Accessories</v>
      </c>
      <c r="H535">
        <f>_xlfn.XLOOKUP(D535, Products!$A$2:$A$21, Products!$E$2:$E$21, 0)</f>
        <v>39</v>
      </c>
      <c r="I535">
        <f>_xlfn.XLOOKUP(D535, Products!$A$2:$A$21, Products!$F$2:$F$21,0)</f>
        <v>9</v>
      </c>
      <c r="J535" t="str">
        <f>_xlfn.XLOOKUP(C535, Stores!$A$2:$A$7, Stores!$D$2:$D$7)</f>
        <v>Sydney South</v>
      </c>
      <c r="K535">
        <f t="shared" si="16"/>
        <v>39</v>
      </c>
      <c r="L535">
        <f t="shared" si="17"/>
        <v>30</v>
      </c>
    </row>
    <row r="536" spans="1:12">
      <c r="A536" t="s">
        <v>575</v>
      </c>
      <c r="B536" s="2">
        <v>46284</v>
      </c>
      <c r="C536" t="s">
        <v>19</v>
      </c>
      <c r="D536" t="s">
        <v>17</v>
      </c>
      <c r="E536">
        <v>1</v>
      </c>
      <c r="F536" t="str">
        <f>_xlfn.XLOOKUP(D536, Products!$A$2:$A$21, Products!$B$2:$B$21, "Not Found")</f>
        <v>Wireless Earbuds</v>
      </c>
      <c r="G536" t="str">
        <f>_xlfn.XLOOKUP(D536, Products!$A$2:$A$21, Products!$C$2:$C$21)</f>
        <v>Audio</v>
      </c>
      <c r="H536">
        <f>_xlfn.XLOOKUP(D536, Products!$A$2:$A$21, Products!$E$2:$E$21, 0)</f>
        <v>249</v>
      </c>
      <c r="I536">
        <f>_xlfn.XLOOKUP(D536, Products!$A$2:$A$21, Products!$F$2:$F$21,0)</f>
        <v>140</v>
      </c>
      <c r="J536" t="str">
        <f>_xlfn.XLOOKUP(C536, Stores!$A$2:$A$7, Stores!$D$2:$D$7)</f>
        <v>Sydney North</v>
      </c>
      <c r="K536">
        <f t="shared" si="16"/>
        <v>249</v>
      </c>
      <c r="L536">
        <f t="shared" si="17"/>
        <v>109</v>
      </c>
    </row>
    <row r="537" spans="1:12">
      <c r="A537" t="s">
        <v>576</v>
      </c>
      <c r="B537" s="2">
        <v>46284</v>
      </c>
      <c r="C537" t="s">
        <v>16</v>
      </c>
      <c r="D537" t="s">
        <v>32</v>
      </c>
      <c r="E537">
        <v>1</v>
      </c>
      <c r="F537" t="str">
        <f>_xlfn.XLOOKUP(D537, Products!$A$2:$A$21, Products!$B$2:$B$21, "Not Found")</f>
        <v>USB-C Charger</v>
      </c>
      <c r="G537" t="str">
        <f>_xlfn.XLOOKUP(D537, Products!$A$2:$A$21, Products!$C$2:$C$21)</f>
        <v>Accessories</v>
      </c>
      <c r="H537">
        <f>_xlfn.XLOOKUP(D537, Products!$A$2:$A$21, Products!$E$2:$E$21, 0)</f>
        <v>49</v>
      </c>
      <c r="I537">
        <f>_xlfn.XLOOKUP(D537, Products!$A$2:$A$21, Products!$F$2:$F$21,0)</f>
        <v>14</v>
      </c>
      <c r="J537" t="str">
        <f>_xlfn.XLOOKUP(C537, Stores!$A$2:$A$7, Stores!$D$2:$D$7)</f>
        <v>Sydney East</v>
      </c>
      <c r="K537">
        <f t="shared" si="16"/>
        <v>49</v>
      </c>
      <c r="L537">
        <f t="shared" si="17"/>
        <v>35</v>
      </c>
    </row>
    <row r="538" spans="1:12">
      <c r="A538" t="s">
        <v>577</v>
      </c>
      <c r="B538" s="2">
        <v>46285</v>
      </c>
      <c r="C538" t="s">
        <v>13</v>
      </c>
      <c r="D538" t="s">
        <v>52</v>
      </c>
      <c r="E538">
        <v>1</v>
      </c>
      <c r="F538" t="str">
        <f>_xlfn.XLOOKUP(D538, Products!$A$2:$A$21, Products!$B$2:$B$21, "Not Found")</f>
        <v>Mech Keyboard</v>
      </c>
      <c r="G538" t="str">
        <f>_xlfn.XLOOKUP(D538, Products!$A$2:$A$21, Products!$C$2:$C$21)</f>
        <v>Accessories</v>
      </c>
      <c r="H538">
        <f>_xlfn.XLOOKUP(D538, Products!$A$2:$A$21, Products!$E$2:$E$21, 0)</f>
        <v>149</v>
      </c>
      <c r="I538">
        <f>_xlfn.XLOOKUP(D538, Products!$A$2:$A$21, Products!$F$2:$F$21,0)</f>
        <v>72</v>
      </c>
      <c r="J538" t="str">
        <f>_xlfn.XLOOKUP(C538, Stores!$A$2:$A$7, Stores!$D$2:$D$7)</f>
        <v>Sydney West</v>
      </c>
      <c r="K538">
        <f t="shared" si="16"/>
        <v>149</v>
      </c>
      <c r="L538">
        <f t="shared" si="17"/>
        <v>77</v>
      </c>
    </row>
    <row r="539" spans="1:12">
      <c r="A539" t="s">
        <v>578</v>
      </c>
      <c r="B539" s="2">
        <v>46285</v>
      </c>
      <c r="C539" t="s">
        <v>13</v>
      </c>
      <c r="D539" t="s">
        <v>63</v>
      </c>
      <c r="E539">
        <v>2</v>
      </c>
      <c r="F539" t="str">
        <f>_xlfn.XLOOKUP(D539, Products!$A$2:$A$21, Products!$B$2:$B$21, "Not Found")</f>
        <v>27in Monitor</v>
      </c>
      <c r="G539" t="str">
        <f>_xlfn.XLOOKUP(D539, Products!$A$2:$A$21, Products!$C$2:$C$21)</f>
        <v>Computers</v>
      </c>
      <c r="H539">
        <f>_xlfn.XLOOKUP(D539, Products!$A$2:$A$21, Products!$E$2:$E$21, 0)</f>
        <v>399</v>
      </c>
      <c r="I539">
        <f>_xlfn.XLOOKUP(D539, Products!$A$2:$A$21, Products!$F$2:$F$21,0)</f>
        <v>290</v>
      </c>
      <c r="J539" t="str">
        <f>_xlfn.XLOOKUP(C539, Stores!$A$2:$A$7, Stores!$D$2:$D$7)</f>
        <v>Sydney West</v>
      </c>
      <c r="K539">
        <f t="shared" si="16"/>
        <v>798</v>
      </c>
      <c r="L539">
        <f t="shared" si="17"/>
        <v>218</v>
      </c>
    </row>
    <row r="540" spans="1:12">
      <c r="A540" t="s">
        <v>579</v>
      </c>
      <c r="B540" s="2">
        <v>46285</v>
      </c>
      <c r="C540" t="s">
        <v>13</v>
      </c>
      <c r="D540" t="s">
        <v>14</v>
      </c>
      <c r="E540">
        <v>1</v>
      </c>
      <c r="F540" t="str">
        <f>_xlfn.XLOOKUP(D540, Products!$A$2:$A$21, Products!$B$2:$B$21, "Not Found")</f>
        <v>Gaming Mouse</v>
      </c>
      <c r="G540" t="str">
        <f>_xlfn.XLOOKUP(D540, Products!$A$2:$A$21, Products!$C$2:$C$21)</f>
        <v>Accessories</v>
      </c>
      <c r="H540">
        <f>_xlfn.XLOOKUP(D540, Products!$A$2:$A$21, Products!$E$2:$E$21, 0)</f>
        <v>89</v>
      </c>
      <c r="I540">
        <f>_xlfn.XLOOKUP(D540, Products!$A$2:$A$21, Products!$F$2:$F$21,0)</f>
        <v>41</v>
      </c>
      <c r="J540" t="str">
        <f>_xlfn.XLOOKUP(C540, Stores!$A$2:$A$7, Stores!$D$2:$D$7)</f>
        <v>Sydney West</v>
      </c>
      <c r="K540">
        <f t="shared" si="16"/>
        <v>89</v>
      </c>
      <c r="L540">
        <f t="shared" si="17"/>
        <v>48</v>
      </c>
    </row>
    <row r="541" spans="1:12">
      <c r="A541" t="s">
        <v>580</v>
      </c>
      <c r="B541" s="2">
        <v>46285</v>
      </c>
      <c r="C541" t="s">
        <v>13</v>
      </c>
      <c r="D541" t="s">
        <v>54</v>
      </c>
      <c r="E541">
        <v>1</v>
      </c>
      <c r="F541" t="str">
        <f>_xlfn.XLOOKUP(D541, Products!$A$2:$A$21, Products!$B$2:$B$21, "Not Found")</f>
        <v>55in TV</v>
      </c>
      <c r="G541" t="str">
        <f>_xlfn.XLOOKUP(D541, Products!$A$2:$A$21, Products!$C$2:$C$21)</f>
        <v>TV</v>
      </c>
      <c r="H541">
        <f>_xlfn.XLOOKUP(D541, Products!$A$2:$A$21, Products!$E$2:$E$21, 0)</f>
        <v>1299</v>
      </c>
      <c r="I541">
        <f>_xlfn.XLOOKUP(D541, Products!$A$2:$A$21, Products!$F$2:$F$21,0)</f>
        <v>980</v>
      </c>
      <c r="J541" t="str">
        <f>_xlfn.XLOOKUP(C541, Stores!$A$2:$A$7, Stores!$D$2:$D$7)</f>
        <v>Sydney West</v>
      </c>
      <c r="K541">
        <f t="shared" si="16"/>
        <v>1299</v>
      </c>
      <c r="L541">
        <f t="shared" si="17"/>
        <v>319</v>
      </c>
    </row>
    <row r="542" spans="1:12">
      <c r="A542" t="s">
        <v>581</v>
      </c>
      <c r="B542" s="2">
        <v>46285</v>
      </c>
      <c r="C542" t="s">
        <v>51</v>
      </c>
      <c r="D542" t="s">
        <v>32</v>
      </c>
      <c r="E542">
        <v>1</v>
      </c>
      <c r="F542" t="str">
        <f>_xlfn.XLOOKUP(D542, Products!$A$2:$A$21, Products!$B$2:$B$21, "Not Found")</f>
        <v>USB-C Charger</v>
      </c>
      <c r="G542" t="str">
        <f>_xlfn.XLOOKUP(D542, Products!$A$2:$A$21, Products!$C$2:$C$21)</f>
        <v>Accessories</v>
      </c>
      <c r="H542">
        <f>_xlfn.XLOOKUP(D542, Products!$A$2:$A$21, Products!$E$2:$E$21, 0)</f>
        <v>49</v>
      </c>
      <c r="I542">
        <f>_xlfn.XLOOKUP(D542, Products!$A$2:$A$21, Products!$F$2:$F$21,0)</f>
        <v>14</v>
      </c>
      <c r="J542" t="str">
        <f>_xlfn.XLOOKUP(C542, Stores!$A$2:$A$7, Stores!$D$2:$D$7)</f>
        <v>Sydney South</v>
      </c>
      <c r="K542">
        <f t="shared" si="16"/>
        <v>49</v>
      </c>
      <c r="L542">
        <f t="shared" si="17"/>
        <v>35</v>
      </c>
    </row>
    <row r="543" spans="1:12">
      <c r="A543" t="s">
        <v>582</v>
      </c>
      <c r="B543" s="2">
        <v>46285</v>
      </c>
      <c r="C543" t="s">
        <v>25</v>
      </c>
      <c r="D543" t="s">
        <v>81</v>
      </c>
      <c r="E543">
        <v>2</v>
      </c>
      <c r="F543" t="str">
        <f>_xlfn.XLOOKUP(D543, Products!$A$2:$A$21, Products!$B$2:$B$21, "Not Found")</f>
        <v>Laptop 16in</v>
      </c>
      <c r="G543" t="str">
        <f>_xlfn.XLOOKUP(D543, Products!$A$2:$A$21, Products!$C$2:$C$21)</f>
        <v>Computers</v>
      </c>
      <c r="H543">
        <f>_xlfn.XLOOKUP(D543, Products!$A$2:$A$21, Products!$E$2:$E$21, 0)</f>
        <v>1799</v>
      </c>
      <c r="I543">
        <f>_xlfn.XLOOKUP(D543, Products!$A$2:$A$21, Products!$F$2:$F$21,0)</f>
        <v>1390</v>
      </c>
      <c r="J543" t="str">
        <f>_xlfn.XLOOKUP(C543, Stores!$A$2:$A$7, Stores!$D$2:$D$7)</f>
        <v>Sydney South</v>
      </c>
      <c r="K543">
        <f t="shared" si="16"/>
        <v>3598</v>
      </c>
      <c r="L543">
        <f t="shared" si="17"/>
        <v>818</v>
      </c>
    </row>
    <row r="544" spans="1:12">
      <c r="A544" t="s">
        <v>583</v>
      </c>
      <c r="B544" s="2">
        <v>46285</v>
      </c>
      <c r="C544" t="s">
        <v>25</v>
      </c>
      <c r="D544" t="s">
        <v>44</v>
      </c>
      <c r="E544">
        <v>1</v>
      </c>
      <c r="F544" t="str">
        <f>_xlfn.XLOOKUP(D544, Products!$A$2:$A$21, Products!$B$2:$B$21, "Not Found")</f>
        <v>Smartphone 128GB</v>
      </c>
      <c r="G544" t="str">
        <f>_xlfn.XLOOKUP(D544, Products!$A$2:$A$21, Products!$C$2:$C$21)</f>
        <v>Phones</v>
      </c>
      <c r="H544">
        <f>_xlfn.XLOOKUP(D544, Products!$A$2:$A$21, Products!$E$2:$E$21, 0)</f>
        <v>1099</v>
      </c>
      <c r="I544">
        <f>_xlfn.XLOOKUP(D544, Products!$A$2:$A$21, Products!$F$2:$F$21,0)</f>
        <v>860</v>
      </c>
      <c r="J544" t="str">
        <f>_xlfn.XLOOKUP(C544, Stores!$A$2:$A$7, Stores!$D$2:$D$7)</f>
        <v>Sydney South</v>
      </c>
      <c r="K544">
        <f t="shared" si="16"/>
        <v>1099</v>
      </c>
      <c r="L544">
        <f t="shared" si="17"/>
        <v>239</v>
      </c>
    </row>
    <row r="545" spans="1:12">
      <c r="A545" t="s">
        <v>584</v>
      </c>
      <c r="B545" s="2">
        <v>46285</v>
      </c>
      <c r="C545" t="s">
        <v>16</v>
      </c>
      <c r="D545" t="s">
        <v>29</v>
      </c>
      <c r="E545">
        <v>1</v>
      </c>
      <c r="F545" t="str">
        <f>_xlfn.XLOOKUP(D545, Products!$A$2:$A$21, Products!$B$2:$B$21, "Not Found")</f>
        <v>Phone Case</v>
      </c>
      <c r="G545" t="str">
        <f>_xlfn.XLOOKUP(D545, Products!$A$2:$A$21, Products!$C$2:$C$21)</f>
        <v>Accessories</v>
      </c>
      <c r="H545">
        <f>_xlfn.XLOOKUP(D545, Products!$A$2:$A$21, Products!$E$2:$E$21, 0)</f>
        <v>39</v>
      </c>
      <c r="I545">
        <f>_xlfn.XLOOKUP(D545, Products!$A$2:$A$21, Products!$F$2:$F$21,0)</f>
        <v>9</v>
      </c>
      <c r="J545" t="str">
        <f>_xlfn.XLOOKUP(C545, Stores!$A$2:$A$7, Stores!$D$2:$D$7)</f>
        <v>Sydney East</v>
      </c>
      <c r="K545">
        <f t="shared" si="16"/>
        <v>39</v>
      </c>
      <c r="L545">
        <f t="shared" si="17"/>
        <v>30</v>
      </c>
    </row>
    <row r="546" spans="1:12">
      <c r="A546" t="s">
        <v>585</v>
      </c>
      <c r="B546" s="2">
        <v>46285</v>
      </c>
      <c r="C546" t="s">
        <v>25</v>
      </c>
      <c r="D546" t="s">
        <v>29</v>
      </c>
      <c r="E546">
        <v>1</v>
      </c>
      <c r="F546" t="str">
        <f>_xlfn.XLOOKUP(D546, Products!$A$2:$A$21, Products!$B$2:$B$21, "Not Found")</f>
        <v>Phone Case</v>
      </c>
      <c r="G546" t="str">
        <f>_xlfn.XLOOKUP(D546, Products!$A$2:$A$21, Products!$C$2:$C$21)</f>
        <v>Accessories</v>
      </c>
      <c r="H546">
        <f>_xlfn.XLOOKUP(D546, Products!$A$2:$A$21, Products!$E$2:$E$21, 0)</f>
        <v>39</v>
      </c>
      <c r="I546">
        <f>_xlfn.XLOOKUP(D546, Products!$A$2:$A$21, Products!$F$2:$F$21,0)</f>
        <v>9</v>
      </c>
      <c r="J546" t="str">
        <f>_xlfn.XLOOKUP(C546, Stores!$A$2:$A$7, Stores!$D$2:$D$7)</f>
        <v>Sydney South</v>
      </c>
      <c r="K546">
        <f t="shared" si="16"/>
        <v>39</v>
      </c>
      <c r="L546">
        <f t="shared" si="17"/>
        <v>30</v>
      </c>
    </row>
    <row r="547" spans="1:12">
      <c r="A547" t="s">
        <v>586</v>
      </c>
      <c r="B547" s="2">
        <v>46285</v>
      </c>
      <c r="C547" t="s">
        <v>16</v>
      </c>
      <c r="D547" t="s">
        <v>29</v>
      </c>
      <c r="E547">
        <v>2</v>
      </c>
      <c r="F547" t="str">
        <f>_xlfn.XLOOKUP(D547, Products!$A$2:$A$21, Products!$B$2:$B$21, "Not Found")</f>
        <v>Phone Case</v>
      </c>
      <c r="G547" t="str">
        <f>_xlfn.XLOOKUP(D547, Products!$A$2:$A$21, Products!$C$2:$C$21)</f>
        <v>Accessories</v>
      </c>
      <c r="H547">
        <f>_xlfn.XLOOKUP(D547, Products!$A$2:$A$21, Products!$E$2:$E$21, 0)</f>
        <v>39</v>
      </c>
      <c r="I547">
        <f>_xlfn.XLOOKUP(D547, Products!$A$2:$A$21, Products!$F$2:$F$21,0)</f>
        <v>9</v>
      </c>
      <c r="J547" t="str">
        <f>_xlfn.XLOOKUP(C547, Stores!$A$2:$A$7, Stores!$D$2:$D$7)</f>
        <v>Sydney East</v>
      </c>
      <c r="K547">
        <f t="shared" si="16"/>
        <v>78</v>
      </c>
      <c r="L547">
        <f t="shared" si="17"/>
        <v>60</v>
      </c>
    </row>
    <row r="548" spans="1:12">
      <c r="A548" t="s">
        <v>587</v>
      </c>
      <c r="B548" s="2">
        <v>46285</v>
      </c>
      <c r="C548" t="s">
        <v>22</v>
      </c>
      <c r="D548" t="s">
        <v>14</v>
      </c>
      <c r="E548">
        <v>1</v>
      </c>
      <c r="F548" t="str">
        <f>_xlfn.XLOOKUP(D548, Products!$A$2:$A$21, Products!$B$2:$B$21, "Not Found")</f>
        <v>Gaming Mouse</v>
      </c>
      <c r="G548" t="str">
        <f>_xlfn.XLOOKUP(D548, Products!$A$2:$A$21, Products!$C$2:$C$21)</f>
        <v>Accessories</v>
      </c>
      <c r="H548">
        <f>_xlfn.XLOOKUP(D548, Products!$A$2:$A$21, Products!$E$2:$E$21, 0)</f>
        <v>89</v>
      </c>
      <c r="I548">
        <f>_xlfn.XLOOKUP(D548, Products!$A$2:$A$21, Products!$F$2:$F$21,0)</f>
        <v>41</v>
      </c>
      <c r="J548" t="str">
        <f>_xlfn.XLOOKUP(C548, Stores!$A$2:$A$7, Stores!$D$2:$D$7)</f>
        <v>Sydney West</v>
      </c>
      <c r="K548">
        <f t="shared" si="16"/>
        <v>89</v>
      </c>
      <c r="L548">
        <f t="shared" si="17"/>
        <v>48</v>
      </c>
    </row>
    <row r="549" spans="1:12">
      <c r="A549" t="s">
        <v>588</v>
      </c>
      <c r="B549" s="2">
        <v>46285</v>
      </c>
      <c r="C549" t="s">
        <v>25</v>
      </c>
      <c r="D549" t="s">
        <v>23</v>
      </c>
      <c r="E549">
        <v>1</v>
      </c>
      <c r="F549" t="str">
        <f>_xlfn.XLOOKUP(D549, Products!$A$2:$A$21, Products!$B$2:$B$21, "Not Found")</f>
        <v>Video Game</v>
      </c>
      <c r="G549" t="str">
        <f>_xlfn.XLOOKUP(D549, Products!$A$2:$A$21, Products!$C$2:$C$21)</f>
        <v>Gaming</v>
      </c>
      <c r="H549">
        <f>_xlfn.XLOOKUP(D549, Products!$A$2:$A$21, Products!$E$2:$E$21, 0)</f>
        <v>79</v>
      </c>
      <c r="I549">
        <f>_xlfn.XLOOKUP(D549, Products!$A$2:$A$21, Products!$F$2:$F$21,0)</f>
        <v>52</v>
      </c>
      <c r="J549" t="str">
        <f>_xlfn.XLOOKUP(C549, Stores!$A$2:$A$7, Stores!$D$2:$D$7)</f>
        <v>Sydney South</v>
      </c>
      <c r="K549">
        <f t="shared" si="16"/>
        <v>79</v>
      </c>
      <c r="L549">
        <f t="shared" si="17"/>
        <v>27</v>
      </c>
    </row>
    <row r="550" spans="1:12">
      <c r="A550" t="s">
        <v>589</v>
      </c>
      <c r="B550" s="2">
        <v>46285</v>
      </c>
      <c r="C550" t="s">
        <v>19</v>
      </c>
      <c r="D550" t="s">
        <v>32</v>
      </c>
      <c r="E550">
        <v>1</v>
      </c>
      <c r="F550" t="str">
        <f>_xlfn.XLOOKUP(D550, Products!$A$2:$A$21, Products!$B$2:$B$21, "Not Found")</f>
        <v>USB-C Charger</v>
      </c>
      <c r="G550" t="str">
        <f>_xlfn.XLOOKUP(D550, Products!$A$2:$A$21, Products!$C$2:$C$21)</f>
        <v>Accessories</v>
      </c>
      <c r="H550">
        <f>_xlfn.XLOOKUP(D550, Products!$A$2:$A$21, Products!$E$2:$E$21, 0)</f>
        <v>49</v>
      </c>
      <c r="I550">
        <f>_xlfn.XLOOKUP(D550, Products!$A$2:$A$21, Products!$F$2:$F$21,0)</f>
        <v>14</v>
      </c>
      <c r="J550" t="str">
        <f>_xlfn.XLOOKUP(C550, Stores!$A$2:$A$7, Stores!$D$2:$D$7)</f>
        <v>Sydney North</v>
      </c>
      <c r="K550">
        <f t="shared" si="16"/>
        <v>49</v>
      </c>
      <c r="L550">
        <f t="shared" si="17"/>
        <v>35</v>
      </c>
    </row>
    <row r="551" spans="1:12">
      <c r="A551" t="s">
        <v>590</v>
      </c>
      <c r="B551" s="2">
        <v>46285</v>
      </c>
      <c r="C551" t="s">
        <v>25</v>
      </c>
      <c r="D551" t="s">
        <v>32</v>
      </c>
      <c r="E551">
        <v>3</v>
      </c>
      <c r="F551" t="str">
        <f>_xlfn.XLOOKUP(D551, Products!$A$2:$A$21, Products!$B$2:$B$21, "Not Found")</f>
        <v>USB-C Charger</v>
      </c>
      <c r="G551" t="str">
        <f>_xlfn.XLOOKUP(D551, Products!$A$2:$A$21, Products!$C$2:$C$21)</f>
        <v>Accessories</v>
      </c>
      <c r="H551">
        <f>_xlfn.XLOOKUP(D551, Products!$A$2:$A$21, Products!$E$2:$E$21, 0)</f>
        <v>49</v>
      </c>
      <c r="I551">
        <f>_xlfn.XLOOKUP(D551, Products!$A$2:$A$21, Products!$F$2:$F$21,0)</f>
        <v>14</v>
      </c>
      <c r="J551" t="str">
        <f>_xlfn.XLOOKUP(C551, Stores!$A$2:$A$7, Stores!$D$2:$D$7)</f>
        <v>Sydney South</v>
      </c>
      <c r="K551">
        <f t="shared" si="16"/>
        <v>147</v>
      </c>
      <c r="L551">
        <f t="shared" si="17"/>
        <v>105</v>
      </c>
    </row>
    <row r="552" spans="1:12">
      <c r="A552" t="s">
        <v>591</v>
      </c>
      <c r="B552" s="2">
        <v>46286</v>
      </c>
      <c r="C552" t="s">
        <v>25</v>
      </c>
      <c r="D552" t="s">
        <v>20</v>
      </c>
      <c r="E552">
        <v>1</v>
      </c>
      <c r="F552" t="str">
        <f>_xlfn.XLOOKUP(D552, Products!$A$2:$A$21, Products!$B$2:$B$21, "Not Found")</f>
        <v>Bluetooth Speaker</v>
      </c>
      <c r="G552" t="str">
        <f>_xlfn.XLOOKUP(D552, Products!$A$2:$A$21, Products!$C$2:$C$21)</f>
        <v>Audio</v>
      </c>
      <c r="H552">
        <f>_xlfn.XLOOKUP(D552, Products!$A$2:$A$21, Products!$E$2:$E$21, 0)</f>
        <v>179</v>
      </c>
      <c r="I552">
        <f>_xlfn.XLOOKUP(D552, Products!$A$2:$A$21, Products!$F$2:$F$21,0)</f>
        <v>95</v>
      </c>
      <c r="J552" t="str">
        <f>_xlfn.XLOOKUP(C552, Stores!$A$2:$A$7, Stores!$D$2:$D$7)</f>
        <v>Sydney South</v>
      </c>
      <c r="K552">
        <f t="shared" si="16"/>
        <v>179</v>
      </c>
      <c r="L552">
        <f t="shared" si="17"/>
        <v>84</v>
      </c>
    </row>
    <row r="553" spans="1:12">
      <c r="A553" t="s">
        <v>592</v>
      </c>
      <c r="B553" s="2">
        <v>46286</v>
      </c>
      <c r="C553" t="s">
        <v>19</v>
      </c>
      <c r="D553" t="s">
        <v>23</v>
      </c>
      <c r="E553">
        <v>2</v>
      </c>
      <c r="F553" t="str">
        <f>_xlfn.XLOOKUP(D553, Products!$A$2:$A$21, Products!$B$2:$B$21, "Not Found")</f>
        <v>Video Game</v>
      </c>
      <c r="G553" t="str">
        <f>_xlfn.XLOOKUP(D553, Products!$A$2:$A$21, Products!$C$2:$C$21)</f>
        <v>Gaming</v>
      </c>
      <c r="H553">
        <f>_xlfn.XLOOKUP(D553, Products!$A$2:$A$21, Products!$E$2:$E$21, 0)</f>
        <v>79</v>
      </c>
      <c r="I553">
        <f>_xlfn.XLOOKUP(D553, Products!$A$2:$A$21, Products!$F$2:$F$21,0)</f>
        <v>52</v>
      </c>
      <c r="J553" t="str">
        <f>_xlfn.XLOOKUP(C553, Stores!$A$2:$A$7, Stores!$D$2:$D$7)</f>
        <v>Sydney North</v>
      </c>
      <c r="K553">
        <f t="shared" si="16"/>
        <v>158</v>
      </c>
      <c r="L553">
        <f t="shared" si="17"/>
        <v>54</v>
      </c>
    </row>
    <row r="554" spans="1:12">
      <c r="A554" t="s">
        <v>593</v>
      </c>
      <c r="B554" s="2">
        <v>46286</v>
      </c>
      <c r="C554" t="s">
        <v>22</v>
      </c>
      <c r="D554" t="s">
        <v>44</v>
      </c>
      <c r="E554">
        <v>3</v>
      </c>
      <c r="F554" t="str">
        <f>_xlfn.XLOOKUP(D554, Products!$A$2:$A$21, Products!$B$2:$B$21, "Not Found")</f>
        <v>Smartphone 128GB</v>
      </c>
      <c r="G554" t="str">
        <f>_xlfn.XLOOKUP(D554, Products!$A$2:$A$21, Products!$C$2:$C$21)</f>
        <v>Phones</v>
      </c>
      <c r="H554">
        <f>_xlfn.XLOOKUP(D554, Products!$A$2:$A$21, Products!$E$2:$E$21, 0)</f>
        <v>1099</v>
      </c>
      <c r="I554">
        <f>_xlfn.XLOOKUP(D554, Products!$A$2:$A$21, Products!$F$2:$F$21,0)</f>
        <v>860</v>
      </c>
      <c r="J554" t="str">
        <f>_xlfn.XLOOKUP(C554, Stores!$A$2:$A$7, Stores!$D$2:$D$7)</f>
        <v>Sydney West</v>
      </c>
      <c r="K554">
        <f t="shared" si="16"/>
        <v>3297</v>
      </c>
      <c r="L554">
        <f t="shared" si="17"/>
        <v>717</v>
      </c>
    </row>
    <row r="555" spans="1:12">
      <c r="A555" t="s">
        <v>594</v>
      </c>
      <c r="B555" s="2">
        <v>46286</v>
      </c>
      <c r="C555" t="s">
        <v>51</v>
      </c>
      <c r="D555" t="s">
        <v>74</v>
      </c>
      <c r="E555">
        <v>1</v>
      </c>
      <c r="F555" t="str">
        <f>_xlfn.XLOOKUP(D555, Products!$A$2:$A$21, Products!$B$2:$B$21, "Not Found")</f>
        <v>Over-Ear Headphones</v>
      </c>
      <c r="G555" t="str">
        <f>_xlfn.XLOOKUP(D555, Products!$A$2:$A$21, Products!$C$2:$C$21)</f>
        <v>Audio</v>
      </c>
      <c r="H555">
        <f>_xlfn.XLOOKUP(D555, Products!$A$2:$A$21, Products!$E$2:$E$21, 0)</f>
        <v>499</v>
      </c>
      <c r="I555">
        <f>_xlfn.XLOOKUP(D555, Products!$A$2:$A$21, Products!$F$2:$F$21,0)</f>
        <v>310</v>
      </c>
      <c r="J555" t="str">
        <f>_xlfn.XLOOKUP(C555, Stores!$A$2:$A$7, Stores!$D$2:$D$7)</f>
        <v>Sydney South</v>
      </c>
      <c r="K555">
        <f t="shared" si="16"/>
        <v>499</v>
      </c>
      <c r="L555">
        <f t="shared" si="17"/>
        <v>189</v>
      </c>
    </row>
    <row r="556" spans="1:12">
      <c r="A556" t="s">
        <v>595</v>
      </c>
      <c r="B556" s="2">
        <v>46286</v>
      </c>
      <c r="C556" t="s">
        <v>13</v>
      </c>
      <c r="D556" t="s">
        <v>14</v>
      </c>
      <c r="E556">
        <v>1</v>
      </c>
      <c r="F556" t="str">
        <f>_xlfn.XLOOKUP(D556, Products!$A$2:$A$21, Products!$B$2:$B$21, "Not Found")</f>
        <v>Gaming Mouse</v>
      </c>
      <c r="G556" t="str">
        <f>_xlfn.XLOOKUP(D556, Products!$A$2:$A$21, Products!$C$2:$C$21)</f>
        <v>Accessories</v>
      </c>
      <c r="H556">
        <f>_xlfn.XLOOKUP(D556, Products!$A$2:$A$21, Products!$E$2:$E$21, 0)</f>
        <v>89</v>
      </c>
      <c r="I556">
        <f>_xlfn.XLOOKUP(D556, Products!$A$2:$A$21, Products!$F$2:$F$21,0)</f>
        <v>41</v>
      </c>
      <c r="J556" t="str">
        <f>_xlfn.XLOOKUP(C556, Stores!$A$2:$A$7, Stores!$D$2:$D$7)</f>
        <v>Sydney West</v>
      </c>
      <c r="K556">
        <f t="shared" si="16"/>
        <v>89</v>
      </c>
      <c r="L556">
        <f t="shared" si="17"/>
        <v>48</v>
      </c>
    </row>
    <row r="557" spans="1:12">
      <c r="A557" t="s">
        <v>596</v>
      </c>
      <c r="B557" s="2">
        <v>46286</v>
      </c>
      <c r="C557" t="s">
        <v>25</v>
      </c>
      <c r="D557" t="s">
        <v>29</v>
      </c>
      <c r="E557">
        <v>2</v>
      </c>
      <c r="F557" t="str">
        <f>_xlfn.XLOOKUP(D557, Products!$A$2:$A$21, Products!$B$2:$B$21, "Not Found")</f>
        <v>Phone Case</v>
      </c>
      <c r="G557" t="str">
        <f>_xlfn.XLOOKUP(D557, Products!$A$2:$A$21, Products!$C$2:$C$21)</f>
        <v>Accessories</v>
      </c>
      <c r="H557">
        <f>_xlfn.XLOOKUP(D557, Products!$A$2:$A$21, Products!$E$2:$E$21, 0)</f>
        <v>39</v>
      </c>
      <c r="I557">
        <f>_xlfn.XLOOKUP(D557, Products!$A$2:$A$21, Products!$F$2:$F$21,0)</f>
        <v>9</v>
      </c>
      <c r="J557" t="str">
        <f>_xlfn.XLOOKUP(C557, Stores!$A$2:$A$7, Stores!$D$2:$D$7)</f>
        <v>Sydney South</v>
      </c>
      <c r="K557">
        <f t="shared" si="16"/>
        <v>78</v>
      </c>
      <c r="L557">
        <f t="shared" si="17"/>
        <v>60</v>
      </c>
    </row>
    <row r="558" spans="1:12">
      <c r="A558" t="s">
        <v>597</v>
      </c>
      <c r="B558" s="2">
        <v>46286</v>
      </c>
      <c r="C558" t="s">
        <v>22</v>
      </c>
      <c r="D558" t="s">
        <v>29</v>
      </c>
      <c r="E558">
        <v>1</v>
      </c>
      <c r="F558" t="str">
        <f>_xlfn.XLOOKUP(D558, Products!$A$2:$A$21, Products!$B$2:$B$21, "Not Found")</f>
        <v>Phone Case</v>
      </c>
      <c r="G558" t="str">
        <f>_xlfn.XLOOKUP(D558, Products!$A$2:$A$21, Products!$C$2:$C$21)</f>
        <v>Accessories</v>
      </c>
      <c r="H558">
        <f>_xlfn.XLOOKUP(D558, Products!$A$2:$A$21, Products!$E$2:$E$21, 0)</f>
        <v>39</v>
      </c>
      <c r="I558">
        <f>_xlfn.XLOOKUP(D558, Products!$A$2:$A$21, Products!$F$2:$F$21,0)</f>
        <v>9</v>
      </c>
      <c r="J558" t="str">
        <f>_xlfn.XLOOKUP(C558, Stores!$A$2:$A$7, Stores!$D$2:$D$7)</f>
        <v>Sydney West</v>
      </c>
      <c r="K558">
        <f t="shared" si="16"/>
        <v>39</v>
      </c>
      <c r="L558">
        <f t="shared" si="17"/>
        <v>30</v>
      </c>
    </row>
    <row r="559" spans="1:12">
      <c r="A559" t="s">
        <v>598</v>
      </c>
      <c r="B559" s="2">
        <v>46286</v>
      </c>
      <c r="C559" t="s">
        <v>25</v>
      </c>
      <c r="D559" t="s">
        <v>44</v>
      </c>
      <c r="E559">
        <v>1</v>
      </c>
      <c r="F559" t="str">
        <f>_xlfn.XLOOKUP(D559, Products!$A$2:$A$21, Products!$B$2:$B$21, "Not Found")</f>
        <v>Smartphone 128GB</v>
      </c>
      <c r="G559" t="str">
        <f>_xlfn.XLOOKUP(D559, Products!$A$2:$A$21, Products!$C$2:$C$21)</f>
        <v>Phones</v>
      </c>
      <c r="H559">
        <f>_xlfn.XLOOKUP(D559, Products!$A$2:$A$21, Products!$E$2:$E$21, 0)</f>
        <v>1099</v>
      </c>
      <c r="I559">
        <f>_xlfn.XLOOKUP(D559, Products!$A$2:$A$21, Products!$F$2:$F$21,0)</f>
        <v>860</v>
      </c>
      <c r="J559" t="str">
        <f>_xlfn.XLOOKUP(C559, Stores!$A$2:$A$7, Stores!$D$2:$D$7)</f>
        <v>Sydney South</v>
      </c>
      <c r="K559">
        <f t="shared" si="16"/>
        <v>1099</v>
      </c>
      <c r="L559">
        <f t="shared" si="17"/>
        <v>239</v>
      </c>
    </row>
    <row r="560" spans="1:12">
      <c r="A560" t="s">
        <v>599</v>
      </c>
      <c r="B560" s="2">
        <v>46286</v>
      </c>
      <c r="C560" t="s">
        <v>19</v>
      </c>
      <c r="D560" t="s">
        <v>44</v>
      </c>
      <c r="E560">
        <v>1</v>
      </c>
      <c r="F560" t="str">
        <f>_xlfn.XLOOKUP(D560, Products!$A$2:$A$21, Products!$B$2:$B$21, "Not Found")</f>
        <v>Smartphone 128GB</v>
      </c>
      <c r="G560" t="str">
        <f>_xlfn.XLOOKUP(D560, Products!$A$2:$A$21, Products!$C$2:$C$21)</f>
        <v>Phones</v>
      </c>
      <c r="H560">
        <f>_xlfn.XLOOKUP(D560, Products!$A$2:$A$21, Products!$E$2:$E$21, 0)</f>
        <v>1099</v>
      </c>
      <c r="I560">
        <f>_xlfn.XLOOKUP(D560, Products!$A$2:$A$21, Products!$F$2:$F$21,0)</f>
        <v>860</v>
      </c>
      <c r="J560" t="str">
        <f>_xlfn.XLOOKUP(C560, Stores!$A$2:$A$7, Stores!$D$2:$D$7)</f>
        <v>Sydney North</v>
      </c>
      <c r="K560">
        <f t="shared" si="16"/>
        <v>1099</v>
      </c>
      <c r="L560">
        <f t="shared" si="17"/>
        <v>239</v>
      </c>
    </row>
    <row r="561" spans="1:12">
      <c r="A561" t="s">
        <v>600</v>
      </c>
      <c r="B561" s="2">
        <v>46287</v>
      </c>
      <c r="C561" t="s">
        <v>25</v>
      </c>
      <c r="D561" t="s">
        <v>17</v>
      </c>
      <c r="E561">
        <v>1</v>
      </c>
      <c r="F561" t="str">
        <f>_xlfn.XLOOKUP(D561, Products!$A$2:$A$21, Products!$B$2:$B$21, "Not Found")</f>
        <v>Wireless Earbuds</v>
      </c>
      <c r="G561" t="str">
        <f>_xlfn.XLOOKUP(D561, Products!$A$2:$A$21, Products!$C$2:$C$21)</f>
        <v>Audio</v>
      </c>
      <c r="H561">
        <f>_xlfn.XLOOKUP(D561, Products!$A$2:$A$21, Products!$E$2:$E$21, 0)</f>
        <v>249</v>
      </c>
      <c r="I561">
        <f>_xlfn.XLOOKUP(D561, Products!$A$2:$A$21, Products!$F$2:$F$21,0)</f>
        <v>140</v>
      </c>
      <c r="J561" t="str">
        <f>_xlfn.XLOOKUP(C561, Stores!$A$2:$A$7, Stores!$D$2:$D$7)</f>
        <v>Sydney South</v>
      </c>
      <c r="K561">
        <f t="shared" si="16"/>
        <v>249</v>
      </c>
      <c r="L561">
        <f t="shared" si="17"/>
        <v>109</v>
      </c>
    </row>
    <row r="562" spans="1:12">
      <c r="A562" t="s">
        <v>601</v>
      </c>
      <c r="B562" s="2">
        <v>46287</v>
      </c>
      <c r="C562" t="s">
        <v>22</v>
      </c>
      <c r="D562" t="s">
        <v>32</v>
      </c>
      <c r="E562">
        <v>3</v>
      </c>
      <c r="F562" t="str">
        <f>_xlfn.XLOOKUP(D562, Products!$A$2:$A$21, Products!$B$2:$B$21, "Not Found")</f>
        <v>USB-C Charger</v>
      </c>
      <c r="G562" t="str">
        <f>_xlfn.XLOOKUP(D562, Products!$A$2:$A$21, Products!$C$2:$C$21)</f>
        <v>Accessories</v>
      </c>
      <c r="H562">
        <f>_xlfn.XLOOKUP(D562, Products!$A$2:$A$21, Products!$E$2:$E$21, 0)</f>
        <v>49</v>
      </c>
      <c r="I562">
        <f>_xlfn.XLOOKUP(D562, Products!$A$2:$A$21, Products!$F$2:$F$21,0)</f>
        <v>14</v>
      </c>
      <c r="J562" t="str">
        <f>_xlfn.XLOOKUP(C562, Stores!$A$2:$A$7, Stores!$D$2:$D$7)</f>
        <v>Sydney West</v>
      </c>
      <c r="K562">
        <f t="shared" si="16"/>
        <v>147</v>
      </c>
      <c r="L562">
        <f t="shared" si="17"/>
        <v>105</v>
      </c>
    </row>
    <row r="563" spans="1:12">
      <c r="A563" t="s">
        <v>602</v>
      </c>
      <c r="B563" s="2">
        <v>46287</v>
      </c>
      <c r="C563" t="s">
        <v>25</v>
      </c>
      <c r="D563" t="s">
        <v>52</v>
      </c>
      <c r="E563">
        <v>1</v>
      </c>
      <c r="F563" t="str">
        <f>_xlfn.XLOOKUP(D563, Products!$A$2:$A$21, Products!$B$2:$B$21, "Not Found")</f>
        <v>Mech Keyboard</v>
      </c>
      <c r="G563" t="str">
        <f>_xlfn.XLOOKUP(D563, Products!$A$2:$A$21, Products!$C$2:$C$21)</f>
        <v>Accessories</v>
      </c>
      <c r="H563">
        <f>_xlfn.XLOOKUP(D563, Products!$A$2:$A$21, Products!$E$2:$E$21, 0)</f>
        <v>149</v>
      </c>
      <c r="I563">
        <f>_xlfn.XLOOKUP(D563, Products!$A$2:$A$21, Products!$F$2:$F$21,0)</f>
        <v>72</v>
      </c>
      <c r="J563" t="str">
        <f>_xlfn.XLOOKUP(C563, Stores!$A$2:$A$7, Stores!$D$2:$D$7)</f>
        <v>Sydney South</v>
      </c>
      <c r="K563">
        <f t="shared" si="16"/>
        <v>149</v>
      </c>
      <c r="L563">
        <f t="shared" si="17"/>
        <v>77</v>
      </c>
    </row>
    <row r="564" spans="1:12">
      <c r="A564" t="s">
        <v>603</v>
      </c>
      <c r="B564" s="2">
        <v>46287</v>
      </c>
      <c r="C564" t="s">
        <v>19</v>
      </c>
      <c r="D564" t="s">
        <v>29</v>
      </c>
      <c r="E564">
        <v>1</v>
      </c>
      <c r="F564" t="str">
        <f>_xlfn.XLOOKUP(D564, Products!$A$2:$A$21, Products!$B$2:$B$21, "Not Found")</f>
        <v>Phone Case</v>
      </c>
      <c r="G564" t="str">
        <f>_xlfn.XLOOKUP(D564, Products!$A$2:$A$21, Products!$C$2:$C$21)</f>
        <v>Accessories</v>
      </c>
      <c r="H564">
        <f>_xlfn.XLOOKUP(D564, Products!$A$2:$A$21, Products!$E$2:$E$21, 0)</f>
        <v>39</v>
      </c>
      <c r="I564">
        <f>_xlfn.XLOOKUP(D564, Products!$A$2:$A$21, Products!$F$2:$F$21,0)</f>
        <v>9</v>
      </c>
      <c r="J564" t="str">
        <f>_xlfn.XLOOKUP(C564, Stores!$A$2:$A$7, Stores!$D$2:$D$7)</f>
        <v>Sydney North</v>
      </c>
      <c r="K564">
        <f t="shared" si="16"/>
        <v>39</v>
      </c>
      <c r="L564">
        <f t="shared" si="17"/>
        <v>30</v>
      </c>
    </row>
    <row r="565" spans="1:12">
      <c r="A565" t="s">
        <v>604</v>
      </c>
      <c r="B565" s="2">
        <v>46287</v>
      </c>
      <c r="C565" t="s">
        <v>19</v>
      </c>
      <c r="D565" t="s">
        <v>165</v>
      </c>
      <c r="E565">
        <v>1</v>
      </c>
      <c r="F565" t="str">
        <f>_xlfn.XLOOKUP(D565, Products!$A$2:$A$21, Products!$B$2:$B$21, "Not Found")</f>
        <v>Smartwatch</v>
      </c>
      <c r="G565" t="str">
        <f>_xlfn.XLOOKUP(D565, Products!$A$2:$A$21, Products!$C$2:$C$21)</f>
        <v>Phones</v>
      </c>
      <c r="H565">
        <f>_xlfn.XLOOKUP(D565, Products!$A$2:$A$21, Products!$E$2:$E$21, 0)</f>
        <v>649</v>
      </c>
      <c r="I565">
        <f>_xlfn.XLOOKUP(D565, Products!$A$2:$A$21, Products!$F$2:$F$21,0)</f>
        <v>480</v>
      </c>
      <c r="J565" t="str">
        <f>_xlfn.XLOOKUP(C565, Stores!$A$2:$A$7, Stores!$D$2:$D$7)</f>
        <v>Sydney North</v>
      </c>
      <c r="K565">
        <f t="shared" si="16"/>
        <v>649</v>
      </c>
      <c r="L565">
        <f t="shared" si="17"/>
        <v>169</v>
      </c>
    </row>
    <row r="566" spans="1:12">
      <c r="A566" t="s">
        <v>605</v>
      </c>
      <c r="B566" s="2">
        <v>46287</v>
      </c>
      <c r="C566" t="s">
        <v>13</v>
      </c>
      <c r="D566" t="s">
        <v>23</v>
      </c>
      <c r="E566">
        <v>2</v>
      </c>
      <c r="F566" t="str">
        <f>_xlfn.XLOOKUP(D566, Products!$A$2:$A$21, Products!$B$2:$B$21, "Not Found")</f>
        <v>Video Game</v>
      </c>
      <c r="G566" t="str">
        <f>_xlfn.XLOOKUP(D566, Products!$A$2:$A$21, Products!$C$2:$C$21)</f>
        <v>Gaming</v>
      </c>
      <c r="H566">
        <f>_xlfn.XLOOKUP(D566, Products!$A$2:$A$21, Products!$E$2:$E$21, 0)</f>
        <v>79</v>
      </c>
      <c r="I566">
        <f>_xlfn.XLOOKUP(D566, Products!$A$2:$A$21, Products!$F$2:$F$21,0)</f>
        <v>52</v>
      </c>
      <c r="J566" t="str">
        <f>_xlfn.XLOOKUP(C566, Stores!$A$2:$A$7, Stores!$D$2:$D$7)</f>
        <v>Sydney West</v>
      </c>
      <c r="K566">
        <f t="shared" si="16"/>
        <v>158</v>
      </c>
      <c r="L566">
        <f t="shared" si="17"/>
        <v>54</v>
      </c>
    </row>
    <row r="567" spans="1:12">
      <c r="A567" t="s">
        <v>606</v>
      </c>
      <c r="B567" s="2">
        <v>46287</v>
      </c>
      <c r="C567" t="s">
        <v>25</v>
      </c>
      <c r="D567" t="s">
        <v>29</v>
      </c>
      <c r="E567">
        <v>3</v>
      </c>
      <c r="F567" t="str">
        <f>_xlfn.XLOOKUP(D567, Products!$A$2:$A$21, Products!$B$2:$B$21, "Not Found")</f>
        <v>Phone Case</v>
      </c>
      <c r="G567" t="str">
        <f>_xlfn.XLOOKUP(D567, Products!$A$2:$A$21, Products!$C$2:$C$21)</f>
        <v>Accessories</v>
      </c>
      <c r="H567">
        <f>_xlfn.XLOOKUP(D567, Products!$A$2:$A$21, Products!$E$2:$E$21, 0)</f>
        <v>39</v>
      </c>
      <c r="I567">
        <f>_xlfn.XLOOKUP(D567, Products!$A$2:$A$21, Products!$F$2:$F$21,0)</f>
        <v>9</v>
      </c>
      <c r="J567" t="str">
        <f>_xlfn.XLOOKUP(C567, Stores!$A$2:$A$7, Stores!$D$2:$D$7)</f>
        <v>Sydney South</v>
      </c>
      <c r="K567">
        <f t="shared" si="16"/>
        <v>117</v>
      </c>
      <c r="L567">
        <f t="shared" si="17"/>
        <v>90</v>
      </c>
    </row>
    <row r="568" spans="1:12">
      <c r="A568" t="s">
        <v>607</v>
      </c>
      <c r="B568" s="2">
        <v>46288</v>
      </c>
      <c r="C568" t="s">
        <v>22</v>
      </c>
      <c r="D568" t="s">
        <v>44</v>
      </c>
      <c r="E568">
        <v>1</v>
      </c>
      <c r="F568" t="str">
        <f>_xlfn.XLOOKUP(D568, Products!$A$2:$A$21, Products!$B$2:$B$21, "Not Found")</f>
        <v>Smartphone 128GB</v>
      </c>
      <c r="G568" t="str">
        <f>_xlfn.XLOOKUP(D568, Products!$A$2:$A$21, Products!$C$2:$C$21)</f>
        <v>Phones</v>
      </c>
      <c r="H568">
        <f>_xlfn.XLOOKUP(D568, Products!$A$2:$A$21, Products!$E$2:$E$21, 0)</f>
        <v>1099</v>
      </c>
      <c r="I568">
        <f>_xlfn.XLOOKUP(D568, Products!$A$2:$A$21, Products!$F$2:$F$21,0)</f>
        <v>860</v>
      </c>
      <c r="J568" t="str">
        <f>_xlfn.XLOOKUP(C568, Stores!$A$2:$A$7, Stores!$D$2:$D$7)</f>
        <v>Sydney West</v>
      </c>
      <c r="K568">
        <f t="shared" si="16"/>
        <v>1099</v>
      </c>
      <c r="L568">
        <f t="shared" si="17"/>
        <v>239</v>
      </c>
    </row>
    <row r="569" spans="1:12">
      <c r="A569" t="s">
        <v>608</v>
      </c>
      <c r="B569" s="2">
        <v>46288</v>
      </c>
      <c r="C569" t="s">
        <v>16</v>
      </c>
      <c r="D569" t="s">
        <v>74</v>
      </c>
      <c r="E569">
        <v>1</v>
      </c>
      <c r="F569" t="str">
        <f>_xlfn.XLOOKUP(D569, Products!$A$2:$A$21, Products!$B$2:$B$21, "Not Found")</f>
        <v>Over-Ear Headphones</v>
      </c>
      <c r="G569" t="str">
        <f>_xlfn.XLOOKUP(D569, Products!$A$2:$A$21, Products!$C$2:$C$21)</f>
        <v>Audio</v>
      </c>
      <c r="H569">
        <f>_xlfn.XLOOKUP(D569, Products!$A$2:$A$21, Products!$E$2:$E$21, 0)</f>
        <v>499</v>
      </c>
      <c r="I569">
        <f>_xlfn.XLOOKUP(D569, Products!$A$2:$A$21, Products!$F$2:$F$21,0)</f>
        <v>310</v>
      </c>
      <c r="J569" t="str">
        <f>_xlfn.XLOOKUP(C569, Stores!$A$2:$A$7, Stores!$D$2:$D$7)</f>
        <v>Sydney East</v>
      </c>
      <c r="K569">
        <f t="shared" si="16"/>
        <v>499</v>
      </c>
      <c r="L569">
        <f t="shared" si="17"/>
        <v>189</v>
      </c>
    </row>
    <row r="570" spans="1:12">
      <c r="A570" t="s">
        <v>609</v>
      </c>
      <c r="B570" s="2">
        <v>46288</v>
      </c>
      <c r="C570" t="s">
        <v>13</v>
      </c>
      <c r="D570" t="s">
        <v>29</v>
      </c>
      <c r="E570">
        <v>1</v>
      </c>
      <c r="F570" t="str">
        <f>_xlfn.XLOOKUP(D570, Products!$A$2:$A$21, Products!$B$2:$B$21, "Not Found")</f>
        <v>Phone Case</v>
      </c>
      <c r="G570" t="str">
        <f>_xlfn.XLOOKUP(D570, Products!$A$2:$A$21, Products!$C$2:$C$21)</f>
        <v>Accessories</v>
      </c>
      <c r="H570">
        <f>_xlfn.XLOOKUP(D570, Products!$A$2:$A$21, Products!$E$2:$E$21, 0)</f>
        <v>39</v>
      </c>
      <c r="I570">
        <f>_xlfn.XLOOKUP(D570, Products!$A$2:$A$21, Products!$F$2:$F$21,0)</f>
        <v>9</v>
      </c>
      <c r="J570" t="str">
        <f>_xlfn.XLOOKUP(C570, Stores!$A$2:$A$7, Stores!$D$2:$D$7)</f>
        <v>Sydney West</v>
      </c>
      <c r="K570">
        <f t="shared" si="16"/>
        <v>39</v>
      </c>
      <c r="L570">
        <f t="shared" si="17"/>
        <v>30</v>
      </c>
    </row>
    <row r="571" spans="1:12">
      <c r="A571" t="s">
        <v>610</v>
      </c>
      <c r="B571" s="2">
        <v>46289</v>
      </c>
      <c r="C571" t="s">
        <v>13</v>
      </c>
      <c r="D571" t="s">
        <v>48</v>
      </c>
      <c r="E571">
        <v>1</v>
      </c>
      <c r="F571" t="str">
        <f>_xlfn.XLOOKUP(D571, Products!$A$2:$A$21, Products!$B$2:$B$21, "Not Found")</f>
        <v>Tablet 11in</v>
      </c>
      <c r="G571" t="str">
        <f>_xlfn.XLOOKUP(D571, Products!$A$2:$A$21, Products!$C$2:$C$21)</f>
        <v>Computers</v>
      </c>
      <c r="H571">
        <f>_xlfn.XLOOKUP(D571, Products!$A$2:$A$21, Products!$E$2:$E$21, 0)</f>
        <v>899</v>
      </c>
      <c r="I571">
        <f>_xlfn.XLOOKUP(D571, Products!$A$2:$A$21, Products!$F$2:$F$21,0)</f>
        <v>690</v>
      </c>
      <c r="J571" t="str">
        <f>_xlfn.XLOOKUP(C571, Stores!$A$2:$A$7, Stores!$D$2:$D$7)</f>
        <v>Sydney West</v>
      </c>
      <c r="K571">
        <f t="shared" si="16"/>
        <v>899</v>
      </c>
      <c r="L571">
        <f t="shared" si="17"/>
        <v>209</v>
      </c>
    </row>
    <row r="572" spans="1:12">
      <c r="A572" t="s">
        <v>611</v>
      </c>
      <c r="B572" s="2">
        <v>46289</v>
      </c>
      <c r="C572" t="s">
        <v>25</v>
      </c>
      <c r="D572" t="s">
        <v>146</v>
      </c>
      <c r="E572">
        <v>2</v>
      </c>
      <c r="F572" t="str">
        <f>_xlfn.XLOOKUP(D572, Products!$A$2:$A$21, Products!$B$2:$B$21, "Not Found")</f>
        <v>Game Console</v>
      </c>
      <c r="G572" t="str">
        <f>_xlfn.XLOOKUP(D572, Products!$A$2:$A$21, Products!$C$2:$C$21)</f>
        <v>Gaming</v>
      </c>
      <c r="H572">
        <f>_xlfn.XLOOKUP(D572, Products!$A$2:$A$21, Products!$E$2:$E$21, 0)</f>
        <v>499</v>
      </c>
      <c r="I572">
        <f>_xlfn.XLOOKUP(D572, Products!$A$2:$A$21, Products!$F$2:$F$21,0)</f>
        <v>420</v>
      </c>
      <c r="J572" t="str">
        <f>_xlfn.XLOOKUP(C572, Stores!$A$2:$A$7, Stores!$D$2:$D$7)</f>
        <v>Sydney South</v>
      </c>
      <c r="K572">
        <f t="shared" si="16"/>
        <v>998</v>
      </c>
      <c r="L572">
        <f t="shared" si="17"/>
        <v>158</v>
      </c>
    </row>
    <row r="573" spans="1:12">
      <c r="A573" t="s">
        <v>612</v>
      </c>
      <c r="B573" s="2">
        <v>46289</v>
      </c>
      <c r="C573" t="s">
        <v>16</v>
      </c>
      <c r="D573" t="s">
        <v>20</v>
      </c>
      <c r="E573">
        <v>1</v>
      </c>
      <c r="F573" t="str">
        <f>_xlfn.XLOOKUP(D573, Products!$A$2:$A$21, Products!$B$2:$B$21, "Not Found")</f>
        <v>Bluetooth Speaker</v>
      </c>
      <c r="G573" t="str">
        <f>_xlfn.XLOOKUP(D573, Products!$A$2:$A$21, Products!$C$2:$C$21)</f>
        <v>Audio</v>
      </c>
      <c r="H573">
        <f>_xlfn.XLOOKUP(D573, Products!$A$2:$A$21, Products!$E$2:$E$21, 0)</f>
        <v>179</v>
      </c>
      <c r="I573">
        <f>_xlfn.XLOOKUP(D573, Products!$A$2:$A$21, Products!$F$2:$F$21,0)</f>
        <v>95</v>
      </c>
      <c r="J573" t="str">
        <f>_xlfn.XLOOKUP(C573, Stores!$A$2:$A$7, Stores!$D$2:$D$7)</f>
        <v>Sydney East</v>
      </c>
      <c r="K573">
        <f t="shared" si="16"/>
        <v>179</v>
      </c>
      <c r="L573">
        <f t="shared" si="17"/>
        <v>84</v>
      </c>
    </row>
    <row r="574" spans="1:12">
      <c r="A574" t="s">
        <v>613</v>
      </c>
      <c r="B574" s="2">
        <v>46289</v>
      </c>
      <c r="C574" t="s">
        <v>13</v>
      </c>
      <c r="D574" t="s">
        <v>14</v>
      </c>
      <c r="E574">
        <v>2</v>
      </c>
      <c r="F574" t="str">
        <f>_xlfn.XLOOKUP(D574, Products!$A$2:$A$21, Products!$B$2:$B$21, "Not Found")</f>
        <v>Gaming Mouse</v>
      </c>
      <c r="G574" t="str">
        <f>_xlfn.XLOOKUP(D574, Products!$A$2:$A$21, Products!$C$2:$C$21)</f>
        <v>Accessories</v>
      </c>
      <c r="H574">
        <f>_xlfn.XLOOKUP(D574, Products!$A$2:$A$21, Products!$E$2:$E$21, 0)</f>
        <v>89</v>
      </c>
      <c r="I574">
        <f>_xlfn.XLOOKUP(D574, Products!$A$2:$A$21, Products!$F$2:$F$21,0)</f>
        <v>41</v>
      </c>
      <c r="J574" t="str">
        <f>_xlfn.XLOOKUP(C574, Stores!$A$2:$A$7, Stores!$D$2:$D$7)</f>
        <v>Sydney West</v>
      </c>
      <c r="K574">
        <f t="shared" si="16"/>
        <v>178</v>
      </c>
      <c r="L574">
        <f t="shared" si="17"/>
        <v>96</v>
      </c>
    </row>
    <row r="575" spans="1:12">
      <c r="A575" t="s">
        <v>614</v>
      </c>
      <c r="B575" s="2">
        <v>46290</v>
      </c>
      <c r="C575" t="s">
        <v>16</v>
      </c>
      <c r="D575" t="s">
        <v>29</v>
      </c>
      <c r="E575">
        <v>2</v>
      </c>
      <c r="F575" t="str">
        <f>_xlfn.XLOOKUP(D575, Products!$A$2:$A$21, Products!$B$2:$B$21, "Not Found")</f>
        <v>Phone Case</v>
      </c>
      <c r="G575" t="str">
        <f>_xlfn.XLOOKUP(D575, Products!$A$2:$A$21, Products!$C$2:$C$21)</f>
        <v>Accessories</v>
      </c>
      <c r="H575">
        <f>_xlfn.XLOOKUP(D575, Products!$A$2:$A$21, Products!$E$2:$E$21, 0)</f>
        <v>39</v>
      </c>
      <c r="I575">
        <f>_xlfn.XLOOKUP(D575, Products!$A$2:$A$21, Products!$F$2:$F$21,0)</f>
        <v>9</v>
      </c>
      <c r="J575" t="str">
        <f>_xlfn.XLOOKUP(C575, Stores!$A$2:$A$7, Stores!$D$2:$D$7)</f>
        <v>Sydney East</v>
      </c>
      <c r="K575">
        <f t="shared" si="16"/>
        <v>78</v>
      </c>
      <c r="L575">
        <f t="shared" si="17"/>
        <v>60</v>
      </c>
    </row>
    <row r="576" spans="1:12">
      <c r="A576" t="s">
        <v>615</v>
      </c>
      <c r="B576" s="2">
        <v>46290</v>
      </c>
      <c r="C576" t="s">
        <v>22</v>
      </c>
      <c r="D576" t="s">
        <v>17</v>
      </c>
      <c r="E576">
        <v>1</v>
      </c>
      <c r="F576" t="str">
        <f>_xlfn.XLOOKUP(D576, Products!$A$2:$A$21, Products!$B$2:$B$21, "Not Found")</f>
        <v>Wireless Earbuds</v>
      </c>
      <c r="G576" t="str">
        <f>_xlfn.XLOOKUP(D576, Products!$A$2:$A$21, Products!$C$2:$C$21)</f>
        <v>Audio</v>
      </c>
      <c r="H576">
        <f>_xlfn.XLOOKUP(D576, Products!$A$2:$A$21, Products!$E$2:$E$21, 0)</f>
        <v>249</v>
      </c>
      <c r="I576">
        <f>_xlfn.XLOOKUP(D576, Products!$A$2:$A$21, Products!$F$2:$F$21,0)</f>
        <v>140</v>
      </c>
      <c r="J576" t="str">
        <f>_xlfn.XLOOKUP(C576, Stores!$A$2:$A$7, Stores!$D$2:$D$7)</f>
        <v>Sydney West</v>
      </c>
      <c r="K576">
        <f t="shared" si="16"/>
        <v>249</v>
      </c>
      <c r="L576">
        <f t="shared" si="17"/>
        <v>109</v>
      </c>
    </row>
    <row r="577" spans="1:12">
      <c r="A577" t="s">
        <v>616</v>
      </c>
      <c r="B577" s="2">
        <v>46290</v>
      </c>
      <c r="C577" t="s">
        <v>51</v>
      </c>
      <c r="D577" t="s">
        <v>32</v>
      </c>
      <c r="E577">
        <v>1</v>
      </c>
      <c r="F577" t="str">
        <f>_xlfn.XLOOKUP(D577, Products!$A$2:$A$21, Products!$B$2:$B$21, "Not Found")</f>
        <v>USB-C Charger</v>
      </c>
      <c r="G577" t="str">
        <f>_xlfn.XLOOKUP(D577, Products!$A$2:$A$21, Products!$C$2:$C$21)</f>
        <v>Accessories</v>
      </c>
      <c r="H577">
        <f>_xlfn.XLOOKUP(D577, Products!$A$2:$A$21, Products!$E$2:$E$21, 0)</f>
        <v>49</v>
      </c>
      <c r="I577">
        <f>_xlfn.XLOOKUP(D577, Products!$A$2:$A$21, Products!$F$2:$F$21,0)</f>
        <v>14</v>
      </c>
      <c r="J577" t="str">
        <f>_xlfn.XLOOKUP(C577, Stores!$A$2:$A$7, Stores!$D$2:$D$7)</f>
        <v>Sydney South</v>
      </c>
      <c r="K577">
        <f t="shared" si="16"/>
        <v>49</v>
      </c>
      <c r="L577">
        <f t="shared" si="17"/>
        <v>35</v>
      </c>
    </row>
    <row r="578" spans="1:12">
      <c r="A578" t="s">
        <v>617</v>
      </c>
      <c r="B578" s="2">
        <v>46291</v>
      </c>
      <c r="C578" t="s">
        <v>51</v>
      </c>
      <c r="D578" t="s">
        <v>14</v>
      </c>
      <c r="E578">
        <v>1</v>
      </c>
      <c r="F578" t="str">
        <f>_xlfn.XLOOKUP(D578, Products!$A$2:$A$21, Products!$B$2:$B$21, "Not Found")</f>
        <v>Gaming Mouse</v>
      </c>
      <c r="G578" t="str">
        <f>_xlfn.XLOOKUP(D578, Products!$A$2:$A$21, Products!$C$2:$C$21)</f>
        <v>Accessories</v>
      </c>
      <c r="H578">
        <f>_xlfn.XLOOKUP(D578, Products!$A$2:$A$21, Products!$E$2:$E$21, 0)</f>
        <v>89</v>
      </c>
      <c r="I578">
        <f>_xlfn.XLOOKUP(D578, Products!$A$2:$A$21, Products!$F$2:$F$21,0)</f>
        <v>41</v>
      </c>
      <c r="J578" t="str">
        <f>_xlfn.XLOOKUP(C578, Stores!$A$2:$A$7, Stores!$D$2:$D$7)</f>
        <v>Sydney South</v>
      </c>
      <c r="K578">
        <f t="shared" si="16"/>
        <v>89</v>
      </c>
      <c r="L578">
        <f t="shared" si="17"/>
        <v>48</v>
      </c>
    </row>
    <row r="579" spans="1:12">
      <c r="A579" t="s">
        <v>618</v>
      </c>
      <c r="B579" s="2">
        <v>46291</v>
      </c>
      <c r="C579" t="s">
        <v>51</v>
      </c>
      <c r="D579" t="s">
        <v>29</v>
      </c>
      <c r="E579">
        <v>1</v>
      </c>
      <c r="F579" t="str">
        <f>_xlfn.XLOOKUP(D579, Products!$A$2:$A$21, Products!$B$2:$B$21, "Not Found")</f>
        <v>Phone Case</v>
      </c>
      <c r="G579" t="str">
        <f>_xlfn.XLOOKUP(D579, Products!$A$2:$A$21, Products!$C$2:$C$21)</f>
        <v>Accessories</v>
      </c>
      <c r="H579">
        <f>_xlfn.XLOOKUP(D579, Products!$A$2:$A$21, Products!$E$2:$E$21, 0)</f>
        <v>39</v>
      </c>
      <c r="I579">
        <f>_xlfn.XLOOKUP(D579, Products!$A$2:$A$21, Products!$F$2:$F$21,0)</f>
        <v>9</v>
      </c>
      <c r="J579" t="str">
        <f>_xlfn.XLOOKUP(C579, Stores!$A$2:$A$7, Stores!$D$2:$D$7)</f>
        <v>Sydney South</v>
      </c>
      <c r="K579">
        <f t="shared" ref="K579:K601" si="18" xml:space="preserve"> E579*H579</f>
        <v>39</v>
      </c>
      <c r="L579">
        <f t="shared" ref="L579:L601" si="19" xml:space="preserve"> K579 - (E579 * I579)</f>
        <v>30</v>
      </c>
    </row>
    <row r="580" spans="1:12">
      <c r="A580" t="s">
        <v>619</v>
      </c>
      <c r="B580" s="2">
        <v>46291</v>
      </c>
      <c r="C580" t="s">
        <v>19</v>
      </c>
      <c r="D580" t="s">
        <v>52</v>
      </c>
      <c r="E580">
        <v>3</v>
      </c>
      <c r="F580" t="str">
        <f>_xlfn.XLOOKUP(D580, Products!$A$2:$A$21, Products!$B$2:$B$21, "Not Found")</f>
        <v>Mech Keyboard</v>
      </c>
      <c r="G580" t="str">
        <f>_xlfn.XLOOKUP(D580, Products!$A$2:$A$21, Products!$C$2:$C$21)</f>
        <v>Accessories</v>
      </c>
      <c r="H580">
        <f>_xlfn.XLOOKUP(D580, Products!$A$2:$A$21, Products!$E$2:$E$21, 0)</f>
        <v>149</v>
      </c>
      <c r="I580">
        <f>_xlfn.XLOOKUP(D580, Products!$A$2:$A$21, Products!$F$2:$F$21,0)</f>
        <v>72</v>
      </c>
      <c r="J580" t="str">
        <f>_xlfn.XLOOKUP(C580, Stores!$A$2:$A$7, Stores!$D$2:$D$7)</f>
        <v>Sydney North</v>
      </c>
      <c r="K580">
        <f t="shared" si="18"/>
        <v>447</v>
      </c>
      <c r="L580">
        <f t="shared" si="19"/>
        <v>231</v>
      </c>
    </row>
    <row r="581" spans="1:12">
      <c r="A581" t="s">
        <v>620</v>
      </c>
      <c r="B581" s="2">
        <v>46291</v>
      </c>
      <c r="C581" t="s">
        <v>25</v>
      </c>
      <c r="D581" t="s">
        <v>52</v>
      </c>
      <c r="E581">
        <v>1</v>
      </c>
      <c r="F581" t="str">
        <f>_xlfn.XLOOKUP(D581, Products!$A$2:$A$21, Products!$B$2:$B$21, "Not Found")</f>
        <v>Mech Keyboard</v>
      </c>
      <c r="G581" t="str">
        <f>_xlfn.XLOOKUP(D581, Products!$A$2:$A$21, Products!$C$2:$C$21)</f>
        <v>Accessories</v>
      </c>
      <c r="H581">
        <f>_xlfn.XLOOKUP(D581, Products!$A$2:$A$21, Products!$E$2:$E$21, 0)</f>
        <v>149</v>
      </c>
      <c r="I581">
        <f>_xlfn.XLOOKUP(D581, Products!$A$2:$A$21, Products!$F$2:$F$21,0)</f>
        <v>72</v>
      </c>
      <c r="J581" t="str">
        <f>_xlfn.XLOOKUP(C581, Stores!$A$2:$A$7, Stores!$D$2:$D$7)</f>
        <v>Sydney South</v>
      </c>
      <c r="K581">
        <f t="shared" si="18"/>
        <v>149</v>
      </c>
      <c r="L581">
        <f t="shared" si="19"/>
        <v>77</v>
      </c>
    </row>
    <row r="582" spans="1:12">
      <c r="A582" t="s">
        <v>621</v>
      </c>
      <c r="B582" s="2">
        <v>46291</v>
      </c>
      <c r="C582" t="s">
        <v>22</v>
      </c>
      <c r="D582" t="s">
        <v>81</v>
      </c>
      <c r="E582">
        <v>1</v>
      </c>
      <c r="F582" t="str">
        <f>_xlfn.XLOOKUP(D582, Products!$A$2:$A$21, Products!$B$2:$B$21, "Not Found")</f>
        <v>Laptop 16in</v>
      </c>
      <c r="G582" t="str">
        <f>_xlfn.XLOOKUP(D582, Products!$A$2:$A$21, Products!$C$2:$C$21)</f>
        <v>Computers</v>
      </c>
      <c r="H582">
        <f>_xlfn.XLOOKUP(D582, Products!$A$2:$A$21, Products!$E$2:$E$21, 0)</f>
        <v>1799</v>
      </c>
      <c r="I582">
        <f>_xlfn.XLOOKUP(D582, Products!$A$2:$A$21, Products!$F$2:$F$21,0)</f>
        <v>1390</v>
      </c>
      <c r="J582" t="str">
        <f>_xlfn.XLOOKUP(C582, Stores!$A$2:$A$7, Stores!$D$2:$D$7)</f>
        <v>Sydney West</v>
      </c>
      <c r="K582">
        <f t="shared" si="18"/>
        <v>1799</v>
      </c>
      <c r="L582">
        <f t="shared" si="19"/>
        <v>409</v>
      </c>
    </row>
    <row r="583" spans="1:12">
      <c r="A583" t="s">
        <v>622</v>
      </c>
      <c r="B583" s="2">
        <v>46291</v>
      </c>
      <c r="C583" t="s">
        <v>22</v>
      </c>
      <c r="D583" t="s">
        <v>100</v>
      </c>
      <c r="E583">
        <v>1</v>
      </c>
      <c r="F583" t="str">
        <f>_xlfn.XLOOKUP(D583, Products!$A$2:$A$21, Products!$B$2:$B$21, "Not Found")</f>
        <v>Laptop 14in</v>
      </c>
      <c r="G583" t="str">
        <f>_xlfn.XLOOKUP(D583, Products!$A$2:$A$21, Products!$C$2:$C$21)</f>
        <v>Computers</v>
      </c>
      <c r="H583">
        <f>_xlfn.XLOOKUP(D583, Products!$A$2:$A$21, Products!$E$2:$E$21, 0)</f>
        <v>1199</v>
      </c>
      <c r="I583">
        <f>_xlfn.XLOOKUP(D583, Products!$A$2:$A$21, Products!$F$2:$F$21,0)</f>
        <v>930</v>
      </c>
      <c r="J583" t="str">
        <f>_xlfn.XLOOKUP(C583, Stores!$A$2:$A$7, Stores!$D$2:$D$7)</f>
        <v>Sydney West</v>
      </c>
      <c r="K583">
        <f t="shared" si="18"/>
        <v>1199</v>
      </c>
      <c r="L583">
        <f t="shared" si="19"/>
        <v>269</v>
      </c>
    </row>
    <row r="584" spans="1:12">
      <c r="A584" t="s">
        <v>623</v>
      </c>
      <c r="B584" s="2">
        <v>46292</v>
      </c>
      <c r="C584" t="s">
        <v>16</v>
      </c>
      <c r="D584" t="s">
        <v>37</v>
      </c>
      <c r="E584">
        <v>1</v>
      </c>
      <c r="F584" t="str">
        <f>_xlfn.XLOOKUP(D584, Products!$A$2:$A$21, Products!$B$2:$B$21, "Not Found")</f>
        <v>Console Controller</v>
      </c>
      <c r="G584" t="str">
        <f>_xlfn.XLOOKUP(D584, Products!$A$2:$A$21, Products!$C$2:$C$21)</f>
        <v>Gaming</v>
      </c>
      <c r="H584">
        <f>_xlfn.XLOOKUP(D584, Products!$A$2:$A$21, Products!$E$2:$E$21, 0)</f>
        <v>99</v>
      </c>
      <c r="I584">
        <f>_xlfn.XLOOKUP(D584, Products!$A$2:$A$21, Products!$F$2:$F$21,0)</f>
        <v>58</v>
      </c>
      <c r="J584" t="str">
        <f>_xlfn.XLOOKUP(C584, Stores!$A$2:$A$7, Stores!$D$2:$D$7)</f>
        <v>Sydney East</v>
      </c>
      <c r="K584">
        <f t="shared" si="18"/>
        <v>99</v>
      </c>
      <c r="L584">
        <f t="shared" si="19"/>
        <v>41</v>
      </c>
    </row>
    <row r="585" spans="1:12">
      <c r="A585" t="s">
        <v>624</v>
      </c>
      <c r="B585" s="2">
        <v>46292</v>
      </c>
      <c r="C585" t="s">
        <v>13</v>
      </c>
      <c r="D585" t="s">
        <v>17</v>
      </c>
      <c r="E585">
        <v>2</v>
      </c>
      <c r="F585" t="str">
        <f>_xlfn.XLOOKUP(D585, Products!$A$2:$A$21, Products!$B$2:$B$21, "Not Found")</f>
        <v>Wireless Earbuds</v>
      </c>
      <c r="G585" t="str">
        <f>_xlfn.XLOOKUP(D585, Products!$A$2:$A$21, Products!$C$2:$C$21)</f>
        <v>Audio</v>
      </c>
      <c r="H585">
        <f>_xlfn.XLOOKUP(D585, Products!$A$2:$A$21, Products!$E$2:$E$21, 0)</f>
        <v>249</v>
      </c>
      <c r="I585">
        <f>_xlfn.XLOOKUP(D585, Products!$A$2:$A$21, Products!$F$2:$F$21,0)</f>
        <v>140</v>
      </c>
      <c r="J585" t="str">
        <f>_xlfn.XLOOKUP(C585, Stores!$A$2:$A$7, Stores!$D$2:$D$7)</f>
        <v>Sydney West</v>
      </c>
      <c r="K585">
        <f t="shared" si="18"/>
        <v>498</v>
      </c>
      <c r="L585">
        <f t="shared" si="19"/>
        <v>218</v>
      </c>
    </row>
    <row r="586" spans="1:12">
      <c r="A586" t="s">
        <v>625</v>
      </c>
      <c r="B586" s="2">
        <v>46292</v>
      </c>
      <c r="C586" t="s">
        <v>13</v>
      </c>
      <c r="D586" t="s">
        <v>17</v>
      </c>
      <c r="E586">
        <v>2</v>
      </c>
      <c r="F586" t="str">
        <f>_xlfn.XLOOKUP(D586, Products!$A$2:$A$21, Products!$B$2:$B$21, "Not Found")</f>
        <v>Wireless Earbuds</v>
      </c>
      <c r="G586" t="str">
        <f>_xlfn.XLOOKUP(D586, Products!$A$2:$A$21, Products!$C$2:$C$21)</f>
        <v>Audio</v>
      </c>
      <c r="H586">
        <f>_xlfn.XLOOKUP(D586, Products!$A$2:$A$21, Products!$E$2:$E$21, 0)</f>
        <v>249</v>
      </c>
      <c r="I586">
        <f>_xlfn.XLOOKUP(D586, Products!$A$2:$A$21, Products!$F$2:$F$21,0)</f>
        <v>140</v>
      </c>
      <c r="J586" t="str">
        <f>_xlfn.XLOOKUP(C586, Stores!$A$2:$A$7, Stores!$D$2:$D$7)</f>
        <v>Sydney West</v>
      </c>
      <c r="K586">
        <f t="shared" si="18"/>
        <v>498</v>
      </c>
      <c r="L586">
        <f t="shared" si="19"/>
        <v>218</v>
      </c>
    </row>
    <row r="587" spans="1:12">
      <c r="A587" t="s">
        <v>626</v>
      </c>
      <c r="B587" s="2">
        <v>46292</v>
      </c>
      <c r="C587" t="s">
        <v>22</v>
      </c>
      <c r="D587" t="s">
        <v>93</v>
      </c>
      <c r="E587">
        <v>1</v>
      </c>
      <c r="F587" t="str">
        <f>_xlfn.XLOOKUP(D587, Products!$A$2:$A$21, Products!$B$2:$B$21, "Not Found")</f>
        <v>Smartphone 256GB</v>
      </c>
      <c r="G587" t="str">
        <f>_xlfn.XLOOKUP(D587, Products!$A$2:$A$21, Products!$C$2:$C$21)</f>
        <v>Phones</v>
      </c>
      <c r="H587">
        <f>_xlfn.XLOOKUP(D587, Products!$A$2:$A$21, Products!$E$2:$E$21, 0)</f>
        <v>1499</v>
      </c>
      <c r="I587">
        <f>_xlfn.XLOOKUP(D587, Products!$A$2:$A$21, Products!$F$2:$F$21,0)</f>
        <v>1180</v>
      </c>
      <c r="J587" t="str">
        <f>_xlfn.XLOOKUP(C587, Stores!$A$2:$A$7, Stores!$D$2:$D$7)</f>
        <v>Sydney West</v>
      </c>
      <c r="K587">
        <f t="shared" si="18"/>
        <v>1499</v>
      </c>
      <c r="L587">
        <f t="shared" si="19"/>
        <v>319</v>
      </c>
    </row>
    <row r="588" spans="1:12">
      <c r="A588" t="s">
        <v>627</v>
      </c>
      <c r="B588" s="2">
        <v>46293</v>
      </c>
      <c r="C588" t="s">
        <v>16</v>
      </c>
      <c r="D588" t="s">
        <v>29</v>
      </c>
      <c r="E588">
        <v>1</v>
      </c>
      <c r="F588" t="str">
        <f>_xlfn.XLOOKUP(D588, Products!$A$2:$A$21, Products!$B$2:$B$21, "Not Found")</f>
        <v>Phone Case</v>
      </c>
      <c r="G588" t="str">
        <f>_xlfn.XLOOKUP(D588, Products!$A$2:$A$21, Products!$C$2:$C$21)</f>
        <v>Accessories</v>
      </c>
      <c r="H588">
        <f>_xlfn.XLOOKUP(D588, Products!$A$2:$A$21, Products!$E$2:$E$21, 0)</f>
        <v>39</v>
      </c>
      <c r="I588">
        <f>_xlfn.XLOOKUP(D588, Products!$A$2:$A$21, Products!$F$2:$F$21,0)</f>
        <v>9</v>
      </c>
      <c r="J588" t="str">
        <f>_xlfn.XLOOKUP(C588, Stores!$A$2:$A$7, Stores!$D$2:$D$7)</f>
        <v>Sydney East</v>
      </c>
      <c r="K588">
        <f t="shared" si="18"/>
        <v>39</v>
      </c>
      <c r="L588">
        <f t="shared" si="19"/>
        <v>30</v>
      </c>
    </row>
    <row r="589" spans="1:12">
      <c r="A589" t="s">
        <v>628</v>
      </c>
      <c r="B589" s="2">
        <v>46293</v>
      </c>
      <c r="C589" t="s">
        <v>13</v>
      </c>
      <c r="D589" t="s">
        <v>14</v>
      </c>
      <c r="E589">
        <v>1</v>
      </c>
      <c r="F589" t="str">
        <f>_xlfn.XLOOKUP(D589, Products!$A$2:$A$21, Products!$B$2:$B$21, "Not Found")</f>
        <v>Gaming Mouse</v>
      </c>
      <c r="G589" t="str">
        <f>_xlfn.XLOOKUP(D589, Products!$A$2:$A$21, Products!$C$2:$C$21)</f>
        <v>Accessories</v>
      </c>
      <c r="H589">
        <f>_xlfn.XLOOKUP(D589, Products!$A$2:$A$21, Products!$E$2:$E$21, 0)</f>
        <v>89</v>
      </c>
      <c r="I589">
        <f>_xlfn.XLOOKUP(D589, Products!$A$2:$A$21, Products!$F$2:$F$21,0)</f>
        <v>41</v>
      </c>
      <c r="J589" t="str">
        <f>_xlfn.XLOOKUP(C589, Stores!$A$2:$A$7, Stores!$D$2:$D$7)</f>
        <v>Sydney West</v>
      </c>
      <c r="K589">
        <f t="shared" si="18"/>
        <v>89</v>
      </c>
      <c r="L589">
        <f t="shared" si="19"/>
        <v>48</v>
      </c>
    </row>
    <row r="590" spans="1:12">
      <c r="A590" t="s">
        <v>629</v>
      </c>
      <c r="B590" s="2">
        <v>46293</v>
      </c>
      <c r="C590" t="s">
        <v>16</v>
      </c>
      <c r="D590" t="s">
        <v>63</v>
      </c>
      <c r="E590">
        <v>1</v>
      </c>
      <c r="F590" t="str">
        <f>_xlfn.XLOOKUP(D590, Products!$A$2:$A$21, Products!$B$2:$B$21, "Not Found")</f>
        <v>27in Monitor</v>
      </c>
      <c r="G590" t="str">
        <f>_xlfn.XLOOKUP(D590, Products!$A$2:$A$21, Products!$C$2:$C$21)</f>
        <v>Computers</v>
      </c>
      <c r="H590">
        <f>_xlfn.XLOOKUP(D590, Products!$A$2:$A$21, Products!$E$2:$E$21, 0)</f>
        <v>399</v>
      </c>
      <c r="I590">
        <f>_xlfn.XLOOKUP(D590, Products!$A$2:$A$21, Products!$F$2:$F$21,0)</f>
        <v>290</v>
      </c>
      <c r="J590" t="str">
        <f>_xlfn.XLOOKUP(C590, Stores!$A$2:$A$7, Stores!$D$2:$D$7)</f>
        <v>Sydney East</v>
      </c>
      <c r="K590">
        <f t="shared" si="18"/>
        <v>399</v>
      </c>
      <c r="L590">
        <f t="shared" si="19"/>
        <v>109</v>
      </c>
    </row>
    <row r="591" spans="1:12">
      <c r="A591" t="s">
        <v>630</v>
      </c>
      <c r="B591" s="2">
        <v>46293</v>
      </c>
      <c r="C591" t="s">
        <v>19</v>
      </c>
      <c r="D591" t="s">
        <v>61</v>
      </c>
      <c r="E591">
        <v>1</v>
      </c>
      <c r="F591" t="str">
        <f>_xlfn.XLOOKUP(D591, Products!$A$2:$A$21, Products!$B$2:$B$21, "Not Found")</f>
        <v>Soundbar</v>
      </c>
      <c r="G591" t="str">
        <f>_xlfn.XLOOKUP(D591, Products!$A$2:$A$21, Products!$C$2:$C$21)</f>
        <v>Audio</v>
      </c>
      <c r="H591">
        <f>_xlfn.XLOOKUP(D591, Products!$A$2:$A$21, Products!$E$2:$E$21, 0)</f>
        <v>699</v>
      </c>
      <c r="I591">
        <f>_xlfn.XLOOKUP(D591, Products!$A$2:$A$21, Products!$F$2:$F$21,0)</f>
        <v>450</v>
      </c>
      <c r="J591" t="str">
        <f>_xlfn.XLOOKUP(C591, Stores!$A$2:$A$7, Stores!$D$2:$D$7)</f>
        <v>Sydney North</v>
      </c>
      <c r="K591">
        <f t="shared" si="18"/>
        <v>699</v>
      </c>
      <c r="L591">
        <f t="shared" si="19"/>
        <v>249</v>
      </c>
    </row>
    <row r="592" spans="1:12">
      <c r="A592" t="s">
        <v>631</v>
      </c>
      <c r="B592" s="2">
        <v>46294</v>
      </c>
      <c r="C592" t="s">
        <v>19</v>
      </c>
      <c r="D592" t="s">
        <v>14</v>
      </c>
      <c r="E592">
        <v>1</v>
      </c>
      <c r="F592" t="str">
        <f>_xlfn.XLOOKUP(D592, Products!$A$2:$A$21, Products!$B$2:$B$21, "Not Found")</f>
        <v>Gaming Mouse</v>
      </c>
      <c r="G592" t="str">
        <f>_xlfn.XLOOKUP(D592, Products!$A$2:$A$21, Products!$C$2:$C$21)</f>
        <v>Accessories</v>
      </c>
      <c r="H592">
        <f>_xlfn.XLOOKUP(D592, Products!$A$2:$A$21, Products!$E$2:$E$21, 0)</f>
        <v>89</v>
      </c>
      <c r="I592">
        <f>_xlfn.XLOOKUP(D592, Products!$A$2:$A$21, Products!$F$2:$F$21,0)</f>
        <v>41</v>
      </c>
      <c r="J592" t="str">
        <f>_xlfn.XLOOKUP(C592, Stores!$A$2:$A$7, Stores!$D$2:$D$7)</f>
        <v>Sydney North</v>
      </c>
      <c r="K592">
        <f t="shared" si="18"/>
        <v>89</v>
      </c>
      <c r="L592">
        <f t="shared" si="19"/>
        <v>48</v>
      </c>
    </row>
    <row r="593" spans="1:16">
      <c r="A593" t="s">
        <v>632</v>
      </c>
      <c r="B593" s="2">
        <v>46294</v>
      </c>
      <c r="C593" t="s">
        <v>51</v>
      </c>
      <c r="D593" t="s">
        <v>224</v>
      </c>
      <c r="E593">
        <v>1</v>
      </c>
      <c r="F593" t="str">
        <f>_xlfn.XLOOKUP(D593, Products!$A$2:$A$21, Products!$B$2:$B$21, "Not Found")</f>
        <v>Not Found</v>
      </c>
      <c r="G593" t="e">
        <f>_xlfn.XLOOKUP(D593, Products!$A$2:$A$21, Products!$C$2:$C$21)</f>
        <v>#N/A</v>
      </c>
      <c r="H593">
        <f>_xlfn.XLOOKUP(D593, Products!$A$2:$A$21, Products!$E$2:$E$21, 0)</f>
        <v>0</v>
      </c>
      <c r="I593">
        <f>_xlfn.XLOOKUP(D593, Products!$A$2:$A$21, Products!$F$2:$F$21,0)</f>
        <v>0</v>
      </c>
      <c r="J593" t="str">
        <f>_xlfn.XLOOKUP(C593, Stores!$A$2:$A$7, Stores!$D$2:$D$7)</f>
        <v>Sydney South</v>
      </c>
      <c r="K593">
        <f t="shared" si="18"/>
        <v>0</v>
      </c>
      <c r="L593">
        <f t="shared" si="19"/>
        <v>0</v>
      </c>
    </row>
    <row r="594" spans="1:16">
      <c r="A594" t="s">
        <v>633</v>
      </c>
      <c r="B594" s="2">
        <v>46294</v>
      </c>
      <c r="C594" t="s">
        <v>51</v>
      </c>
      <c r="D594" t="s">
        <v>14</v>
      </c>
      <c r="E594">
        <v>4</v>
      </c>
      <c r="F594" t="str">
        <f>_xlfn.XLOOKUP(D594, Products!$A$2:$A$21, Products!$B$2:$B$21, "Not Found")</f>
        <v>Gaming Mouse</v>
      </c>
      <c r="G594" t="str">
        <f>_xlfn.XLOOKUP(D594, Products!$A$2:$A$21, Products!$C$2:$C$21)</f>
        <v>Accessories</v>
      </c>
      <c r="H594">
        <f>_xlfn.XLOOKUP(D594, Products!$A$2:$A$21, Products!$E$2:$E$21, 0)</f>
        <v>89</v>
      </c>
      <c r="I594">
        <f>_xlfn.XLOOKUP(D594, Products!$A$2:$A$21, Products!$F$2:$F$21,0)</f>
        <v>41</v>
      </c>
      <c r="J594" t="str">
        <f>_xlfn.XLOOKUP(C594, Stores!$A$2:$A$7, Stores!$D$2:$D$7)</f>
        <v>Sydney South</v>
      </c>
      <c r="K594">
        <f t="shared" si="18"/>
        <v>356</v>
      </c>
      <c r="L594">
        <f t="shared" si="19"/>
        <v>192</v>
      </c>
    </row>
    <row r="595" spans="1:16">
      <c r="A595" t="s">
        <v>634</v>
      </c>
      <c r="B595" s="2">
        <v>46294</v>
      </c>
      <c r="C595" t="s">
        <v>19</v>
      </c>
      <c r="D595" t="s">
        <v>14</v>
      </c>
      <c r="E595">
        <v>1</v>
      </c>
      <c r="F595" t="str">
        <f>_xlfn.XLOOKUP(D595, Products!$A$2:$A$21, Products!$B$2:$B$21, "Not Found")</f>
        <v>Gaming Mouse</v>
      </c>
      <c r="G595" t="str">
        <f>_xlfn.XLOOKUP(D595, Products!$A$2:$A$21, Products!$C$2:$C$21)</f>
        <v>Accessories</v>
      </c>
      <c r="H595">
        <f>_xlfn.XLOOKUP(D595, Products!$A$2:$A$21, Products!$E$2:$E$21, 0)</f>
        <v>89</v>
      </c>
      <c r="I595">
        <f>_xlfn.XLOOKUP(D595, Products!$A$2:$A$21, Products!$F$2:$F$21,0)</f>
        <v>41</v>
      </c>
      <c r="J595" t="str">
        <f>_xlfn.XLOOKUP(C595, Stores!$A$2:$A$7, Stores!$D$2:$D$7)</f>
        <v>Sydney North</v>
      </c>
      <c r="K595">
        <f t="shared" si="18"/>
        <v>89</v>
      </c>
      <c r="L595">
        <f t="shared" si="19"/>
        <v>48</v>
      </c>
    </row>
    <row r="596" spans="1:16">
      <c r="A596" t="s">
        <v>635</v>
      </c>
      <c r="B596" s="2">
        <v>46294</v>
      </c>
      <c r="C596" t="s">
        <v>25</v>
      </c>
      <c r="D596" t="s">
        <v>37</v>
      </c>
      <c r="E596">
        <v>3</v>
      </c>
      <c r="F596" t="str">
        <f>_xlfn.XLOOKUP(D596, Products!$A$2:$A$21, Products!$B$2:$B$21, "Not Found")</f>
        <v>Console Controller</v>
      </c>
      <c r="G596" t="str">
        <f>_xlfn.XLOOKUP(D596, Products!$A$2:$A$21, Products!$C$2:$C$21)</f>
        <v>Gaming</v>
      </c>
      <c r="H596">
        <f>_xlfn.XLOOKUP(D596, Products!$A$2:$A$21, Products!$E$2:$E$21, 0)</f>
        <v>99</v>
      </c>
      <c r="I596">
        <f>_xlfn.XLOOKUP(D596, Products!$A$2:$A$21, Products!$F$2:$F$21,0)</f>
        <v>58</v>
      </c>
      <c r="J596" t="str">
        <f>_xlfn.XLOOKUP(C596, Stores!$A$2:$A$7, Stores!$D$2:$D$7)</f>
        <v>Sydney South</v>
      </c>
      <c r="K596">
        <f t="shared" si="18"/>
        <v>297</v>
      </c>
      <c r="L596">
        <f t="shared" si="19"/>
        <v>123</v>
      </c>
    </row>
    <row r="597" spans="1:16">
      <c r="A597" t="s">
        <v>636</v>
      </c>
      <c r="B597" s="2">
        <v>46295</v>
      </c>
      <c r="C597" t="s">
        <v>22</v>
      </c>
      <c r="D597" t="s">
        <v>32</v>
      </c>
      <c r="E597">
        <v>1</v>
      </c>
      <c r="F597" t="str">
        <f>_xlfn.XLOOKUP(D597, Products!$A$2:$A$21, Products!$B$2:$B$21, "Not Found")</f>
        <v>USB-C Charger</v>
      </c>
      <c r="G597" t="str">
        <f>_xlfn.XLOOKUP(D597, Products!$A$2:$A$21, Products!$C$2:$C$21)</f>
        <v>Accessories</v>
      </c>
      <c r="H597">
        <f>_xlfn.XLOOKUP(D597, Products!$A$2:$A$21, Products!$E$2:$E$21, 0)</f>
        <v>49</v>
      </c>
      <c r="I597">
        <f>_xlfn.XLOOKUP(D597, Products!$A$2:$A$21, Products!$F$2:$F$21,0)</f>
        <v>14</v>
      </c>
      <c r="J597" t="str">
        <f>_xlfn.XLOOKUP(C597, Stores!$A$2:$A$7, Stores!$D$2:$D$7)</f>
        <v>Sydney West</v>
      </c>
      <c r="K597">
        <f t="shared" si="18"/>
        <v>49</v>
      </c>
      <c r="L597">
        <f t="shared" si="19"/>
        <v>35</v>
      </c>
    </row>
    <row r="598" spans="1:16">
      <c r="A598" t="s">
        <v>637</v>
      </c>
      <c r="B598" s="2">
        <v>46295</v>
      </c>
      <c r="C598" t="s">
        <v>19</v>
      </c>
      <c r="D598" t="s">
        <v>20</v>
      </c>
      <c r="E598">
        <v>1</v>
      </c>
      <c r="F598" t="str">
        <f>_xlfn.XLOOKUP(D598, Products!$A$2:$A$21, Products!$B$2:$B$21, "Not Found")</f>
        <v>Bluetooth Speaker</v>
      </c>
      <c r="G598" t="str">
        <f>_xlfn.XLOOKUP(D598, Products!$A$2:$A$21, Products!$C$2:$C$21)</f>
        <v>Audio</v>
      </c>
      <c r="H598">
        <f>_xlfn.XLOOKUP(D598, Products!$A$2:$A$21, Products!$E$2:$E$21, 0)</f>
        <v>179</v>
      </c>
      <c r="I598">
        <f>_xlfn.XLOOKUP(D598, Products!$A$2:$A$21, Products!$F$2:$F$21,0)</f>
        <v>95</v>
      </c>
      <c r="J598" t="str">
        <f>_xlfn.XLOOKUP(C598, Stores!$A$2:$A$7, Stores!$D$2:$D$7)</f>
        <v>Sydney North</v>
      </c>
      <c r="K598">
        <f t="shared" si="18"/>
        <v>179</v>
      </c>
      <c r="L598">
        <f t="shared" si="19"/>
        <v>84</v>
      </c>
    </row>
    <row r="599" spans="1:16">
      <c r="A599" t="s">
        <v>638</v>
      </c>
      <c r="B599" s="2">
        <v>46295</v>
      </c>
      <c r="C599" t="s">
        <v>16</v>
      </c>
      <c r="D599" t="s">
        <v>14</v>
      </c>
      <c r="E599">
        <v>1</v>
      </c>
      <c r="F599" t="str">
        <f>_xlfn.XLOOKUP(D599, Products!$A$2:$A$21, Products!$B$2:$B$21, "Not Found")</f>
        <v>Gaming Mouse</v>
      </c>
      <c r="G599" t="str">
        <f>_xlfn.XLOOKUP(D599, Products!$A$2:$A$21, Products!$C$2:$C$21)</f>
        <v>Accessories</v>
      </c>
      <c r="H599">
        <f>_xlfn.XLOOKUP(D599, Products!$A$2:$A$21, Products!$E$2:$E$21, 0)</f>
        <v>89</v>
      </c>
      <c r="I599">
        <f>_xlfn.XLOOKUP(D599, Products!$A$2:$A$21, Products!$F$2:$F$21,0)</f>
        <v>41</v>
      </c>
      <c r="J599" t="str">
        <f>_xlfn.XLOOKUP(C599, Stores!$A$2:$A$7, Stores!$D$2:$D$7)</f>
        <v>Sydney East</v>
      </c>
      <c r="K599">
        <f t="shared" si="18"/>
        <v>89</v>
      </c>
      <c r="L599">
        <f t="shared" si="19"/>
        <v>48</v>
      </c>
    </row>
    <row r="600" spans="1:16">
      <c r="A600" t="s">
        <v>639</v>
      </c>
      <c r="B600" s="2">
        <v>46295</v>
      </c>
      <c r="C600" t="s">
        <v>19</v>
      </c>
      <c r="D600" t="s">
        <v>14</v>
      </c>
      <c r="E600">
        <v>2</v>
      </c>
      <c r="F600" t="str">
        <f>_xlfn.XLOOKUP(D600, Products!$A$2:$A$21, Products!$B$2:$B$21, "Not Found")</f>
        <v>Gaming Mouse</v>
      </c>
      <c r="G600" t="str">
        <f>_xlfn.XLOOKUP(D600, Products!$A$2:$A$21, Products!$C$2:$C$21)</f>
        <v>Accessories</v>
      </c>
      <c r="H600">
        <f>_xlfn.XLOOKUP(D600, Products!$A$2:$A$21, Products!$E$2:$E$21, 0)</f>
        <v>89</v>
      </c>
      <c r="I600">
        <f>_xlfn.XLOOKUP(D600, Products!$A$2:$A$21, Products!$F$2:$F$21,0)</f>
        <v>41</v>
      </c>
      <c r="J600" t="str">
        <f>_xlfn.XLOOKUP(C600, Stores!$A$2:$A$7, Stores!$D$2:$D$7)</f>
        <v>Sydney North</v>
      </c>
      <c r="K600">
        <f t="shared" si="18"/>
        <v>178</v>
      </c>
      <c r="L600">
        <f t="shared" si="19"/>
        <v>96</v>
      </c>
    </row>
    <row r="601" spans="1:16">
      <c r="A601" t="s">
        <v>640</v>
      </c>
      <c r="B601" s="2">
        <v>46295</v>
      </c>
      <c r="C601" t="s">
        <v>13</v>
      </c>
      <c r="D601" t="s">
        <v>14</v>
      </c>
      <c r="E601">
        <v>2</v>
      </c>
      <c r="F601" t="str">
        <f>_xlfn.XLOOKUP(D601, Products!$A$2:$A$21, Products!$B$2:$B$21, "Not Found")</f>
        <v>Gaming Mouse</v>
      </c>
      <c r="G601" t="str">
        <f>_xlfn.XLOOKUP(D601, Products!$A$2:$A$21, Products!$C$2:$C$21)</f>
        <v>Accessories</v>
      </c>
      <c r="H601">
        <f>_xlfn.XLOOKUP(D601, Products!$A$2:$A$21, Products!$E$2:$E$21, 0)</f>
        <v>89</v>
      </c>
      <c r="I601">
        <f>_xlfn.XLOOKUP(D601, Products!$A$2:$A$21, Products!$F$2:$F$21,0)</f>
        <v>41</v>
      </c>
      <c r="J601" t="str">
        <f>_xlfn.XLOOKUP(C601, Stores!$A$2:$A$7, Stores!$D$2:$D$7)</f>
        <v>Sydney West</v>
      </c>
      <c r="K601">
        <f t="shared" si="18"/>
        <v>178</v>
      </c>
      <c r="L601">
        <f t="shared" si="19"/>
        <v>96</v>
      </c>
    </row>
    <row r="602" spans="1:16">
      <c r="J602" s="5"/>
      <c r="N602" s="4" t="s">
        <v>641</v>
      </c>
      <c r="O602">
        <f>SUM(K2:K601)</f>
        <v>317546</v>
      </c>
      <c r="P602">
        <f>SUM(L2:L601)</f>
        <v>92222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ySplit="1" topLeftCell="A2" activePane="bottomLeft" state="frozen"/>
      <selection pane="bottomLeft" activeCell="F3" sqref="F3"/>
    </sheetView>
  </sheetViews>
  <sheetFormatPr defaultRowHeight="15"/>
  <cols>
    <col min="1" max="1" width="11" customWidth="1"/>
    <col min="2" max="2" width="20" customWidth="1"/>
    <col min="3" max="3" width="13" customWidth="1"/>
    <col min="4" max="6" width="10" customWidth="1"/>
  </cols>
  <sheetData>
    <row r="1" spans="1:6">
      <c r="A1" s="1" t="s">
        <v>3</v>
      </c>
      <c r="B1" s="1" t="s">
        <v>5</v>
      </c>
      <c r="C1" s="1" t="s">
        <v>6</v>
      </c>
      <c r="D1" s="1" t="s">
        <v>642</v>
      </c>
      <c r="E1" s="1" t="s">
        <v>7</v>
      </c>
      <c r="F1" s="1" t="s">
        <v>8</v>
      </c>
    </row>
    <row r="2" spans="1:6">
      <c r="A2" t="s">
        <v>100</v>
      </c>
      <c r="B2" t="s">
        <v>643</v>
      </c>
      <c r="C2" t="s">
        <v>644</v>
      </c>
      <c r="D2" t="s">
        <v>645</v>
      </c>
      <c r="E2">
        <v>1199</v>
      </c>
      <c r="F2">
        <v>930</v>
      </c>
    </row>
    <row r="3" spans="1:6">
      <c r="A3" t="s">
        <v>81</v>
      </c>
      <c r="B3" t="s">
        <v>646</v>
      </c>
      <c r="C3" t="s">
        <v>644</v>
      </c>
      <c r="D3" t="s">
        <v>647</v>
      </c>
      <c r="E3">
        <v>1799</v>
      </c>
      <c r="F3">
        <v>1390</v>
      </c>
    </row>
    <row r="4" spans="1:6">
      <c r="A4" t="s">
        <v>14</v>
      </c>
      <c r="B4" t="s">
        <v>648</v>
      </c>
      <c r="C4" t="s">
        <v>649</v>
      </c>
      <c r="D4" t="s">
        <v>650</v>
      </c>
      <c r="E4">
        <v>89</v>
      </c>
      <c r="F4">
        <v>41</v>
      </c>
    </row>
    <row r="5" spans="1:6">
      <c r="A5" t="s">
        <v>52</v>
      </c>
      <c r="B5" t="s">
        <v>651</v>
      </c>
      <c r="C5" t="s">
        <v>649</v>
      </c>
      <c r="D5" t="s">
        <v>650</v>
      </c>
      <c r="E5">
        <v>149</v>
      </c>
      <c r="F5">
        <v>72</v>
      </c>
    </row>
    <row r="6" spans="1:6">
      <c r="A6" t="s">
        <v>63</v>
      </c>
      <c r="B6" t="s">
        <v>652</v>
      </c>
      <c r="C6" t="s">
        <v>644</v>
      </c>
      <c r="D6" t="s">
        <v>653</v>
      </c>
      <c r="E6">
        <v>399</v>
      </c>
      <c r="F6">
        <v>290</v>
      </c>
    </row>
    <row r="7" spans="1:6">
      <c r="A7" t="s">
        <v>44</v>
      </c>
      <c r="B7" t="s">
        <v>654</v>
      </c>
      <c r="C7" t="s">
        <v>655</v>
      </c>
      <c r="D7" t="s">
        <v>653</v>
      </c>
      <c r="E7">
        <v>1099</v>
      </c>
      <c r="F7">
        <v>860</v>
      </c>
    </row>
    <row r="8" spans="1:6">
      <c r="A8" t="s">
        <v>93</v>
      </c>
      <c r="B8" t="s">
        <v>656</v>
      </c>
      <c r="C8" t="s">
        <v>655</v>
      </c>
      <c r="D8" t="s">
        <v>657</v>
      </c>
      <c r="E8">
        <v>1499</v>
      </c>
      <c r="F8">
        <v>1180</v>
      </c>
    </row>
    <row r="9" spans="1:6">
      <c r="A9" t="s">
        <v>17</v>
      </c>
      <c r="B9" t="s">
        <v>658</v>
      </c>
      <c r="C9" t="s">
        <v>659</v>
      </c>
      <c r="D9" t="s">
        <v>660</v>
      </c>
      <c r="E9">
        <v>249</v>
      </c>
      <c r="F9">
        <v>140</v>
      </c>
    </row>
    <row r="10" spans="1:6">
      <c r="A10" t="s">
        <v>74</v>
      </c>
      <c r="B10" t="s">
        <v>661</v>
      </c>
      <c r="C10" t="s">
        <v>659</v>
      </c>
      <c r="D10" t="s">
        <v>660</v>
      </c>
      <c r="E10">
        <v>499</v>
      </c>
      <c r="F10">
        <v>310</v>
      </c>
    </row>
    <row r="11" spans="1:6">
      <c r="A11" t="s">
        <v>20</v>
      </c>
      <c r="B11" t="s">
        <v>662</v>
      </c>
      <c r="C11" t="s">
        <v>659</v>
      </c>
      <c r="D11" t="s">
        <v>663</v>
      </c>
      <c r="E11">
        <v>179</v>
      </c>
      <c r="F11">
        <v>95</v>
      </c>
    </row>
    <row r="12" spans="1:6">
      <c r="A12" t="s">
        <v>54</v>
      </c>
      <c r="B12" t="s">
        <v>664</v>
      </c>
      <c r="C12" t="s">
        <v>665</v>
      </c>
      <c r="D12" t="s">
        <v>666</v>
      </c>
      <c r="E12">
        <v>1299</v>
      </c>
      <c r="F12">
        <v>980</v>
      </c>
    </row>
    <row r="13" spans="1:6">
      <c r="A13" t="s">
        <v>124</v>
      </c>
      <c r="B13" t="s">
        <v>667</v>
      </c>
      <c r="C13" t="s">
        <v>665</v>
      </c>
      <c r="D13" t="s">
        <v>653</v>
      </c>
      <c r="E13">
        <v>1999</v>
      </c>
      <c r="F13">
        <v>1520</v>
      </c>
    </row>
    <row r="14" spans="1:6">
      <c r="A14" t="s">
        <v>61</v>
      </c>
      <c r="B14" t="s">
        <v>668</v>
      </c>
      <c r="C14" t="s">
        <v>659</v>
      </c>
      <c r="D14" t="s">
        <v>660</v>
      </c>
      <c r="E14">
        <v>699</v>
      </c>
      <c r="F14">
        <v>450</v>
      </c>
    </row>
    <row r="15" spans="1:6">
      <c r="A15" t="s">
        <v>146</v>
      </c>
      <c r="B15" t="s">
        <v>669</v>
      </c>
      <c r="C15" t="s">
        <v>670</v>
      </c>
      <c r="D15" t="s">
        <v>671</v>
      </c>
      <c r="E15">
        <v>499</v>
      </c>
      <c r="F15">
        <v>420</v>
      </c>
    </row>
    <row r="16" spans="1:6">
      <c r="A16" t="s">
        <v>37</v>
      </c>
      <c r="B16" t="s">
        <v>672</v>
      </c>
      <c r="C16" t="s">
        <v>670</v>
      </c>
      <c r="D16" t="s">
        <v>671</v>
      </c>
      <c r="E16">
        <v>99</v>
      </c>
      <c r="F16">
        <v>58</v>
      </c>
    </row>
    <row r="17" spans="1:6">
      <c r="A17" t="s">
        <v>29</v>
      </c>
      <c r="B17" t="s">
        <v>673</v>
      </c>
      <c r="C17" t="s">
        <v>649</v>
      </c>
      <c r="D17" t="s">
        <v>674</v>
      </c>
      <c r="E17">
        <v>39</v>
      </c>
      <c r="F17">
        <v>9</v>
      </c>
    </row>
    <row r="18" spans="1:6">
      <c r="A18" t="s">
        <v>32</v>
      </c>
      <c r="B18" t="s">
        <v>675</v>
      </c>
      <c r="C18" t="s">
        <v>649</v>
      </c>
      <c r="D18" t="s">
        <v>674</v>
      </c>
      <c r="E18">
        <v>49</v>
      </c>
      <c r="F18">
        <v>14</v>
      </c>
    </row>
    <row r="19" spans="1:6">
      <c r="A19" t="s">
        <v>48</v>
      </c>
      <c r="B19" t="s">
        <v>676</v>
      </c>
      <c r="C19" t="s">
        <v>644</v>
      </c>
      <c r="D19" t="s">
        <v>657</v>
      </c>
      <c r="E19">
        <v>899</v>
      </c>
      <c r="F19">
        <v>690</v>
      </c>
    </row>
    <row r="20" spans="1:6">
      <c r="A20" t="s">
        <v>165</v>
      </c>
      <c r="B20" t="s">
        <v>677</v>
      </c>
      <c r="C20" t="s">
        <v>655</v>
      </c>
      <c r="D20" t="s">
        <v>657</v>
      </c>
      <c r="E20">
        <v>649</v>
      </c>
      <c r="F20">
        <v>480</v>
      </c>
    </row>
    <row r="21" spans="1:6">
      <c r="A21" t="s">
        <v>23</v>
      </c>
      <c r="B21" t="s">
        <v>678</v>
      </c>
      <c r="C21" t="s">
        <v>670</v>
      </c>
      <c r="D21" t="s">
        <v>679</v>
      </c>
      <c r="E21">
        <v>79</v>
      </c>
      <c r="F21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" customWidth="1"/>
    <col min="2" max="2" width="16" customWidth="1"/>
    <col min="3" max="3" width="7" customWidth="1"/>
    <col min="4" max="4" width="14" customWidth="1"/>
  </cols>
  <sheetData>
    <row r="1" spans="1:4">
      <c r="A1" s="1" t="s">
        <v>2</v>
      </c>
      <c r="B1" s="1" t="s">
        <v>680</v>
      </c>
      <c r="C1" s="1" t="s">
        <v>681</v>
      </c>
      <c r="D1" s="1" t="s">
        <v>9</v>
      </c>
    </row>
    <row r="2" spans="1:4">
      <c r="A2" t="s">
        <v>25</v>
      </c>
      <c r="B2" t="s">
        <v>682</v>
      </c>
      <c r="C2" t="s">
        <v>683</v>
      </c>
      <c r="D2" t="s">
        <v>684</v>
      </c>
    </row>
    <row r="3" spans="1:4">
      <c r="A3" t="s">
        <v>13</v>
      </c>
      <c r="B3" t="s">
        <v>685</v>
      </c>
      <c r="C3" t="s">
        <v>683</v>
      </c>
      <c r="D3" t="s">
        <v>686</v>
      </c>
    </row>
    <row r="4" spans="1:4">
      <c r="A4" t="s">
        <v>16</v>
      </c>
      <c r="B4" t="s">
        <v>687</v>
      </c>
      <c r="C4" t="s">
        <v>683</v>
      </c>
      <c r="D4" t="s">
        <v>688</v>
      </c>
    </row>
    <row r="5" spans="1:4">
      <c r="A5" t="s">
        <v>19</v>
      </c>
      <c r="B5" t="s">
        <v>689</v>
      </c>
      <c r="C5" t="s">
        <v>683</v>
      </c>
      <c r="D5" t="s">
        <v>690</v>
      </c>
    </row>
    <row r="6" spans="1:4">
      <c r="A6" t="s">
        <v>51</v>
      </c>
      <c r="B6" t="s">
        <v>691</v>
      </c>
      <c r="C6" t="s">
        <v>683</v>
      </c>
      <c r="D6" t="s">
        <v>684</v>
      </c>
    </row>
    <row r="7" spans="1:4">
      <c r="A7" t="s">
        <v>22</v>
      </c>
      <c r="B7" t="s">
        <v>692</v>
      </c>
      <c r="C7" t="s">
        <v>683</v>
      </c>
      <c r="D7" t="s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2026-10-16T13:25:05Z</dcterms:created>
  <dcterms:modified xsi:type="dcterms:W3CDTF">2026-10-17T09:35:42Z</dcterms:modified>
  <cp:category/>
  <cp:contentStatus/>
</cp:coreProperties>
</file>